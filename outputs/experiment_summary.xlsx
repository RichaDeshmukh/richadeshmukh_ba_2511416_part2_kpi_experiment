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cha\BITSOM\Assignments'\Assignment 6\Part 2\richadeshmukh_ba_2511416_part2_kpi_experiment\outputs\"/>
    </mc:Choice>
  </mc:AlternateContent>
  <xr:revisionPtr revIDLastSave="0" documentId="13_ncr:1_{00A29875-8920-4325-AF10-173660B39BCE}" xr6:coauthVersionLast="47" xr6:coauthVersionMax="47" xr10:uidLastSave="{00000000-0000-0000-0000-000000000000}"/>
  <bookViews>
    <workbookView xWindow="-108" yWindow="-108" windowWidth="23256" windowHeight="12456" activeTab="1" xr2:uid="{3090C5F2-EBC4-4B3C-BB99-61CCC62A5253}"/>
  </bookViews>
  <sheets>
    <sheet name="Summary Metrics" sheetId="1" r:id="rId1"/>
    <sheet name="Segment_analysis" sheetId="3" r:id="rId2"/>
  </sheets>
  <externalReferences>
    <externalReference r:id="rId3"/>
  </externalReference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<sst xmlns="http://schemas.openxmlformats.org/spreadsheetml/2006/main" count="52" uniqueCount="36">
  <si>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</si>
  <si>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</si>
  <si>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</si>
  <si>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</si>
  <si>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</si>
  <si>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</si>
  <si>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</si>
  <si>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</si>
  <si>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</si>
  <si>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</si>
  <si>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</si>
  <si>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</si>
  <si>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</si>
  <si>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</si>
  <si>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Average of converted_to_paid</t>
  </si>
  <si>
    <t>Column Labels</t>
  </si>
  <si>
    <t>Row Labels</t>
  </si>
  <si>
    <t>Grand Total</t>
  </si>
  <si>
    <t>East</t>
  </si>
  <si>
    <t>North</t>
  </si>
  <si>
    <t>South</t>
  </si>
  <si>
    <t>West</t>
  </si>
  <si>
    <t>Pivot for Region</t>
  </si>
  <si>
    <t>Pivot for Device Type</t>
  </si>
  <si>
    <t>Average of engagement_score</t>
  </si>
  <si>
    <t>Desktop</t>
  </si>
  <si>
    <t>Mobile</t>
  </si>
  <si>
    <t>Tablet</t>
  </si>
  <si>
    <t>UNKNOWN</t>
  </si>
  <si>
    <t>Pivot for Traffic source</t>
  </si>
  <si>
    <t>Average of revenue_30d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</si>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</sst>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pivotButton="1"/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nalysis/experiment_analysis.xlsx" TargetMode="External"/><Relationship Id="rId2" Type="http://schemas.openxmlformats.org/officeDocument/2006/relationships/externalLinkPath" Target="file:///D:\Richa\BITSOM\Assignments'\Assignment%206\Part%202\richadeshmukh_ba_2511416_part2_kpi_experiment\analysis\experiment_analysis.xlsx" TargetMode="External"/><Relationship Id="rId1" Type="http://schemas.openxmlformats.org/officeDocument/2006/relationships/externalLinkPath" Target="/Richa/BITSOM/Assignments'/Assignment%206/Part%202/richadeshmukh_ba_2511416_part2_kpi_experiment/analysis/experimen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rol_treatment"/>
      <sheetName val="region_SD"/>
      <sheetName val="device_type_SD"/>
      <sheetName val="traffic_source_SD"/>
      <sheetName val="plan_type_SD"/>
      <sheetName val="Pivot_Region"/>
      <sheetName val="Pivot_Device_type"/>
      <sheetName val="Pivot_Traffic_source"/>
      <sheetName val="Hypothesis_test"/>
      <sheetName val="experiment_data"/>
      <sheetName val="business_contex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Control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P2">
            <v>45.7</v>
          </cell>
        </row>
        <row r="3">
          <cell r="C3" t="str">
            <v>Control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P3">
            <v>48.6</v>
          </cell>
        </row>
        <row r="4">
          <cell r="C4" t="str">
            <v>Control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</v>
          </cell>
          <cell r="N4">
            <v>0</v>
          </cell>
          <cell r="P4">
            <v>35.4</v>
          </cell>
        </row>
        <row r="5">
          <cell r="C5" t="str">
            <v>Control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P5">
            <v>64.599999999999994</v>
          </cell>
        </row>
        <row r="6">
          <cell r="C6" t="str">
            <v>Control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66.599999999999994</v>
          </cell>
        </row>
        <row r="7">
          <cell r="C7" t="str">
            <v>Control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P7">
            <v>40.799999999999997</v>
          </cell>
        </row>
        <row r="8">
          <cell r="C8" t="str">
            <v>Control</v>
          </cell>
          <cell r="H8">
            <v>1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57.1</v>
          </cell>
        </row>
        <row r="9">
          <cell r="C9" t="str">
            <v>Control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P9">
            <v>36.4</v>
          </cell>
        </row>
        <row r="10">
          <cell r="C10" t="str">
            <v>Control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P10">
            <v>55.4</v>
          </cell>
        </row>
        <row r="11">
          <cell r="C11" t="str">
            <v>Control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P11">
            <v>57.3</v>
          </cell>
        </row>
        <row r="12">
          <cell r="C12" t="str">
            <v>Control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63.6</v>
          </cell>
        </row>
        <row r="13">
          <cell r="C13" t="str">
            <v>Control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P13">
            <v>80.400000000000006</v>
          </cell>
        </row>
        <row r="14">
          <cell r="C14" t="str">
            <v>Control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P14">
            <v>62.4</v>
          </cell>
        </row>
        <row r="15">
          <cell r="C15" t="str">
            <v>Control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P15">
            <v>82.4</v>
          </cell>
        </row>
        <row r="16">
          <cell r="C16" t="str">
            <v>Control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61.2</v>
          </cell>
        </row>
        <row r="17">
          <cell r="C17" t="str">
            <v>Control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68.900000000000006</v>
          </cell>
        </row>
        <row r="18">
          <cell r="C18" t="str">
            <v>Control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P18">
            <v>71.900000000000006</v>
          </cell>
        </row>
        <row r="19">
          <cell r="C19" t="str">
            <v>Control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P19">
            <v>50.5</v>
          </cell>
        </row>
        <row r="20">
          <cell r="C20" t="str">
            <v>Control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P20">
            <v>49.3</v>
          </cell>
        </row>
        <row r="21">
          <cell r="C21" t="str">
            <v>Control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P21">
            <v>60.9</v>
          </cell>
        </row>
        <row r="22">
          <cell r="C22" t="str">
            <v>Control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P22">
            <v>62.7</v>
          </cell>
        </row>
        <row r="23">
          <cell r="C23" t="str">
            <v>Control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52.7</v>
          </cell>
        </row>
        <row r="24">
          <cell r="C24" t="str">
            <v>Control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54</v>
          </cell>
        </row>
        <row r="25">
          <cell r="C25" t="str">
            <v>Control</v>
          </cell>
          <cell r="H25">
            <v>1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51.6</v>
          </cell>
        </row>
        <row r="26">
          <cell r="C26" t="str">
            <v>Control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P26">
            <v>66.900000000000006</v>
          </cell>
        </row>
        <row r="27">
          <cell r="C27" t="str">
            <v>Control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P27">
            <v>67.400000000000006</v>
          </cell>
        </row>
        <row r="28">
          <cell r="C28" t="str">
            <v>Control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58.8</v>
          </cell>
        </row>
        <row r="29">
          <cell r="C29" t="str">
            <v>Control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73.8</v>
          </cell>
        </row>
        <row r="30">
          <cell r="C30" t="str">
            <v>Control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60.1</v>
          </cell>
        </row>
        <row r="31">
          <cell r="C31" t="str">
            <v>Control</v>
          </cell>
          <cell r="H31">
            <v>1</v>
          </cell>
          <cell r="I31">
            <v>1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41</v>
          </cell>
        </row>
        <row r="32">
          <cell r="C32" t="str">
            <v>Control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P32">
            <v>80.3</v>
          </cell>
        </row>
        <row r="33">
          <cell r="C33" t="str">
            <v>Control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P33">
            <v>67.599999999999994</v>
          </cell>
        </row>
        <row r="34">
          <cell r="C34" t="str">
            <v>Control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P34">
            <v>64</v>
          </cell>
        </row>
        <row r="35">
          <cell r="C35" t="str">
            <v>Control</v>
          </cell>
          <cell r="H35">
            <v>1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27.2</v>
          </cell>
        </row>
        <row r="36">
          <cell r="C36" t="str">
            <v>Control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P36">
            <v>85.4</v>
          </cell>
        </row>
        <row r="37">
          <cell r="C37" t="str">
            <v>Control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75.900000000000006</v>
          </cell>
        </row>
        <row r="38">
          <cell r="C38" t="str">
            <v>Control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</v>
          </cell>
          <cell r="N38">
            <v>0</v>
          </cell>
          <cell r="P38">
            <v>34.799999999999997</v>
          </cell>
        </row>
        <row r="39">
          <cell r="C39" t="str">
            <v>Control</v>
          </cell>
          <cell r="H39">
            <v>1</v>
          </cell>
          <cell r="I39">
            <v>1</v>
          </cell>
          <cell r="J39">
            <v>1</v>
          </cell>
          <cell r="K39">
            <v>0</v>
          </cell>
          <cell r="L39">
            <v>0</v>
          </cell>
          <cell r="M39">
            <v>3</v>
          </cell>
          <cell r="N39">
            <v>0</v>
          </cell>
          <cell r="P39">
            <v>48.9</v>
          </cell>
        </row>
        <row r="40">
          <cell r="C40" t="str">
            <v>Control</v>
          </cell>
          <cell r="H40">
            <v>1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41.5</v>
          </cell>
        </row>
        <row r="41">
          <cell r="C41" t="str">
            <v>Control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51.5</v>
          </cell>
        </row>
        <row r="42">
          <cell r="C42" t="str">
            <v>Control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>
            <v>53.2</v>
          </cell>
        </row>
        <row r="43">
          <cell r="C43" t="str">
            <v>Control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P43">
            <v>55.6</v>
          </cell>
        </row>
        <row r="44">
          <cell r="C44" t="str">
            <v>Control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73</v>
          </cell>
        </row>
        <row r="45">
          <cell r="C45" t="str">
            <v>Control</v>
          </cell>
          <cell r="H45">
            <v>1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65</v>
          </cell>
        </row>
        <row r="46">
          <cell r="C46" t="str">
            <v>Control</v>
          </cell>
          <cell r="H46">
            <v>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4</v>
          </cell>
          <cell r="N46">
            <v>0</v>
          </cell>
          <cell r="P46">
            <v>56.3</v>
          </cell>
        </row>
        <row r="47">
          <cell r="C47" t="str">
            <v>Control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62.4</v>
          </cell>
        </row>
        <row r="48">
          <cell r="C48" t="str">
            <v>Control</v>
          </cell>
          <cell r="H48">
            <v>1</v>
          </cell>
          <cell r="I48">
            <v>1</v>
          </cell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58.1</v>
          </cell>
        </row>
        <row r="49">
          <cell r="C49" t="str">
            <v>Control</v>
          </cell>
          <cell r="H49">
            <v>1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80.8</v>
          </cell>
        </row>
        <row r="50">
          <cell r="C50" t="str">
            <v>Control</v>
          </cell>
          <cell r="H50">
            <v>1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P50">
            <v>42.9</v>
          </cell>
        </row>
        <row r="51">
          <cell r="C51" t="str">
            <v>Control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P51">
            <v>52.7</v>
          </cell>
        </row>
        <row r="52">
          <cell r="C52" t="str">
            <v>Control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46.9</v>
          </cell>
        </row>
        <row r="53">
          <cell r="C53" t="str">
            <v>Control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63</v>
          </cell>
        </row>
        <row r="54">
          <cell r="C54" t="str">
            <v>Control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53.6</v>
          </cell>
        </row>
        <row r="55">
          <cell r="C55" t="str">
            <v>Control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49.6</v>
          </cell>
        </row>
        <row r="56">
          <cell r="C56" t="str">
            <v>Control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54</v>
          </cell>
        </row>
        <row r="57">
          <cell r="C57" t="str">
            <v>Control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</v>
          </cell>
          <cell r="N57">
            <v>0</v>
          </cell>
          <cell r="P57">
            <v>50</v>
          </cell>
        </row>
        <row r="58">
          <cell r="C58" t="str">
            <v>Control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48.1</v>
          </cell>
        </row>
        <row r="59">
          <cell r="C59" t="str">
            <v>Control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49.6</v>
          </cell>
        </row>
        <row r="60">
          <cell r="C60" t="str">
            <v>Control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2</v>
          </cell>
          <cell r="N60">
            <v>0</v>
          </cell>
          <cell r="P60">
            <v>48.9</v>
          </cell>
        </row>
        <row r="61">
          <cell r="C61" t="str">
            <v>Control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240.42</v>
          </cell>
          <cell r="M61">
            <v>0</v>
          </cell>
          <cell r="N61">
            <v>0</v>
          </cell>
          <cell r="O61">
            <v>16</v>
          </cell>
          <cell r="P61">
            <v>56.5</v>
          </cell>
        </row>
        <row r="62">
          <cell r="C62" t="str">
            <v>Control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P62">
            <v>53.7</v>
          </cell>
        </row>
        <row r="63">
          <cell r="C63" t="str">
            <v>Control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P63">
            <v>62.2</v>
          </cell>
        </row>
        <row r="64">
          <cell r="C64" t="str">
            <v>Control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P64">
            <v>50.2</v>
          </cell>
        </row>
        <row r="65">
          <cell r="C65" t="str">
            <v>Control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P65">
            <v>74.3</v>
          </cell>
        </row>
        <row r="66">
          <cell r="C66" t="str">
            <v>Control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P66">
            <v>58</v>
          </cell>
        </row>
        <row r="67">
          <cell r="C67" t="str">
            <v>Control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P67">
            <v>46.7</v>
          </cell>
        </row>
        <row r="68">
          <cell r="C68" t="str">
            <v>Control</v>
          </cell>
          <cell r="H68">
            <v>1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P68">
            <v>49.6</v>
          </cell>
        </row>
        <row r="69">
          <cell r="C69" t="str">
            <v>Control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60.4</v>
          </cell>
        </row>
        <row r="70">
          <cell r="C70" t="str">
            <v>Control</v>
          </cell>
          <cell r="H70">
            <v>1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55.3</v>
          </cell>
        </row>
        <row r="71">
          <cell r="C71" t="str">
            <v>Control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56.2</v>
          </cell>
        </row>
        <row r="72">
          <cell r="C72" t="str">
            <v>Control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29.4</v>
          </cell>
        </row>
        <row r="73">
          <cell r="C73" t="str">
            <v>Control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P73">
            <v>54.2</v>
          </cell>
        </row>
        <row r="74">
          <cell r="C74" t="str">
            <v>Control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P74">
            <v>46.4</v>
          </cell>
        </row>
        <row r="75">
          <cell r="C75" t="str">
            <v>Control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54.5</v>
          </cell>
        </row>
        <row r="76">
          <cell r="C76" t="str">
            <v>Control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58.5</v>
          </cell>
        </row>
        <row r="77">
          <cell r="C77" t="str">
            <v>Control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75.900000000000006</v>
          </cell>
        </row>
        <row r="78">
          <cell r="C78" t="str">
            <v>Control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  <cell r="P78">
            <v>84.9</v>
          </cell>
        </row>
        <row r="79">
          <cell r="C79" t="str">
            <v>Control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  <cell r="P79">
            <v>48.4</v>
          </cell>
        </row>
        <row r="80">
          <cell r="C80" t="str">
            <v>Control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457.51</v>
          </cell>
          <cell r="M80">
            <v>0</v>
          </cell>
          <cell r="N80">
            <v>0</v>
          </cell>
          <cell r="O80">
            <v>7</v>
          </cell>
          <cell r="P80">
            <v>38</v>
          </cell>
        </row>
        <row r="81">
          <cell r="C81" t="str">
            <v>Control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P81">
            <v>44.2</v>
          </cell>
        </row>
        <row r="82">
          <cell r="C82" t="str">
            <v>Control</v>
          </cell>
          <cell r="H82">
            <v>1</v>
          </cell>
          <cell r="I82">
            <v>1</v>
          </cell>
          <cell r="J82">
            <v>1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P82">
            <v>81.2</v>
          </cell>
        </row>
        <row r="83">
          <cell r="C83" t="str">
            <v>Control</v>
          </cell>
          <cell r="H83">
            <v>1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P83">
            <v>63.8</v>
          </cell>
        </row>
        <row r="84">
          <cell r="C84" t="str">
            <v>Control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P84">
            <v>64.7</v>
          </cell>
        </row>
        <row r="85">
          <cell r="C85" t="str">
            <v>Control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60.4</v>
          </cell>
        </row>
        <row r="86">
          <cell r="C86" t="str">
            <v>Control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66.599999999999994</v>
          </cell>
        </row>
        <row r="87">
          <cell r="C87" t="str">
            <v>Control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50.9</v>
          </cell>
        </row>
        <row r="88">
          <cell r="C88" t="str">
            <v>Control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P88">
            <v>51</v>
          </cell>
        </row>
        <row r="89">
          <cell r="C89" t="str">
            <v>Control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P89">
            <v>65.8</v>
          </cell>
        </row>
        <row r="90">
          <cell r="C90" t="str">
            <v>Control</v>
          </cell>
          <cell r="H90">
            <v>1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61.8</v>
          </cell>
        </row>
        <row r="91">
          <cell r="C91" t="str">
            <v>Control</v>
          </cell>
          <cell r="H91">
            <v>1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54.5</v>
          </cell>
        </row>
        <row r="92">
          <cell r="C92" t="str">
            <v>Control</v>
          </cell>
          <cell r="H92">
            <v>1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72.2</v>
          </cell>
        </row>
        <row r="93">
          <cell r="C93" t="str">
            <v>Control</v>
          </cell>
          <cell r="H93">
            <v>1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P93">
            <v>42.3</v>
          </cell>
        </row>
        <row r="94">
          <cell r="C94" t="str">
            <v>Control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76.2</v>
          </cell>
        </row>
        <row r="95">
          <cell r="C95" t="str">
            <v>Control</v>
          </cell>
          <cell r="H95">
            <v>1</v>
          </cell>
          <cell r="I95">
            <v>1</v>
          </cell>
          <cell r="J95">
            <v>1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  <cell r="P95">
            <v>37.4</v>
          </cell>
        </row>
        <row r="96">
          <cell r="C96" t="str">
            <v>Control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P96">
            <v>84.2</v>
          </cell>
        </row>
        <row r="97">
          <cell r="C97" t="str">
            <v>Control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P97">
            <v>68</v>
          </cell>
        </row>
        <row r="98">
          <cell r="C98" t="str">
            <v>Control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P98">
            <v>53.5</v>
          </cell>
        </row>
        <row r="99">
          <cell r="C99" t="str">
            <v>Control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P99">
            <v>63.2</v>
          </cell>
        </row>
        <row r="100">
          <cell r="C100" t="str">
            <v>Control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363.32</v>
          </cell>
          <cell r="M100">
            <v>0</v>
          </cell>
          <cell r="N100">
            <v>0</v>
          </cell>
          <cell r="O100">
            <v>9</v>
          </cell>
          <cell r="P100">
            <v>55.9</v>
          </cell>
        </row>
        <row r="101">
          <cell r="C101" t="str">
            <v>Control</v>
          </cell>
          <cell r="H101">
            <v>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63.5</v>
          </cell>
        </row>
        <row r="102">
          <cell r="C102" t="str">
            <v>Control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51.5</v>
          </cell>
        </row>
        <row r="103">
          <cell r="C103" t="str">
            <v>Control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74.400000000000006</v>
          </cell>
        </row>
        <row r="104">
          <cell r="C104" t="str">
            <v>Control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3887.98</v>
          </cell>
          <cell r="M104">
            <v>0</v>
          </cell>
          <cell r="N104">
            <v>0</v>
          </cell>
          <cell r="O104">
            <v>13</v>
          </cell>
          <cell r="P104">
            <v>60.2</v>
          </cell>
        </row>
        <row r="105">
          <cell r="C105" t="str">
            <v>Control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</v>
          </cell>
          <cell r="N105">
            <v>0</v>
          </cell>
          <cell r="P105">
            <v>67.2</v>
          </cell>
        </row>
        <row r="106">
          <cell r="C106" t="str">
            <v>Control</v>
          </cell>
          <cell r="H106">
            <v>1</v>
          </cell>
          <cell r="I106">
            <v>1</v>
          </cell>
          <cell r="J106">
            <v>1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79.599999999999994</v>
          </cell>
        </row>
        <row r="107">
          <cell r="C107" t="str">
            <v>Control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8610.7199999999993</v>
          </cell>
          <cell r="M107">
            <v>0</v>
          </cell>
          <cell r="N107">
            <v>0</v>
          </cell>
          <cell r="O107">
            <v>6</v>
          </cell>
          <cell r="P107">
            <v>61</v>
          </cell>
        </row>
        <row r="108">
          <cell r="C108" t="str">
            <v>Control</v>
          </cell>
          <cell r="H108">
            <v>1</v>
          </cell>
          <cell r="I108">
            <v>1</v>
          </cell>
          <cell r="J108">
            <v>1</v>
          </cell>
          <cell r="K108">
            <v>0</v>
          </cell>
          <cell r="L108">
            <v>0</v>
          </cell>
          <cell r="M108">
            <v>4</v>
          </cell>
          <cell r="N108">
            <v>0</v>
          </cell>
          <cell r="P108">
            <v>51.1</v>
          </cell>
        </row>
        <row r="109">
          <cell r="C109" t="str">
            <v>Control</v>
          </cell>
          <cell r="H109">
            <v>1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92.1</v>
          </cell>
        </row>
        <row r="110">
          <cell r="C110" t="str">
            <v>Control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82.1</v>
          </cell>
        </row>
        <row r="111">
          <cell r="C111" t="str">
            <v>Control</v>
          </cell>
          <cell r="H111">
            <v>1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</v>
          </cell>
          <cell r="N111">
            <v>0</v>
          </cell>
          <cell r="P111">
            <v>74</v>
          </cell>
        </row>
        <row r="112">
          <cell r="C112" t="str">
            <v>Control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P112">
            <v>63.4</v>
          </cell>
        </row>
        <row r="113">
          <cell r="C113" t="str">
            <v>Control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P113">
            <v>53.2</v>
          </cell>
        </row>
        <row r="114">
          <cell r="C114" t="str">
            <v>Control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48.1</v>
          </cell>
        </row>
        <row r="115">
          <cell r="C115" t="str">
            <v>Control</v>
          </cell>
          <cell r="H115">
            <v>1</v>
          </cell>
          <cell r="I115">
            <v>1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P115">
            <v>61.5</v>
          </cell>
        </row>
        <row r="116">
          <cell r="C116" t="str">
            <v>Control</v>
          </cell>
          <cell r="H116">
            <v>1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63.2</v>
          </cell>
        </row>
        <row r="117">
          <cell r="C117" t="str">
            <v>Control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P117">
            <v>71.900000000000006</v>
          </cell>
        </row>
        <row r="118">
          <cell r="C118" t="str">
            <v>Control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62.7</v>
          </cell>
        </row>
        <row r="119">
          <cell r="C119" t="str">
            <v>Control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51.5</v>
          </cell>
        </row>
        <row r="120">
          <cell r="C120" t="str">
            <v>Control</v>
          </cell>
          <cell r="H120">
            <v>1</v>
          </cell>
          <cell r="I120">
            <v>1</v>
          </cell>
          <cell r="J120">
            <v>1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39.1</v>
          </cell>
        </row>
        <row r="121">
          <cell r="C121" t="str">
            <v>Control</v>
          </cell>
          <cell r="H121">
            <v>1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P121">
            <v>43.8</v>
          </cell>
        </row>
        <row r="122">
          <cell r="C122" t="str">
            <v>Control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59.9</v>
          </cell>
        </row>
        <row r="123">
          <cell r="C123" t="str">
            <v>Control</v>
          </cell>
          <cell r="H123">
            <v>1</v>
          </cell>
          <cell r="I123">
            <v>1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71.400000000000006</v>
          </cell>
        </row>
        <row r="124">
          <cell r="C124" t="str">
            <v>Control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36.1</v>
          </cell>
        </row>
        <row r="125">
          <cell r="C125" t="str">
            <v>Control</v>
          </cell>
          <cell r="H125">
            <v>1</v>
          </cell>
          <cell r="I125">
            <v>1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47.9</v>
          </cell>
        </row>
        <row r="126">
          <cell r="C126" t="str">
            <v>Control</v>
          </cell>
          <cell r="H126">
            <v>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62.5</v>
          </cell>
        </row>
        <row r="127">
          <cell r="C127" t="str">
            <v>Control</v>
          </cell>
          <cell r="H127">
            <v>1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P127">
            <v>56.9</v>
          </cell>
        </row>
        <row r="128">
          <cell r="C128" t="str">
            <v>Control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P128">
            <v>64.7</v>
          </cell>
        </row>
        <row r="129">
          <cell r="C129" t="str">
            <v>Control</v>
          </cell>
          <cell r="H129">
            <v>1</v>
          </cell>
          <cell r="I129">
            <v>1</v>
          </cell>
          <cell r="J129">
            <v>1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P129">
            <v>64</v>
          </cell>
        </row>
        <row r="130">
          <cell r="C130" t="str">
            <v>Control</v>
          </cell>
          <cell r="H130">
            <v>1</v>
          </cell>
          <cell r="I130">
            <v>1</v>
          </cell>
          <cell r="J130">
            <v>1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P130">
            <v>75.2</v>
          </cell>
        </row>
        <row r="131">
          <cell r="C131" t="str">
            <v>Control</v>
          </cell>
          <cell r="H131">
            <v>1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1</v>
          </cell>
          <cell r="N131">
            <v>0</v>
          </cell>
          <cell r="P131">
            <v>79</v>
          </cell>
        </row>
        <row r="132">
          <cell r="C132" t="str">
            <v>Control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P132">
            <v>33</v>
          </cell>
        </row>
        <row r="133">
          <cell r="C133" t="str">
            <v>Control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P133">
            <v>67.900000000000006</v>
          </cell>
        </row>
        <row r="134">
          <cell r="C134" t="str">
            <v>Control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42.2</v>
          </cell>
        </row>
        <row r="135">
          <cell r="C135" t="str">
            <v>Control</v>
          </cell>
          <cell r="H135">
            <v>1</v>
          </cell>
          <cell r="I135">
            <v>1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P135">
            <v>43.4</v>
          </cell>
        </row>
        <row r="136">
          <cell r="C136" t="str">
            <v>Control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P136">
            <v>54.4</v>
          </cell>
        </row>
        <row r="137">
          <cell r="C137" t="str">
            <v>Control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45.7</v>
          </cell>
        </row>
        <row r="138">
          <cell r="C138" t="str">
            <v>Control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3</v>
          </cell>
          <cell r="N138">
            <v>0</v>
          </cell>
          <cell r="P138">
            <v>32</v>
          </cell>
        </row>
        <row r="139">
          <cell r="C139" t="str">
            <v>Control</v>
          </cell>
          <cell r="H139">
            <v>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70.900000000000006</v>
          </cell>
        </row>
        <row r="140">
          <cell r="C140" t="str">
            <v>Control</v>
          </cell>
          <cell r="H140">
            <v>1</v>
          </cell>
          <cell r="I140">
            <v>1</v>
          </cell>
          <cell r="J140">
            <v>1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59.1</v>
          </cell>
        </row>
        <row r="141">
          <cell r="C141" t="str">
            <v>Control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62.4</v>
          </cell>
        </row>
        <row r="142">
          <cell r="C142" t="str">
            <v>Control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P142">
            <v>49.6</v>
          </cell>
        </row>
        <row r="143">
          <cell r="C143" t="str">
            <v>Control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404.4</v>
          </cell>
          <cell r="M143">
            <v>0</v>
          </cell>
          <cell r="N143">
            <v>0</v>
          </cell>
          <cell r="O143">
            <v>9</v>
          </cell>
          <cell r="P143">
            <v>80.599999999999994</v>
          </cell>
        </row>
        <row r="144">
          <cell r="C144" t="str">
            <v>Control</v>
          </cell>
          <cell r="H144">
            <v>1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P144">
            <v>47.9</v>
          </cell>
        </row>
        <row r="145">
          <cell r="C145" t="str">
            <v>Control</v>
          </cell>
          <cell r="H145">
            <v>1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P145">
            <v>54.8</v>
          </cell>
        </row>
        <row r="146">
          <cell r="C146" t="str">
            <v>Control</v>
          </cell>
          <cell r="H146">
            <v>1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1</v>
          </cell>
          <cell r="N146">
            <v>0</v>
          </cell>
          <cell r="P146">
            <v>53.9</v>
          </cell>
        </row>
        <row r="147">
          <cell r="C147" t="str">
            <v>Control</v>
          </cell>
          <cell r="H147">
            <v>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41.3</v>
          </cell>
        </row>
        <row r="148">
          <cell r="C148" t="str">
            <v>Control</v>
          </cell>
          <cell r="H148">
            <v>1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P148">
            <v>38.9</v>
          </cell>
        </row>
        <row r="149">
          <cell r="C149" t="str">
            <v>Control</v>
          </cell>
          <cell r="H149">
            <v>1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63.6</v>
          </cell>
        </row>
        <row r="150">
          <cell r="C150" t="str">
            <v>Control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577.94000000000005</v>
          </cell>
          <cell r="M150">
            <v>0</v>
          </cell>
          <cell r="N150">
            <v>0</v>
          </cell>
          <cell r="O150">
            <v>9</v>
          </cell>
          <cell r="P150">
            <v>76.599999999999994</v>
          </cell>
        </row>
        <row r="151">
          <cell r="C151" t="str">
            <v>Control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1</v>
          </cell>
          <cell r="N151">
            <v>0</v>
          </cell>
          <cell r="P151">
            <v>67.599999999999994</v>
          </cell>
        </row>
        <row r="152">
          <cell r="C152" t="str">
            <v>Control</v>
          </cell>
          <cell r="H152">
            <v>1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P152">
            <v>43.1</v>
          </cell>
        </row>
        <row r="153">
          <cell r="C153" t="str">
            <v>Control</v>
          </cell>
          <cell r="H153">
            <v>1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58.3</v>
          </cell>
        </row>
        <row r="154">
          <cell r="C154" t="str">
            <v>Control</v>
          </cell>
          <cell r="H154">
            <v>1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69.8</v>
          </cell>
        </row>
        <row r="155">
          <cell r="C155" t="str">
            <v>Control</v>
          </cell>
          <cell r="H155">
            <v>1</v>
          </cell>
          <cell r="I155">
            <v>1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P155">
            <v>60.02</v>
          </cell>
        </row>
        <row r="156">
          <cell r="C156" t="str">
            <v>Control</v>
          </cell>
          <cell r="H156">
            <v>1</v>
          </cell>
          <cell r="I156">
            <v>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41.9</v>
          </cell>
        </row>
        <row r="157">
          <cell r="C157" t="str">
            <v>Control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33.1</v>
          </cell>
        </row>
        <row r="158">
          <cell r="C158" t="str">
            <v>Control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58.6</v>
          </cell>
        </row>
        <row r="159">
          <cell r="C159" t="str">
            <v>Control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P159">
            <v>55.7</v>
          </cell>
        </row>
        <row r="160">
          <cell r="C160" t="str">
            <v>Control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2</v>
          </cell>
          <cell r="N160">
            <v>0</v>
          </cell>
          <cell r="P160">
            <v>64.900000000000006</v>
          </cell>
        </row>
        <row r="161">
          <cell r="C161" t="str">
            <v>Control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P161">
            <v>72.3</v>
          </cell>
        </row>
        <row r="162">
          <cell r="C162" t="str">
            <v>Control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>
            <v>42.1</v>
          </cell>
        </row>
        <row r="163">
          <cell r="C163" t="str">
            <v>Control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P163">
            <v>60.02</v>
          </cell>
        </row>
        <row r="164">
          <cell r="C164" t="str">
            <v>Control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1</v>
          </cell>
          <cell r="N164">
            <v>0</v>
          </cell>
          <cell r="P164">
            <v>64.8</v>
          </cell>
        </row>
        <row r="165">
          <cell r="C165" t="str">
            <v>Control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72.099999999999994</v>
          </cell>
        </row>
        <row r="166">
          <cell r="C166" t="str">
            <v>Control</v>
          </cell>
          <cell r="H166">
            <v>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50.6</v>
          </cell>
        </row>
        <row r="167">
          <cell r="C167" t="str">
            <v>Control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1281.25</v>
          </cell>
          <cell r="M167">
            <v>1</v>
          </cell>
          <cell r="N167">
            <v>0</v>
          </cell>
          <cell r="O167">
            <v>9</v>
          </cell>
          <cell r="P167">
            <v>43.4</v>
          </cell>
        </row>
        <row r="168">
          <cell r="C168" t="str">
            <v>Control</v>
          </cell>
          <cell r="H168">
            <v>1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P168">
            <v>59.7</v>
          </cell>
        </row>
        <row r="169">
          <cell r="C169" t="str">
            <v>Control</v>
          </cell>
          <cell r="H169">
            <v>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1</v>
          </cell>
          <cell r="N169">
            <v>0</v>
          </cell>
          <cell r="P169">
            <v>60.02</v>
          </cell>
        </row>
        <row r="170">
          <cell r="C170" t="str">
            <v>Control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54.5</v>
          </cell>
        </row>
        <row r="171">
          <cell r="C171" t="str">
            <v>Control</v>
          </cell>
          <cell r="H171">
            <v>1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71.099999999999994</v>
          </cell>
        </row>
        <row r="172">
          <cell r="C172" t="str">
            <v>Control</v>
          </cell>
          <cell r="H172">
            <v>1</v>
          </cell>
          <cell r="I172">
            <v>1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44.4</v>
          </cell>
        </row>
        <row r="173">
          <cell r="C173" t="str">
            <v>Control</v>
          </cell>
          <cell r="H173">
            <v>1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P173">
            <v>61.7</v>
          </cell>
        </row>
        <row r="174">
          <cell r="C174" t="str">
            <v>Control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1</v>
          </cell>
          <cell r="N174">
            <v>0</v>
          </cell>
          <cell r="P174">
            <v>81.3</v>
          </cell>
        </row>
        <row r="175">
          <cell r="C175" t="str">
            <v>Control</v>
          </cell>
          <cell r="H175">
            <v>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2</v>
          </cell>
          <cell r="N175">
            <v>0</v>
          </cell>
          <cell r="P175">
            <v>28.7</v>
          </cell>
        </row>
        <row r="176">
          <cell r="C176" t="str">
            <v>Control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P176">
            <v>53</v>
          </cell>
        </row>
        <row r="177">
          <cell r="C177" t="str">
            <v>Control</v>
          </cell>
          <cell r="H177">
            <v>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P177">
            <v>54.9</v>
          </cell>
        </row>
        <row r="178">
          <cell r="C178" t="str">
            <v>Control</v>
          </cell>
          <cell r="H178">
            <v>1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P178">
            <v>58.2</v>
          </cell>
        </row>
        <row r="179">
          <cell r="C179" t="str">
            <v>Control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P179">
            <v>80.599999999999994</v>
          </cell>
        </row>
        <row r="180">
          <cell r="C180" t="str">
            <v>Control</v>
          </cell>
          <cell r="H180">
            <v>1</v>
          </cell>
          <cell r="I180">
            <v>1</v>
          </cell>
          <cell r="J180">
            <v>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P180">
            <v>38.4</v>
          </cell>
        </row>
        <row r="181">
          <cell r="C181" t="str">
            <v>Control</v>
          </cell>
          <cell r="H181">
            <v>1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>
            <v>56.1</v>
          </cell>
        </row>
        <row r="182">
          <cell r="C182" t="str">
            <v>Control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62.6</v>
          </cell>
        </row>
        <row r="183">
          <cell r="C183" t="str">
            <v>Control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36.299999999999997</v>
          </cell>
        </row>
        <row r="184">
          <cell r="C184" t="str">
            <v>Control</v>
          </cell>
          <cell r="H184">
            <v>1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P184">
            <v>52.1</v>
          </cell>
        </row>
        <row r="185">
          <cell r="C185" t="str">
            <v>Control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P185">
            <v>45.1</v>
          </cell>
        </row>
        <row r="186">
          <cell r="C186" t="str">
            <v>Control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67.5</v>
          </cell>
        </row>
        <row r="187">
          <cell r="C187" t="str">
            <v>Control</v>
          </cell>
          <cell r="H187">
            <v>1</v>
          </cell>
          <cell r="I187">
            <v>1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80</v>
          </cell>
        </row>
        <row r="188">
          <cell r="C188" t="str">
            <v>Control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56.4</v>
          </cell>
        </row>
        <row r="189">
          <cell r="C189" t="str">
            <v>Control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P189">
            <v>55.4</v>
          </cell>
        </row>
        <row r="190">
          <cell r="C190" t="str">
            <v>Control</v>
          </cell>
          <cell r="H190">
            <v>1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P190">
            <v>67.900000000000006</v>
          </cell>
        </row>
        <row r="191">
          <cell r="C191" t="str">
            <v>Control</v>
          </cell>
          <cell r="H191">
            <v>1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P191">
            <v>62.5</v>
          </cell>
        </row>
        <row r="192">
          <cell r="C192" t="str">
            <v>Control</v>
          </cell>
          <cell r="H192">
            <v>1</v>
          </cell>
          <cell r="I192">
            <v>1</v>
          </cell>
          <cell r="J192">
            <v>1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P192">
            <v>54.3</v>
          </cell>
        </row>
        <row r="193">
          <cell r="C193" t="str">
            <v>Control</v>
          </cell>
          <cell r="H193">
            <v>1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P193">
            <v>37.5</v>
          </cell>
        </row>
        <row r="194">
          <cell r="C194" t="str">
            <v>Control</v>
          </cell>
          <cell r="H194">
            <v>1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P194">
            <v>52.6</v>
          </cell>
        </row>
        <row r="195">
          <cell r="C195" t="str">
            <v>Control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P195">
            <v>46.1</v>
          </cell>
        </row>
        <row r="196">
          <cell r="C196" t="str">
            <v>Control</v>
          </cell>
          <cell r="H196">
            <v>1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P196">
            <v>54.7</v>
          </cell>
        </row>
        <row r="197">
          <cell r="C197" t="str">
            <v>Control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74.2</v>
          </cell>
        </row>
        <row r="198">
          <cell r="C198" t="str">
            <v>Control</v>
          </cell>
          <cell r="H198">
            <v>1</v>
          </cell>
          <cell r="I198">
            <v>1</v>
          </cell>
          <cell r="J198">
            <v>1</v>
          </cell>
          <cell r="K198">
            <v>1</v>
          </cell>
          <cell r="L198">
            <v>1052.8</v>
          </cell>
          <cell r="M198">
            <v>2</v>
          </cell>
          <cell r="N198">
            <v>0</v>
          </cell>
          <cell r="O198">
            <v>6</v>
          </cell>
          <cell r="P198">
            <v>64.7</v>
          </cell>
        </row>
        <row r="199">
          <cell r="C199" t="str">
            <v>Control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65.900000000000006</v>
          </cell>
        </row>
        <row r="200">
          <cell r="C200" t="str">
            <v>Control</v>
          </cell>
          <cell r="H200">
            <v>1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64</v>
          </cell>
        </row>
        <row r="201">
          <cell r="C201" t="str">
            <v>Control</v>
          </cell>
          <cell r="H201">
            <v>1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P201">
            <v>57.2</v>
          </cell>
        </row>
        <row r="202">
          <cell r="C202" t="str">
            <v>Control</v>
          </cell>
          <cell r="H202">
            <v>1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P202">
            <v>80.5</v>
          </cell>
        </row>
        <row r="203">
          <cell r="C203" t="str">
            <v>Control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53.9</v>
          </cell>
        </row>
        <row r="204">
          <cell r="C204" t="str">
            <v>Control</v>
          </cell>
          <cell r="H204">
            <v>1</v>
          </cell>
          <cell r="I204">
            <v>1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77.5</v>
          </cell>
        </row>
        <row r="205">
          <cell r="C205" t="str">
            <v>Control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84.2</v>
          </cell>
        </row>
        <row r="206">
          <cell r="C206" t="str">
            <v>Control</v>
          </cell>
          <cell r="H206">
            <v>1</v>
          </cell>
          <cell r="I206">
            <v>1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P206">
            <v>54.9</v>
          </cell>
        </row>
        <row r="207">
          <cell r="C207" t="str">
            <v>Control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69.3</v>
          </cell>
        </row>
        <row r="208">
          <cell r="C208" t="str">
            <v>Control</v>
          </cell>
          <cell r="H208">
            <v>1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2</v>
          </cell>
          <cell r="N208">
            <v>0</v>
          </cell>
          <cell r="P208">
            <v>42.3</v>
          </cell>
        </row>
        <row r="209">
          <cell r="C209" t="str">
            <v>Control</v>
          </cell>
          <cell r="H209">
            <v>1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1</v>
          </cell>
          <cell r="N209">
            <v>0</v>
          </cell>
          <cell r="P209">
            <v>69.599999999999994</v>
          </cell>
        </row>
        <row r="210">
          <cell r="C210" t="str">
            <v>Control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P210">
            <v>40.700000000000003</v>
          </cell>
        </row>
        <row r="211">
          <cell r="C211" t="str">
            <v>Control</v>
          </cell>
          <cell r="H211">
            <v>1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P211">
            <v>54</v>
          </cell>
        </row>
        <row r="212">
          <cell r="C212" t="str">
            <v>Control</v>
          </cell>
          <cell r="H212">
            <v>1</v>
          </cell>
          <cell r="I212">
            <v>1</v>
          </cell>
          <cell r="J212">
            <v>1</v>
          </cell>
          <cell r="K212">
            <v>1</v>
          </cell>
          <cell r="L212">
            <v>553.37</v>
          </cell>
          <cell r="M212">
            <v>0</v>
          </cell>
          <cell r="N212">
            <v>0</v>
          </cell>
          <cell r="O212">
            <v>5</v>
          </cell>
          <cell r="P212">
            <v>46.3</v>
          </cell>
        </row>
        <row r="213">
          <cell r="C213" t="str">
            <v>Control</v>
          </cell>
          <cell r="H213">
            <v>1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64.2</v>
          </cell>
        </row>
        <row r="214">
          <cell r="C214" t="str">
            <v>Control</v>
          </cell>
          <cell r="H214">
            <v>1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75.2</v>
          </cell>
        </row>
        <row r="215">
          <cell r="C215" t="str">
            <v>Control</v>
          </cell>
          <cell r="H215">
            <v>1</v>
          </cell>
          <cell r="I215">
            <v>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60.9</v>
          </cell>
        </row>
        <row r="216">
          <cell r="C216" t="str">
            <v>Control</v>
          </cell>
          <cell r="H216">
            <v>1</v>
          </cell>
          <cell r="I216">
            <v>1</v>
          </cell>
          <cell r="J216">
            <v>1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62.1</v>
          </cell>
        </row>
        <row r="217">
          <cell r="C217" t="str">
            <v>Control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P217">
            <v>45.4</v>
          </cell>
        </row>
        <row r="218">
          <cell r="C218" t="str">
            <v>Control</v>
          </cell>
          <cell r="H218">
            <v>1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P218">
            <v>53.3</v>
          </cell>
        </row>
        <row r="219">
          <cell r="C219" t="str">
            <v>Control</v>
          </cell>
          <cell r="H219">
            <v>1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P219">
            <v>60.02</v>
          </cell>
        </row>
        <row r="220">
          <cell r="C220" t="str">
            <v>Control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1</v>
          </cell>
          <cell r="N220">
            <v>0</v>
          </cell>
          <cell r="P220">
            <v>38.200000000000003</v>
          </cell>
        </row>
        <row r="221">
          <cell r="C221" t="str">
            <v>Control</v>
          </cell>
          <cell r="H221">
            <v>1</v>
          </cell>
          <cell r="I221">
            <v>1</v>
          </cell>
          <cell r="J221">
            <v>0</v>
          </cell>
          <cell r="K221">
            <v>0</v>
          </cell>
          <cell r="L221">
            <v>0</v>
          </cell>
          <cell r="M221">
            <v>3</v>
          </cell>
          <cell r="N221">
            <v>0</v>
          </cell>
          <cell r="P221">
            <v>59</v>
          </cell>
        </row>
        <row r="222">
          <cell r="C222" t="str">
            <v>Control</v>
          </cell>
          <cell r="H222">
            <v>1</v>
          </cell>
          <cell r="I222">
            <v>1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P222">
            <v>80.599999999999994</v>
          </cell>
        </row>
        <row r="223">
          <cell r="C223" t="str">
            <v>Control</v>
          </cell>
          <cell r="H223">
            <v>1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67</v>
          </cell>
        </row>
        <row r="224">
          <cell r="C224" t="str">
            <v>Control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1</v>
          </cell>
          <cell r="N224">
            <v>0</v>
          </cell>
          <cell r="P224">
            <v>72.099999999999994</v>
          </cell>
        </row>
        <row r="225">
          <cell r="C225" t="str">
            <v>Control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P225">
            <v>74.099999999999994</v>
          </cell>
        </row>
        <row r="226">
          <cell r="C226" t="str">
            <v>Control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P226">
            <v>84.8</v>
          </cell>
        </row>
        <row r="227">
          <cell r="C227" t="str">
            <v>Control</v>
          </cell>
          <cell r="H227">
            <v>1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P227">
            <v>33</v>
          </cell>
        </row>
        <row r="228">
          <cell r="C228" t="str">
            <v>Control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P228">
            <v>52.5</v>
          </cell>
        </row>
        <row r="229">
          <cell r="C229" t="str">
            <v>Control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>
            <v>66.900000000000006</v>
          </cell>
        </row>
        <row r="230">
          <cell r="C230" t="str">
            <v>Control</v>
          </cell>
          <cell r="H230">
            <v>1</v>
          </cell>
          <cell r="I230">
            <v>1</v>
          </cell>
          <cell r="J230">
            <v>1</v>
          </cell>
          <cell r="K230">
            <v>0</v>
          </cell>
          <cell r="L230">
            <v>0</v>
          </cell>
          <cell r="M230">
            <v>1</v>
          </cell>
          <cell r="N230">
            <v>0</v>
          </cell>
          <cell r="P230">
            <v>32.700000000000003</v>
          </cell>
        </row>
        <row r="231">
          <cell r="C231" t="str">
            <v>Control</v>
          </cell>
          <cell r="H231">
            <v>1</v>
          </cell>
          <cell r="I231">
            <v>1</v>
          </cell>
          <cell r="J231">
            <v>1</v>
          </cell>
          <cell r="K231">
            <v>0</v>
          </cell>
          <cell r="L231">
            <v>0</v>
          </cell>
          <cell r="M231">
            <v>1</v>
          </cell>
          <cell r="N231">
            <v>0</v>
          </cell>
          <cell r="P231">
            <v>70.599999999999994</v>
          </cell>
        </row>
        <row r="232">
          <cell r="C232" t="str">
            <v>Control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69.400000000000006</v>
          </cell>
        </row>
        <row r="233">
          <cell r="C233" t="str">
            <v>Control</v>
          </cell>
          <cell r="H233">
            <v>1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56.1</v>
          </cell>
        </row>
        <row r="234">
          <cell r="C234" t="str">
            <v>Control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P234">
            <v>55.8</v>
          </cell>
        </row>
        <row r="235">
          <cell r="C235" t="str">
            <v>Control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P235">
            <v>49.3</v>
          </cell>
        </row>
        <row r="236">
          <cell r="C236" t="str">
            <v>Control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71.8</v>
          </cell>
        </row>
        <row r="237">
          <cell r="C237" t="str">
            <v>Control</v>
          </cell>
          <cell r="H237">
            <v>1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3</v>
          </cell>
          <cell r="N237">
            <v>0</v>
          </cell>
          <cell r="P237">
            <v>39.700000000000003</v>
          </cell>
        </row>
        <row r="238">
          <cell r="C238" t="str">
            <v>Control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45.4</v>
          </cell>
        </row>
        <row r="239">
          <cell r="C239" t="str">
            <v>Control</v>
          </cell>
          <cell r="H239">
            <v>1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P239">
            <v>69.900000000000006</v>
          </cell>
        </row>
        <row r="240">
          <cell r="C240" t="str">
            <v>Control</v>
          </cell>
          <cell r="H240">
            <v>1</v>
          </cell>
          <cell r="I240">
            <v>1</v>
          </cell>
          <cell r="J240">
            <v>1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56.1</v>
          </cell>
        </row>
        <row r="241">
          <cell r="C241" t="str">
            <v>Control</v>
          </cell>
          <cell r="H241">
            <v>1</v>
          </cell>
          <cell r="I241">
            <v>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P241">
            <v>45.9</v>
          </cell>
        </row>
        <row r="242">
          <cell r="C242" t="str">
            <v>Control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P242">
            <v>65.8</v>
          </cell>
        </row>
        <row r="243">
          <cell r="C243" t="str">
            <v>Control</v>
          </cell>
          <cell r="H243">
            <v>1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P243">
            <v>48.2</v>
          </cell>
        </row>
        <row r="244">
          <cell r="C244" t="str">
            <v>Control</v>
          </cell>
          <cell r="H244">
            <v>1</v>
          </cell>
          <cell r="I244">
            <v>1</v>
          </cell>
          <cell r="J244">
            <v>1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P244">
            <v>81.099999999999994</v>
          </cell>
        </row>
        <row r="245">
          <cell r="C245" t="str">
            <v>Control</v>
          </cell>
          <cell r="H245">
            <v>1</v>
          </cell>
          <cell r="I245">
            <v>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P245">
            <v>53.2</v>
          </cell>
        </row>
        <row r="246">
          <cell r="C246" t="str">
            <v>Control</v>
          </cell>
          <cell r="H246">
            <v>1</v>
          </cell>
          <cell r="I246">
            <v>1</v>
          </cell>
          <cell r="J246">
            <v>1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>
            <v>57.7</v>
          </cell>
        </row>
        <row r="247">
          <cell r="C247" t="str">
            <v>Control</v>
          </cell>
          <cell r="H247">
            <v>1</v>
          </cell>
          <cell r="I247">
            <v>1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78.900000000000006</v>
          </cell>
        </row>
        <row r="248">
          <cell r="C248" t="str">
            <v>Control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55.7</v>
          </cell>
        </row>
        <row r="249">
          <cell r="C249" t="str">
            <v>Control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P249">
            <v>52.3</v>
          </cell>
        </row>
        <row r="250">
          <cell r="C250" t="str">
            <v>Control</v>
          </cell>
          <cell r="H250">
            <v>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P250">
            <v>51.5</v>
          </cell>
        </row>
        <row r="251">
          <cell r="C251" t="str">
            <v>Control</v>
          </cell>
          <cell r="H251">
            <v>1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P251">
            <v>70.8</v>
          </cell>
        </row>
        <row r="252">
          <cell r="C252" t="str">
            <v>Control</v>
          </cell>
          <cell r="H252">
            <v>1</v>
          </cell>
          <cell r="I252">
            <v>1</v>
          </cell>
          <cell r="J252">
            <v>1</v>
          </cell>
          <cell r="K252">
            <v>1</v>
          </cell>
          <cell r="L252">
            <v>1250.78</v>
          </cell>
          <cell r="M252">
            <v>0</v>
          </cell>
          <cell r="N252">
            <v>0</v>
          </cell>
          <cell r="O252">
            <v>10</v>
          </cell>
          <cell r="P252">
            <v>39</v>
          </cell>
        </row>
        <row r="253">
          <cell r="C253" t="str">
            <v>Control</v>
          </cell>
          <cell r="H253">
            <v>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61.6</v>
          </cell>
        </row>
        <row r="254">
          <cell r="C254" t="str">
            <v>Control</v>
          </cell>
          <cell r="H254">
            <v>1</v>
          </cell>
          <cell r="I254">
            <v>1</v>
          </cell>
          <cell r="J254">
            <v>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46.8</v>
          </cell>
        </row>
        <row r="255">
          <cell r="C255" t="str">
            <v>Control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1</v>
          </cell>
          <cell r="N255">
            <v>0</v>
          </cell>
          <cell r="P255">
            <v>58.5</v>
          </cell>
        </row>
        <row r="256">
          <cell r="C256" t="str">
            <v>Control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P256">
            <v>70.900000000000006</v>
          </cell>
        </row>
        <row r="257">
          <cell r="C257" t="str">
            <v>Control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P257">
            <v>48.4</v>
          </cell>
        </row>
        <row r="258">
          <cell r="C258" t="str">
            <v>Control</v>
          </cell>
          <cell r="H258">
            <v>1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P258">
            <v>58</v>
          </cell>
        </row>
        <row r="259">
          <cell r="C259" t="str">
            <v>Control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P259">
            <v>61.6</v>
          </cell>
        </row>
        <row r="260">
          <cell r="C260" t="str">
            <v>Control</v>
          </cell>
          <cell r="H260">
            <v>1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P260">
            <v>43.2</v>
          </cell>
        </row>
        <row r="261">
          <cell r="C261" t="str">
            <v>Control</v>
          </cell>
          <cell r="H261">
            <v>1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1</v>
          </cell>
          <cell r="N261">
            <v>0</v>
          </cell>
          <cell r="P261">
            <v>53.3</v>
          </cell>
        </row>
        <row r="262">
          <cell r="C262" t="str">
            <v>Control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P262">
            <v>33.9</v>
          </cell>
        </row>
        <row r="263">
          <cell r="C263" t="str">
            <v>Control</v>
          </cell>
          <cell r="H263">
            <v>1</v>
          </cell>
          <cell r="I263">
            <v>1</v>
          </cell>
          <cell r="J263">
            <v>1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P263">
            <v>35.4</v>
          </cell>
        </row>
        <row r="264">
          <cell r="C264" t="str">
            <v>Control</v>
          </cell>
          <cell r="H264">
            <v>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P264">
            <v>45</v>
          </cell>
        </row>
        <row r="265">
          <cell r="C265" t="str">
            <v>Control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86.5</v>
          </cell>
        </row>
        <row r="266">
          <cell r="C266" t="str">
            <v>Control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58.1</v>
          </cell>
        </row>
        <row r="267">
          <cell r="C267" t="str">
            <v>Control</v>
          </cell>
          <cell r="H267">
            <v>1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36.1</v>
          </cell>
        </row>
        <row r="268">
          <cell r="C268" t="str">
            <v>Control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62.8</v>
          </cell>
        </row>
        <row r="269">
          <cell r="C269" t="str">
            <v>Control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P269">
            <v>54.2</v>
          </cell>
        </row>
        <row r="270">
          <cell r="C270" t="str">
            <v>Control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P270">
            <v>50</v>
          </cell>
        </row>
        <row r="271">
          <cell r="C271" t="str">
            <v>Control</v>
          </cell>
          <cell r="H271">
            <v>1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62</v>
          </cell>
        </row>
        <row r="272">
          <cell r="C272" t="str">
            <v>Control</v>
          </cell>
          <cell r="H272">
            <v>1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29.3</v>
          </cell>
        </row>
        <row r="273">
          <cell r="C273" t="str">
            <v>Control</v>
          </cell>
          <cell r="H273">
            <v>1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67.900000000000006</v>
          </cell>
        </row>
        <row r="274">
          <cell r="C274" t="str">
            <v>Control</v>
          </cell>
          <cell r="H274">
            <v>1</v>
          </cell>
          <cell r="I274">
            <v>1</v>
          </cell>
          <cell r="J274">
            <v>1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P274">
            <v>67.599999999999994</v>
          </cell>
        </row>
        <row r="275">
          <cell r="C275" t="str">
            <v>Control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67.400000000000006</v>
          </cell>
        </row>
        <row r="276">
          <cell r="C276" t="str">
            <v>Control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2</v>
          </cell>
          <cell r="N276">
            <v>0</v>
          </cell>
          <cell r="P276">
            <v>53</v>
          </cell>
        </row>
        <row r="277">
          <cell r="C277" t="str">
            <v>Control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P277">
            <v>65.5</v>
          </cell>
        </row>
        <row r="278">
          <cell r="C278" t="str">
            <v>Control</v>
          </cell>
          <cell r="H278">
            <v>1</v>
          </cell>
          <cell r="I278">
            <v>1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P278">
            <v>49.6</v>
          </cell>
        </row>
        <row r="279">
          <cell r="C279" t="str">
            <v>Control</v>
          </cell>
          <cell r="H279">
            <v>1</v>
          </cell>
          <cell r="I279">
            <v>1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P279">
            <v>74.5</v>
          </cell>
        </row>
        <row r="280">
          <cell r="C280" t="str">
            <v>Control</v>
          </cell>
          <cell r="H280">
            <v>1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1</v>
          </cell>
          <cell r="N280">
            <v>0</v>
          </cell>
          <cell r="P280">
            <v>46.9</v>
          </cell>
        </row>
        <row r="281">
          <cell r="C281" t="str">
            <v>Control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87.1</v>
          </cell>
        </row>
        <row r="282">
          <cell r="C282" t="str">
            <v>Control</v>
          </cell>
          <cell r="H282">
            <v>1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56</v>
          </cell>
        </row>
        <row r="283">
          <cell r="C283" t="str">
            <v>Control</v>
          </cell>
          <cell r="H283">
            <v>1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1</v>
          </cell>
          <cell r="N283">
            <v>0</v>
          </cell>
          <cell r="P283">
            <v>61.7</v>
          </cell>
        </row>
        <row r="284">
          <cell r="C284" t="str">
            <v>Control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1</v>
          </cell>
          <cell r="N284">
            <v>0</v>
          </cell>
          <cell r="P284">
            <v>70.5</v>
          </cell>
        </row>
        <row r="285">
          <cell r="C285" t="str">
            <v>Control</v>
          </cell>
          <cell r="H285">
            <v>1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P285">
            <v>33.4</v>
          </cell>
        </row>
        <row r="286">
          <cell r="C286" t="str">
            <v>Control</v>
          </cell>
          <cell r="H286">
            <v>1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P286">
            <v>57.5</v>
          </cell>
        </row>
        <row r="287">
          <cell r="C287" t="str">
            <v>Control</v>
          </cell>
          <cell r="H287">
            <v>1</v>
          </cell>
          <cell r="I287">
            <v>1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85.7</v>
          </cell>
        </row>
        <row r="288">
          <cell r="C288" t="str">
            <v>Control</v>
          </cell>
          <cell r="H288">
            <v>1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41.9</v>
          </cell>
        </row>
        <row r="289">
          <cell r="C289" t="str">
            <v>Control</v>
          </cell>
          <cell r="H289">
            <v>1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70.2</v>
          </cell>
        </row>
        <row r="290">
          <cell r="C290" t="str">
            <v>Control</v>
          </cell>
          <cell r="H290">
            <v>1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P290">
            <v>42.6</v>
          </cell>
        </row>
        <row r="291">
          <cell r="C291" t="str">
            <v>Control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2</v>
          </cell>
          <cell r="N291">
            <v>0</v>
          </cell>
          <cell r="P291">
            <v>30.4</v>
          </cell>
        </row>
        <row r="292">
          <cell r="C292" t="str">
            <v>Control</v>
          </cell>
          <cell r="H292">
            <v>1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P292">
            <v>63.7</v>
          </cell>
        </row>
        <row r="293">
          <cell r="C293" t="str">
            <v>Control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P293">
            <v>42.7</v>
          </cell>
        </row>
        <row r="294">
          <cell r="C294" t="str">
            <v>Control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P294">
            <v>74.3</v>
          </cell>
        </row>
        <row r="295">
          <cell r="C295" t="str">
            <v>Control</v>
          </cell>
          <cell r="H295">
            <v>1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P295">
            <v>40.6</v>
          </cell>
        </row>
        <row r="296">
          <cell r="C296" t="str">
            <v>Control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>
            <v>67</v>
          </cell>
        </row>
        <row r="297">
          <cell r="C297" t="str">
            <v>Control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51</v>
          </cell>
        </row>
        <row r="298">
          <cell r="C298" t="str">
            <v>Control</v>
          </cell>
          <cell r="H298">
            <v>1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1</v>
          </cell>
          <cell r="N298">
            <v>0</v>
          </cell>
          <cell r="P298">
            <v>54.8</v>
          </cell>
        </row>
        <row r="299">
          <cell r="C299" t="str">
            <v>Control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40.799999999999997</v>
          </cell>
        </row>
        <row r="300">
          <cell r="C300" t="str">
            <v>Control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48.8</v>
          </cell>
        </row>
        <row r="301">
          <cell r="C301" t="str">
            <v>Control</v>
          </cell>
          <cell r="H301">
            <v>1</v>
          </cell>
          <cell r="I301">
            <v>1</v>
          </cell>
          <cell r="J301">
            <v>1</v>
          </cell>
          <cell r="K301">
            <v>1</v>
          </cell>
          <cell r="L301">
            <v>1198.69</v>
          </cell>
          <cell r="M301">
            <v>1</v>
          </cell>
          <cell r="N301">
            <v>0</v>
          </cell>
          <cell r="O301">
            <v>6</v>
          </cell>
          <cell r="P301">
            <v>88.9</v>
          </cell>
        </row>
        <row r="302">
          <cell r="C302" t="str">
            <v>Control</v>
          </cell>
          <cell r="H302">
            <v>1</v>
          </cell>
          <cell r="I302">
            <v>1</v>
          </cell>
          <cell r="J302">
            <v>1</v>
          </cell>
          <cell r="K302">
            <v>0</v>
          </cell>
          <cell r="L302">
            <v>0</v>
          </cell>
          <cell r="M302">
            <v>1</v>
          </cell>
          <cell r="N302">
            <v>0</v>
          </cell>
          <cell r="P302">
            <v>60.5</v>
          </cell>
        </row>
        <row r="303">
          <cell r="C303" t="str">
            <v>Control</v>
          </cell>
          <cell r="H303">
            <v>1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63.6</v>
          </cell>
        </row>
        <row r="304">
          <cell r="C304" t="str">
            <v>Control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6788.95</v>
          </cell>
          <cell r="M304">
            <v>0</v>
          </cell>
          <cell r="N304">
            <v>0</v>
          </cell>
          <cell r="O304">
            <v>17</v>
          </cell>
          <cell r="P304">
            <v>58.4</v>
          </cell>
        </row>
        <row r="305">
          <cell r="C305" t="str">
            <v>Control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52.7</v>
          </cell>
        </row>
        <row r="306">
          <cell r="C306" t="str">
            <v>Control</v>
          </cell>
          <cell r="H306">
            <v>1</v>
          </cell>
          <cell r="I306">
            <v>1</v>
          </cell>
          <cell r="J306">
            <v>1</v>
          </cell>
          <cell r="K306">
            <v>0</v>
          </cell>
          <cell r="L306">
            <v>0</v>
          </cell>
          <cell r="M306">
            <v>2</v>
          </cell>
          <cell r="N306">
            <v>0</v>
          </cell>
          <cell r="P306">
            <v>48.9</v>
          </cell>
        </row>
        <row r="307">
          <cell r="C307" t="str">
            <v>Control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79.7</v>
          </cell>
        </row>
        <row r="308">
          <cell r="C308" t="str">
            <v>Control</v>
          </cell>
          <cell r="H308">
            <v>1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P308">
            <v>44.9</v>
          </cell>
        </row>
        <row r="309">
          <cell r="C309" t="str">
            <v>Control</v>
          </cell>
          <cell r="H309">
            <v>1</v>
          </cell>
          <cell r="I309">
            <v>1</v>
          </cell>
          <cell r="J309">
            <v>1</v>
          </cell>
          <cell r="K309">
            <v>1</v>
          </cell>
          <cell r="L309">
            <v>409.39</v>
          </cell>
          <cell r="M309">
            <v>0</v>
          </cell>
          <cell r="N309">
            <v>0</v>
          </cell>
          <cell r="O309">
            <v>10</v>
          </cell>
          <cell r="P309">
            <v>38.799999999999997</v>
          </cell>
        </row>
        <row r="310">
          <cell r="C310" t="str">
            <v>Control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P310">
            <v>70</v>
          </cell>
        </row>
        <row r="311">
          <cell r="C311" t="str">
            <v>Control</v>
          </cell>
          <cell r="H311">
            <v>1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P311">
            <v>77.7</v>
          </cell>
        </row>
        <row r="312">
          <cell r="C312" t="str">
            <v>Control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P312">
            <v>71.2</v>
          </cell>
        </row>
        <row r="313">
          <cell r="C313" t="str">
            <v>Control</v>
          </cell>
          <cell r="H313">
            <v>1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43.8</v>
          </cell>
        </row>
        <row r="314">
          <cell r="C314" t="str">
            <v>Control</v>
          </cell>
          <cell r="H314">
            <v>1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50.9</v>
          </cell>
        </row>
        <row r="315">
          <cell r="C315" t="str">
            <v>Control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P315">
            <v>58.5</v>
          </cell>
        </row>
        <row r="316">
          <cell r="C316" t="str">
            <v>Control</v>
          </cell>
          <cell r="H316">
            <v>1</v>
          </cell>
          <cell r="I316">
            <v>1</v>
          </cell>
          <cell r="J316">
            <v>1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P316">
            <v>53.6</v>
          </cell>
        </row>
        <row r="317">
          <cell r="C317" t="str">
            <v>Control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54.9</v>
          </cell>
        </row>
        <row r="318">
          <cell r="C318" t="str">
            <v>Control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57.3</v>
          </cell>
        </row>
        <row r="319">
          <cell r="C319" t="str">
            <v>Control</v>
          </cell>
          <cell r="H319">
            <v>1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52.1</v>
          </cell>
        </row>
        <row r="320">
          <cell r="C320" t="str">
            <v>Control</v>
          </cell>
          <cell r="H320">
            <v>1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P320">
            <v>80</v>
          </cell>
        </row>
        <row r="321">
          <cell r="C321" t="str">
            <v>Control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P321">
            <v>39.299999999999997</v>
          </cell>
        </row>
        <row r="322">
          <cell r="C322" t="str">
            <v>Control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P322">
            <v>45.7</v>
          </cell>
        </row>
        <row r="323">
          <cell r="C323" t="str">
            <v>Control</v>
          </cell>
          <cell r="H323">
            <v>1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2</v>
          </cell>
          <cell r="N323">
            <v>0</v>
          </cell>
          <cell r="P323">
            <v>61.2</v>
          </cell>
        </row>
        <row r="324">
          <cell r="C324" t="str">
            <v>Control</v>
          </cell>
          <cell r="H324">
            <v>1</v>
          </cell>
          <cell r="I324">
            <v>1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P324">
            <v>66.2</v>
          </cell>
        </row>
        <row r="325">
          <cell r="C325" t="str">
            <v>Control</v>
          </cell>
          <cell r="H325">
            <v>1</v>
          </cell>
          <cell r="I325">
            <v>1</v>
          </cell>
          <cell r="J325">
            <v>1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P325">
            <v>61.3</v>
          </cell>
        </row>
        <row r="326">
          <cell r="C326" t="str">
            <v>Control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P326">
            <v>72.2</v>
          </cell>
        </row>
        <row r="327">
          <cell r="C327" t="str">
            <v>Control</v>
          </cell>
          <cell r="H327">
            <v>1</v>
          </cell>
          <cell r="I327">
            <v>1</v>
          </cell>
          <cell r="J327">
            <v>1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P327">
            <v>84</v>
          </cell>
        </row>
        <row r="328">
          <cell r="C328" t="str">
            <v>Control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59.8</v>
          </cell>
        </row>
        <row r="329">
          <cell r="C329" t="str">
            <v>Control</v>
          </cell>
          <cell r="H329">
            <v>1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64.900000000000006</v>
          </cell>
        </row>
        <row r="330">
          <cell r="C330" t="str">
            <v>Control</v>
          </cell>
          <cell r="H330">
            <v>1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P330">
            <v>66.8</v>
          </cell>
        </row>
        <row r="331">
          <cell r="C331" t="str">
            <v>Control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P331">
            <v>70.900000000000006</v>
          </cell>
        </row>
        <row r="332">
          <cell r="C332" t="str">
            <v>Control</v>
          </cell>
          <cell r="H332">
            <v>1</v>
          </cell>
          <cell r="I332">
            <v>1</v>
          </cell>
          <cell r="J332">
            <v>1</v>
          </cell>
          <cell r="K332">
            <v>1</v>
          </cell>
          <cell r="L332">
            <v>426.82</v>
          </cell>
          <cell r="M332">
            <v>1</v>
          </cell>
          <cell r="N332">
            <v>0</v>
          </cell>
          <cell r="O332">
            <v>14</v>
          </cell>
          <cell r="P332">
            <v>68.8</v>
          </cell>
        </row>
        <row r="333">
          <cell r="C333" t="str">
            <v>Control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72.400000000000006</v>
          </cell>
        </row>
        <row r="334">
          <cell r="C334" t="str">
            <v>Control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63.3</v>
          </cell>
        </row>
        <row r="335">
          <cell r="C335" t="str">
            <v>Control</v>
          </cell>
          <cell r="H335">
            <v>1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P335">
            <v>30.8</v>
          </cell>
        </row>
        <row r="336">
          <cell r="C336" t="str">
            <v>Control</v>
          </cell>
          <cell r="H336">
            <v>1</v>
          </cell>
          <cell r="I336">
            <v>1</v>
          </cell>
          <cell r="J336">
            <v>1</v>
          </cell>
          <cell r="K336">
            <v>1</v>
          </cell>
          <cell r="L336">
            <v>874.55</v>
          </cell>
          <cell r="M336">
            <v>0</v>
          </cell>
          <cell r="N336">
            <v>0</v>
          </cell>
          <cell r="O336">
            <v>9</v>
          </cell>
          <cell r="P336">
            <v>44.2</v>
          </cell>
        </row>
        <row r="337">
          <cell r="C337" t="str">
            <v>Control</v>
          </cell>
          <cell r="H337">
            <v>1</v>
          </cell>
          <cell r="I337">
            <v>1</v>
          </cell>
          <cell r="J337">
            <v>1</v>
          </cell>
          <cell r="K337">
            <v>1</v>
          </cell>
          <cell r="L337">
            <v>2206.88</v>
          </cell>
          <cell r="M337">
            <v>0</v>
          </cell>
          <cell r="N337">
            <v>0</v>
          </cell>
          <cell r="O337">
            <v>10</v>
          </cell>
          <cell r="P337">
            <v>56.2</v>
          </cell>
        </row>
        <row r="338">
          <cell r="C338" t="str">
            <v>Control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P338">
            <v>40.4</v>
          </cell>
        </row>
        <row r="339">
          <cell r="C339" t="str">
            <v>Control</v>
          </cell>
          <cell r="H339">
            <v>1</v>
          </cell>
          <cell r="I339">
            <v>1</v>
          </cell>
          <cell r="J339">
            <v>1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P339">
            <v>68.099999999999994</v>
          </cell>
        </row>
        <row r="340">
          <cell r="C340" t="str">
            <v>Control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P340">
            <v>86.3</v>
          </cell>
        </row>
        <row r="341">
          <cell r="C341" t="str">
            <v>Control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P341">
            <v>42.9</v>
          </cell>
        </row>
        <row r="342">
          <cell r="C342" t="str">
            <v>Control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61.4</v>
          </cell>
        </row>
        <row r="343">
          <cell r="C343" t="str">
            <v>Control</v>
          </cell>
          <cell r="H343">
            <v>1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1</v>
          </cell>
          <cell r="N343">
            <v>0</v>
          </cell>
          <cell r="P343">
            <v>73.3</v>
          </cell>
        </row>
        <row r="344">
          <cell r="C344" t="str">
            <v>Control</v>
          </cell>
          <cell r="H344">
            <v>1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59.4</v>
          </cell>
        </row>
        <row r="345">
          <cell r="C345" t="str">
            <v>Control</v>
          </cell>
          <cell r="H345">
            <v>1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35.200000000000003</v>
          </cell>
        </row>
        <row r="346">
          <cell r="C346" t="str">
            <v>Control</v>
          </cell>
          <cell r="H346">
            <v>1</v>
          </cell>
          <cell r="I346">
            <v>1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P346">
            <v>55.3</v>
          </cell>
        </row>
        <row r="347">
          <cell r="C347" t="str">
            <v>Control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37.5</v>
          </cell>
        </row>
        <row r="348">
          <cell r="C348" t="str">
            <v>Control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1</v>
          </cell>
          <cell r="N348">
            <v>0</v>
          </cell>
          <cell r="P348">
            <v>66.400000000000006</v>
          </cell>
        </row>
        <row r="349">
          <cell r="C349" t="str">
            <v>Control</v>
          </cell>
          <cell r="H349">
            <v>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61.9</v>
          </cell>
        </row>
        <row r="350">
          <cell r="C350" t="str">
            <v>Control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P350">
            <v>56</v>
          </cell>
        </row>
        <row r="351">
          <cell r="C351" t="str">
            <v>Control</v>
          </cell>
          <cell r="H351">
            <v>1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55.5</v>
          </cell>
        </row>
        <row r="352">
          <cell r="C352" t="str">
            <v>Control</v>
          </cell>
          <cell r="H352">
            <v>1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P352">
            <v>37.200000000000003</v>
          </cell>
        </row>
        <row r="353">
          <cell r="C353" t="str">
            <v>Control</v>
          </cell>
          <cell r="H353">
            <v>1</v>
          </cell>
          <cell r="I353">
            <v>1</v>
          </cell>
          <cell r="J353">
            <v>0</v>
          </cell>
          <cell r="K353">
            <v>0</v>
          </cell>
          <cell r="L353">
            <v>0</v>
          </cell>
          <cell r="M353">
            <v>1</v>
          </cell>
          <cell r="N353">
            <v>0</v>
          </cell>
          <cell r="P353">
            <v>70.5</v>
          </cell>
        </row>
        <row r="354">
          <cell r="C354" t="str">
            <v>Control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P354">
            <v>61.2</v>
          </cell>
        </row>
        <row r="355">
          <cell r="C355" t="str">
            <v>Control</v>
          </cell>
          <cell r="H355">
            <v>1</v>
          </cell>
          <cell r="I355">
            <v>1</v>
          </cell>
          <cell r="J355">
            <v>1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P355">
            <v>64.599999999999994</v>
          </cell>
        </row>
        <row r="356">
          <cell r="C356" t="str">
            <v>Control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P356">
            <v>91.7</v>
          </cell>
        </row>
        <row r="357">
          <cell r="C357" t="str">
            <v>Control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46</v>
          </cell>
        </row>
        <row r="358">
          <cell r="C358" t="str">
            <v>Control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50.8</v>
          </cell>
        </row>
        <row r="359">
          <cell r="C359" t="str">
            <v>Control</v>
          </cell>
          <cell r="H359">
            <v>1</v>
          </cell>
          <cell r="I359">
            <v>1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52.8</v>
          </cell>
        </row>
        <row r="360">
          <cell r="C360" t="str">
            <v>Control</v>
          </cell>
          <cell r="H360">
            <v>1</v>
          </cell>
          <cell r="I360">
            <v>1</v>
          </cell>
          <cell r="J360">
            <v>1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63</v>
          </cell>
        </row>
        <row r="361">
          <cell r="C361" t="str">
            <v>Control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P361">
            <v>28.4</v>
          </cell>
        </row>
        <row r="362">
          <cell r="C362" t="str">
            <v>Control</v>
          </cell>
          <cell r="H362">
            <v>1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65.599999999999994</v>
          </cell>
        </row>
        <row r="363">
          <cell r="C363" t="str">
            <v>Control</v>
          </cell>
          <cell r="H363">
            <v>1</v>
          </cell>
          <cell r="I363">
            <v>1</v>
          </cell>
          <cell r="J363">
            <v>1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54.7</v>
          </cell>
        </row>
        <row r="364">
          <cell r="C364" t="str">
            <v>Control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36.1</v>
          </cell>
        </row>
        <row r="365">
          <cell r="C365" t="str">
            <v>Control</v>
          </cell>
          <cell r="H365">
            <v>1</v>
          </cell>
          <cell r="I365">
            <v>1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P365">
            <v>70.400000000000006</v>
          </cell>
        </row>
        <row r="366">
          <cell r="C366" t="str">
            <v>Control</v>
          </cell>
          <cell r="H366">
            <v>1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56.4</v>
          </cell>
        </row>
        <row r="367">
          <cell r="C367" t="str">
            <v>Control</v>
          </cell>
          <cell r="H367">
            <v>1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>
            <v>79.2</v>
          </cell>
        </row>
        <row r="368">
          <cell r="C368" t="str">
            <v>Control</v>
          </cell>
          <cell r="H368">
            <v>1</v>
          </cell>
          <cell r="I368">
            <v>1</v>
          </cell>
          <cell r="J368">
            <v>1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P368">
            <v>60.1</v>
          </cell>
        </row>
        <row r="369">
          <cell r="C369" t="str">
            <v>Control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P369">
            <v>58</v>
          </cell>
        </row>
        <row r="370">
          <cell r="C370" t="str">
            <v>Control</v>
          </cell>
          <cell r="H370">
            <v>1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P370">
            <v>69</v>
          </cell>
        </row>
        <row r="371">
          <cell r="C371" t="str">
            <v>Control</v>
          </cell>
          <cell r="H371">
            <v>1</v>
          </cell>
          <cell r="I371">
            <v>1</v>
          </cell>
          <cell r="J371">
            <v>1</v>
          </cell>
          <cell r="K371">
            <v>0</v>
          </cell>
          <cell r="L371">
            <v>0</v>
          </cell>
          <cell r="M371">
            <v>1</v>
          </cell>
          <cell r="N371">
            <v>0</v>
          </cell>
          <cell r="P371">
            <v>80.8</v>
          </cell>
        </row>
        <row r="372">
          <cell r="C372" t="str">
            <v>Control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32.799999999999997</v>
          </cell>
        </row>
        <row r="373">
          <cell r="C373" t="str">
            <v>Control</v>
          </cell>
          <cell r="H373">
            <v>1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56</v>
          </cell>
        </row>
        <row r="374">
          <cell r="C374" t="str">
            <v>Control</v>
          </cell>
          <cell r="H374">
            <v>1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76.400000000000006</v>
          </cell>
        </row>
        <row r="375">
          <cell r="C375" t="str">
            <v>Control</v>
          </cell>
          <cell r="H375">
            <v>1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28.5</v>
          </cell>
        </row>
        <row r="376">
          <cell r="C376" t="str">
            <v>Control</v>
          </cell>
          <cell r="H376">
            <v>1</v>
          </cell>
          <cell r="I376">
            <v>1</v>
          </cell>
          <cell r="J376">
            <v>1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P376">
            <v>48.3</v>
          </cell>
        </row>
        <row r="377">
          <cell r="C377" t="str">
            <v>Control</v>
          </cell>
          <cell r="H377">
            <v>1</v>
          </cell>
          <cell r="I377">
            <v>1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43.4</v>
          </cell>
        </row>
        <row r="378">
          <cell r="C378" t="str">
            <v>Control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43</v>
          </cell>
        </row>
        <row r="379">
          <cell r="C379" t="str">
            <v>Control</v>
          </cell>
          <cell r="H379">
            <v>1</v>
          </cell>
          <cell r="I379">
            <v>1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91.8</v>
          </cell>
        </row>
        <row r="380">
          <cell r="C380" t="str">
            <v>Control</v>
          </cell>
          <cell r="H380">
            <v>1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</v>
          </cell>
          <cell r="N380">
            <v>0</v>
          </cell>
          <cell r="P380">
            <v>69.3</v>
          </cell>
        </row>
        <row r="381">
          <cell r="C381" t="str">
            <v>Control</v>
          </cell>
          <cell r="H381">
            <v>1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58.9</v>
          </cell>
        </row>
        <row r="382">
          <cell r="C382" t="str">
            <v>Control</v>
          </cell>
          <cell r="H382">
            <v>1</v>
          </cell>
          <cell r="I382">
            <v>1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P382">
            <v>76</v>
          </cell>
        </row>
        <row r="383">
          <cell r="C383" t="str">
            <v>Control</v>
          </cell>
          <cell r="H383">
            <v>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P383">
            <v>46</v>
          </cell>
        </row>
        <row r="384">
          <cell r="C384" t="str">
            <v>Control</v>
          </cell>
          <cell r="H384">
            <v>1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P384">
            <v>54.1</v>
          </cell>
        </row>
        <row r="385">
          <cell r="C385" t="str">
            <v>Control</v>
          </cell>
          <cell r="H385">
            <v>1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P385">
            <v>82.4</v>
          </cell>
        </row>
        <row r="386">
          <cell r="C386" t="str">
            <v>Control</v>
          </cell>
          <cell r="H386">
            <v>1</v>
          </cell>
          <cell r="I386">
            <v>1</v>
          </cell>
          <cell r="J386">
            <v>1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P386">
            <v>71.900000000000006</v>
          </cell>
        </row>
        <row r="387">
          <cell r="C387" t="str">
            <v>Control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2</v>
          </cell>
          <cell r="N387">
            <v>0</v>
          </cell>
          <cell r="P387">
            <v>38</v>
          </cell>
        </row>
        <row r="388">
          <cell r="C388" t="str">
            <v>Control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43.7</v>
          </cell>
        </row>
        <row r="389">
          <cell r="C389" t="str">
            <v>Control</v>
          </cell>
          <cell r="H389">
            <v>1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1</v>
          </cell>
          <cell r="N389">
            <v>0</v>
          </cell>
          <cell r="P389">
            <v>32.200000000000003</v>
          </cell>
        </row>
        <row r="390">
          <cell r="C390" t="str">
            <v>Control</v>
          </cell>
          <cell r="H390">
            <v>1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P390">
            <v>61</v>
          </cell>
        </row>
        <row r="391">
          <cell r="C391" t="str">
            <v>Control</v>
          </cell>
          <cell r="H391">
            <v>1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P391">
            <v>49</v>
          </cell>
        </row>
        <row r="392">
          <cell r="C392" t="str">
            <v>Control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48.1</v>
          </cell>
        </row>
        <row r="393">
          <cell r="C393" t="str">
            <v>Control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2</v>
          </cell>
          <cell r="N393">
            <v>0</v>
          </cell>
          <cell r="P393">
            <v>46.3</v>
          </cell>
        </row>
        <row r="394">
          <cell r="C394" t="str">
            <v>Control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64</v>
          </cell>
        </row>
        <row r="395">
          <cell r="C395" t="str">
            <v>Control</v>
          </cell>
          <cell r="H395">
            <v>1</v>
          </cell>
          <cell r="I395">
            <v>1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P395">
            <v>56.2</v>
          </cell>
        </row>
        <row r="396">
          <cell r="C396" t="str">
            <v>Control</v>
          </cell>
          <cell r="H396">
            <v>1</v>
          </cell>
          <cell r="I396">
            <v>1</v>
          </cell>
          <cell r="J396">
            <v>1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P396">
            <v>77.5</v>
          </cell>
        </row>
        <row r="397">
          <cell r="C397" t="str">
            <v>Control</v>
          </cell>
          <cell r="H397">
            <v>1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P397">
            <v>59.9</v>
          </cell>
        </row>
        <row r="398">
          <cell r="C398" t="str">
            <v>Control</v>
          </cell>
          <cell r="H398">
            <v>1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P398">
            <v>63</v>
          </cell>
        </row>
        <row r="399">
          <cell r="C399" t="str">
            <v>Control</v>
          </cell>
          <cell r="H399">
            <v>1</v>
          </cell>
          <cell r="I399">
            <v>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P399">
            <v>76.5</v>
          </cell>
        </row>
        <row r="400">
          <cell r="C400" t="str">
            <v>Control</v>
          </cell>
          <cell r="H400">
            <v>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P400">
            <v>39.700000000000003</v>
          </cell>
        </row>
        <row r="401">
          <cell r="C401" t="str">
            <v>Control</v>
          </cell>
          <cell r="H401">
            <v>1</v>
          </cell>
          <cell r="I401">
            <v>1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P401">
            <v>80.2</v>
          </cell>
        </row>
        <row r="402">
          <cell r="C402" t="str">
            <v>Control</v>
          </cell>
          <cell r="H402">
            <v>1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P402">
            <v>72.2</v>
          </cell>
        </row>
        <row r="403">
          <cell r="C403" t="str">
            <v>Control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56</v>
          </cell>
        </row>
        <row r="404">
          <cell r="C404" t="str">
            <v>Control</v>
          </cell>
          <cell r="H404">
            <v>1</v>
          </cell>
          <cell r="I404">
            <v>1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69.099999999999994</v>
          </cell>
        </row>
        <row r="405">
          <cell r="C405" t="str">
            <v>Control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1</v>
          </cell>
          <cell r="N405">
            <v>0</v>
          </cell>
          <cell r="P405">
            <v>70.599999999999994</v>
          </cell>
        </row>
        <row r="406">
          <cell r="C406" t="str">
            <v>Control</v>
          </cell>
          <cell r="H406">
            <v>1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P406">
            <v>57.9</v>
          </cell>
        </row>
        <row r="407">
          <cell r="C407" t="str">
            <v>Control</v>
          </cell>
          <cell r="H407">
            <v>1</v>
          </cell>
          <cell r="I407">
            <v>1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41.4</v>
          </cell>
        </row>
        <row r="408">
          <cell r="C408" t="str">
            <v>Control</v>
          </cell>
          <cell r="H408">
            <v>1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60.9</v>
          </cell>
        </row>
        <row r="409">
          <cell r="C409" t="str">
            <v>Control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1</v>
          </cell>
          <cell r="N409">
            <v>0</v>
          </cell>
          <cell r="P409">
            <v>63.8</v>
          </cell>
        </row>
        <row r="410">
          <cell r="C410" t="str">
            <v>Control</v>
          </cell>
          <cell r="H410">
            <v>1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P410">
            <v>79.2</v>
          </cell>
        </row>
        <row r="411">
          <cell r="C411" t="str">
            <v>Control</v>
          </cell>
          <cell r="H411">
            <v>1</v>
          </cell>
          <cell r="I411">
            <v>1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P411">
            <v>53.3</v>
          </cell>
        </row>
        <row r="412">
          <cell r="C412" t="str">
            <v>Control</v>
          </cell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2144.8200000000002</v>
          </cell>
          <cell r="M412">
            <v>0</v>
          </cell>
          <cell r="N412">
            <v>0</v>
          </cell>
          <cell r="O412">
            <v>6</v>
          </cell>
          <cell r="P412">
            <v>52.3</v>
          </cell>
        </row>
        <row r="413">
          <cell r="C413" t="str">
            <v>Control</v>
          </cell>
          <cell r="H413">
            <v>1</v>
          </cell>
          <cell r="I413">
            <v>1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P413">
            <v>62.4</v>
          </cell>
        </row>
        <row r="414">
          <cell r="C414" t="str">
            <v>Control</v>
          </cell>
          <cell r="H414">
            <v>1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P414">
            <v>45.5</v>
          </cell>
        </row>
        <row r="415">
          <cell r="C415" t="str">
            <v>Control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</v>
          </cell>
          <cell r="N415">
            <v>0</v>
          </cell>
          <cell r="P415">
            <v>72.599999999999994</v>
          </cell>
        </row>
        <row r="416">
          <cell r="C416" t="str">
            <v>Control</v>
          </cell>
          <cell r="H416">
            <v>1</v>
          </cell>
          <cell r="I416">
            <v>1</v>
          </cell>
          <cell r="J416">
            <v>1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P416">
            <v>50.1</v>
          </cell>
        </row>
        <row r="417">
          <cell r="C417" t="str">
            <v>Control</v>
          </cell>
          <cell r="H417">
            <v>1</v>
          </cell>
          <cell r="I417">
            <v>1</v>
          </cell>
          <cell r="J417">
            <v>1</v>
          </cell>
          <cell r="K417">
            <v>0</v>
          </cell>
          <cell r="L417">
            <v>0</v>
          </cell>
          <cell r="M417">
            <v>2</v>
          </cell>
          <cell r="N417">
            <v>0</v>
          </cell>
          <cell r="P417">
            <v>58.1</v>
          </cell>
        </row>
        <row r="418">
          <cell r="C418" t="str">
            <v>Control</v>
          </cell>
          <cell r="H418">
            <v>1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P418">
            <v>42.9</v>
          </cell>
        </row>
        <row r="419">
          <cell r="C419" t="str">
            <v>Control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69.7</v>
          </cell>
        </row>
        <row r="420">
          <cell r="C420" t="str">
            <v>Control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63.3</v>
          </cell>
        </row>
        <row r="421">
          <cell r="C421" t="str">
            <v>Control</v>
          </cell>
          <cell r="H421">
            <v>1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P421">
            <v>71.2</v>
          </cell>
        </row>
        <row r="422">
          <cell r="C422" t="str">
            <v>Control</v>
          </cell>
          <cell r="H422">
            <v>1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P422">
            <v>39.1</v>
          </cell>
        </row>
        <row r="423">
          <cell r="C423" t="str">
            <v>Control</v>
          </cell>
          <cell r="H423">
            <v>1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42.6</v>
          </cell>
        </row>
        <row r="424">
          <cell r="C424" t="str">
            <v>Control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74.400000000000006</v>
          </cell>
        </row>
        <row r="425">
          <cell r="C425" t="str">
            <v>Control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55.6</v>
          </cell>
        </row>
        <row r="426">
          <cell r="C426" t="str">
            <v>Control</v>
          </cell>
          <cell r="H426">
            <v>1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P426">
            <v>35.799999999999997</v>
          </cell>
        </row>
        <row r="427">
          <cell r="C427" t="str">
            <v>Control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</v>
          </cell>
          <cell r="N427">
            <v>0</v>
          </cell>
          <cell r="P427">
            <v>28.2</v>
          </cell>
        </row>
        <row r="428">
          <cell r="C428" t="str">
            <v>Control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2</v>
          </cell>
          <cell r="N428">
            <v>0</v>
          </cell>
          <cell r="P428">
            <v>44.4</v>
          </cell>
        </row>
        <row r="429">
          <cell r="C429" t="str">
            <v>Control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P429">
            <v>49.9</v>
          </cell>
        </row>
        <row r="430">
          <cell r="C430" t="str">
            <v>Control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P430">
            <v>40.4</v>
          </cell>
        </row>
        <row r="431">
          <cell r="C431" t="str">
            <v>Control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P431">
            <v>60.4</v>
          </cell>
        </row>
        <row r="432">
          <cell r="C432" t="str">
            <v>Control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</v>
          </cell>
          <cell r="N432">
            <v>0</v>
          </cell>
          <cell r="P432">
            <v>52.4</v>
          </cell>
        </row>
        <row r="433">
          <cell r="C433" t="str">
            <v>Control</v>
          </cell>
          <cell r="H433">
            <v>1</v>
          </cell>
          <cell r="I433">
            <v>1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P433">
            <v>48.8</v>
          </cell>
        </row>
        <row r="434">
          <cell r="C434" t="str">
            <v>Control</v>
          </cell>
          <cell r="H434">
            <v>1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P434">
            <v>60.9</v>
          </cell>
        </row>
        <row r="435">
          <cell r="C435" t="str">
            <v>Control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P435">
            <v>68.2</v>
          </cell>
        </row>
        <row r="436">
          <cell r="C436" t="str">
            <v>Control</v>
          </cell>
          <cell r="H436">
            <v>1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P436">
            <v>65.599999999999994</v>
          </cell>
        </row>
        <row r="437">
          <cell r="C437" t="str">
            <v>Control</v>
          </cell>
          <cell r="H437">
            <v>1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P437">
            <v>65.400000000000006</v>
          </cell>
        </row>
        <row r="438">
          <cell r="C438" t="str">
            <v>Control</v>
          </cell>
          <cell r="H438">
            <v>1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P438">
            <v>78.900000000000006</v>
          </cell>
        </row>
        <row r="439">
          <cell r="C439" t="str">
            <v>Control</v>
          </cell>
          <cell r="H439">
            <v>1</v>
          </cell>
          <cell r="I439">
            <v>1</v>
          </cell>
          <cell r="J439">
            <v>1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P439">
            <v>78.3</v>
          </cell>
        </row>
        <row r="440">
          <cell r="C440" t="str">
            <v>Control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P440">
            <v>49.2</v>
          </cell>
        </row>
        <row r="441">
          <cell r="C441" t="str">
            <v>Control</v>
          </cell>
          <cell r="H441">
            <v>1</v>
          </cell>
          <cell r="I441">
            <v>1</v>
          </cell>
          <cell r="J441">
            <v>1</v>
          </cell>
          <cell r="K441">
            <v>1</v>
          </cell>
          <cell r="L441">
            <v>1518.83</v>
          </cell>
          <cell r="M441">
            <v>0</v>
          </cell>
          <cell r="N441">
            <v>0</v>
          </cell>
          <cell r="O441">
            <v>9</v>
          </cell>
          <cell r="P441">
            <v>32.200000000000003</v>
          </cell>
        </row>
        <row r="442">
          <cell r="C442" t="str">
            <v>Control</v>
          </cell>
          <cell r="H442">
            <v>1</v>
          </cell>
          <cell r="I442">
            <v>1</v>
          </cell>
          <cell r="J442">
            <v>1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P442">
            <v>46.3</v>
          </cell>
        </row>
        <row r="443">
          <cell r="C443" t="str">
            <v>Control</v>
          </cell>
          <cell r="H443">
            <v>1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P443">
            <v>55.7</v>
          </cell>
        </row>
        <row r="444">
          <cell r="C444" t="str">
            <v>Control</v>
          </cell>
          <cell r="H444">
            <v>1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P444">
            <v>44.5</v>
          </cell>
        </row>
        <row r="445">
          <cell r="C445" t="str">
            <v>Control</v>
          </cell>
          <cell r="H445">
            <v>1</v>
          </cell>
          <cell r="I445">
            <v>1</v>
          </cell>
          <cell r="J445">
            <v>1</v>
          </cell>
          <cell r="K445">
            <v>0</v>
          </cell>
          <cell r="L445">
            <v>0</v>
          </cell>
          <cell r="M445">
            <v>1</v>
          </cell>
          <cell r="N445">
            <v>0</v>
          </cell>
          <cell r="P445">
            <v>47.9</v>
          </cell>
        </row>
        <row r="446">
          <cell r="C446" t="str">
            <v>Control</v>
          </cell>
          <cell r="H446">
            <v>1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P446">
            <v>43.9</v>
          </cell>
        </row>
        <row r="447">
          <cell r="C447" t="str">
            <v>Control</v>
          </cell>
          <cell r="H447">
            <v>1</v>
          </cell>
          <cell r="I447">
            <v>1</v>
          </cell>
          <cell r="J447">
            <v>1</v>
          </cell>
          <cell r="K447">
            <v>0</v>
          </cell>
          <cell r="L447">
            <v>0</v>
          </cell>
          <cell r="M447">
            <v>1</v>
          </cell>
          <cell r="N447">
            <v>0</v>
          </cell>
          <cell r="P447">
            <v>67.7</v>
          </cell>
        </row>
        <row r="448">
          <cell r="C448" t="str">
            <v>Control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P448">
            <v>43.7</v>
          </cell>
        </row>
        <row r="449">
          <cell r="C449" t="str">
            <v>Control</v>
          </cell>
          <cell r="H449">
            <v>1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P449">
            <v>68.8</v>
          </cell>
        </row>
        <row r="450">
          <cell r="C450" t="str">
            <v>Control</v>
          </cell>
          <cell r="H450">
            <v>1</v>
          </cell>
          <cell r="I450">
            <v>1</v>
          </cell>
          <cell r="J450">
            <v>1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P450">
            <v>59.2</v>
          </cell>
        </row>
        <row r="451">
          <cell r="C451" t="str">
            <v>Control</v>
          </cell>
          <cell r="H451">
            <v>1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P451">
            <v>48.6</v>
          </cell>
        </row>
        <row r="452">
          <cell r="C452" t="str">
            <v>Control</v>
          </cell>
          <cell r="H452">
            <v>1</v>
          </cell>
          <cell r="I452">
            <v>1</v>
          </cell>
          <cell r="J452">
            <v>1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P452">
            <v>56.9</v>
          </cell>
        </row>
        <row r="453">
          <cell r="C453" t="str">
            <v>Control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P453">
            <v>55.8</v>
          </cell>
        </row>
        <row r="454">
          <cell r="C454" t="str">
            <v>Control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P454">
            <v>63.3</v>
          </cell>
        </row>
        <row r="455">
          <cell r="C455" t="str">
            <v>Control</v>
          </cell>
          <cell r="H455">
            <v>1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P455">
            <v>52.2</v>
          </cell>
        </row>
        <row r="456">
          <cell r="C456" t="str">
            <v>Control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P456">
            <v>51.5</v>
          </cell>
        </row>
        <row r="457">
          <cell r="C457" t="str">
            <v>Control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P457">
            <v>50.3</v>
          </cell>
        </row>
        <row r="458">
          <cell r="C458" t="str">
            <v>Control</v>
          </cell>
          <cell r="H458">
            <v>1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1</v>
          </cell>
          <cell r="N458">
            <v>0</v>
          </cell>
          <cell r="P458">
            <v>35.4</v>
          </cell>
        </row>
        <row r="459">
          <cell r="C459" t="str">
            <v>Control</v>
          </cell>
          <cell r="H459">
            <v>1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</v>
          </cell>
          <cell r="N459">
            <v>0</v>
          </cell>
          <cell r="P459">
            <v>54.1</v>
          </cell>
        </row>
        <row r="460">
          <cell r="C460" t="str">
            <v>Control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P460">
            <v>56.2</v>
          </cell>
        </row>
        <row r="461">
          <cell r="C461" t="str">
            <v>Control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P461">
            <v>43.7</v>
          </cell>
        </row>
        <row r="462">
          <cell r="C462" t="str">
            <v>Control</v>
          </cell>
          <cell r="H462">
            <v>1</v>
          </cell>
          <cell r="I462">
            <v>1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P462">
            <v>51.3</v>
          </cell>
        </row>
        <row r="463">
          <cell r="C463" t="str">
            <v>Control</v>
          </cell>
          <cell r="H463">
            <v>1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P463">
            <v>50.5</v>
          </cell>
        </row>
        <row r="464">
          <cell r="C464" t="str">
            <v>Control</v>
          </cell>
          <cell r="H464">
            <v>1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P464">
            <v>57.3</v>
          </cell>
        </row>
        <row r="465">
          <cell r="C465" t="str">
            <v>Control</v>
          </cell>
          <cell r="H465">
            <v>1</v>
          </cell>
          <cell r="I465">
            <v>1</v>
          </cell>
          <cell r="J465">
            <v>1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P465">
            <v>58.4</v>
          </cell>
        </row>
        <row r="466">
          <cell r="C466" t="str">
            <v>Control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P466">
            <v>56.5</v>
          </cell>
        </row>
        <row r="467">
          <cell r="C467" t="str">
            <v>Control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P467">
            <v>69.599999999999994</v>
          </cell>
        </row>
        <row r="468">
          <cell r="C468" t="str">
            <v>Control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P468">
            <v>6.2</v>
          </cell>
        </row>
        <row r="469">
          <cell r="C469" t="str">
            <v>Control</v>
          </cell>
          <cell r="H469">
            <v>1</v>
          </cell>
          <cell r="I469">
            <v>1</v>
          </cell>
          <cell r="J469">
            <v>1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P469">
            <v>54.3</v>
          </cell>
        </row>
        <row r="470">
          <cell r="C470" t="str">
            <v>Control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P470">
            <v>59.8</v>
          </cell>
        </row>
        <row r="471">
          <cell r="C471" t="str">
            <v>Control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P471">
            <v>58.9</v>
          </cell>
        </row>
        <row r="472">
          <cell r="C472" t="str">
            <v>Control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</v>
          </cell>
          <cell r="N472">
            <v>0</v>
          </cell>
          <cell r="P472">
            <v>52.9</v>
          </cell>
        </row>
        <row r="473">
          <cell r="C473" t="str">
            <v>Control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P473">
            <v>67.8</v>
          </cell>
        </row>
        <row r="474">
          <cell r="C474" t="str">
            <v>Control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P474">
            <v>48.7</v>
          </cell>
        </row>
        <row r="475">
          <cell r="C475" t="str">
            <v>Control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P475">
            <v>59</v>
          </cell>
        </row>
        <row r="476">
          <cell r="C476" t="str">
            <v>Control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P476">
            <v>63.2</v>
          </cell>
        </row>
        <row r="477">
          <cell r="C477" t="str">
            <v>Control</v>
          </cell>
          <cell r="H477">
            <v>1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P477">
            <v>68.7</v>
          </cell>
        </row>
        <row r="478">
          <cell r="C478" t="str">
            <v>Control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P478">
            <v>52.1</v>
          </cell>
        </row>
        <row r="479">
          <cell r="C479" t="str">
            <v>Control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P479">
            <v>56.5</v>
          </cell>
        </row>
        <row r="480">
          <cell r="C480" t="str">
            <v>Control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P480">
            <v>64.400000000000006</v>
          </cell>
        </row>
        <row r="481">
          <cell r="C481" t="str">
            <v>Control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P481">
            <v>65.900000000000006</v>
          </cell>
        </row>
        <row r="482">
          <cell r="C482" t="str">
            <v>Control</v>
          </cell>
          <cell r="H482">
            <v>1</v>
          </cell>
          <cell r="I482">
            <v>1</v>
          </cell>
          <cell r="J482">
            <v>1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P482">
            <v>100</v>
          </cell>
        </row>
        <row r="483">
          <cell r="C483" t="str">
            <v>Control</v>
          </cell>
          <cell r="H483">
            <v>1</v>
          </cell>
          <cell r="I483">
            <v>1</v>
          </cell>
          <cell r="J483">
            <v>1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P483">
            <v>50.4</v>
          </cell>
        </row>
        <row r="484">
          <cell r="C484" t="str">
            <v>Control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P484">
            <v>41.5</v>
          </cell>
        </row>
        <row r="485">
          <cell r="C485" t="str">
            <v>Control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P485">
            <v>86.2</v>
          </cell>
        </row>
        <row r="486">
          <cell r="C486" t="str">
            <v>Control</v>
          </cell>
          <cell r="H486">
            <v>1</v>
          </cell>
          <cell r="I486">
            <v>1</v>
          </cell>
          <cell r="J486">
            <v>1</v>
          </cell>
          <cell r="K486">
            <v>0</v>
          </cell>
          <cell r="L486">
            <v>0</v>
          </cell>
          <cell r="M486">
            <v>2</v>
          </cell>
          <cell r="N486">
            <v>0</v>
          </cell>
          <cell r="P486">
            <v>50.8</v>
          </cell>
        </row>
        <row r="487">
          <cell r="C487" t="str">
            <v>Control</v>
          </cell>
          <cell r="H487">
            <v>1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P487">
            <v>50.9</v>
          </cell>
        </row>
        <row r="488">
          <cell r="C488" t="str">
            <v>Control</v>
          </cell>
          <cell r="H488">
            <v>1</v>
          </cell>
          <cell r="I488">
            <v>1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P488">
            <v>87.5</v>
          </cell>
        </row>
        <row r="489">
          <cell r="C489" t="str">
            <v>Control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P489">
            <v>43.6</v>
          </cell>
        </row>
        <row r="490">
          <cell r="C490" t="str">
            <v>Control</v>
          </cell>
          <cell r="H490">
            <v>1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P490">
            <v>55.5</v>
          </cell>
        </row>
        <row r="491">
          <cell r="C491" t="str">
            <v>Control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P491">
            <v>78.599999999999994</v>
          </cell>
        </row>
        <row r="492">
          <cell r="C492" t="str">
            <v>Control</v>
          </cell>
          <cell r="H492">
            <v>1</v>
          </cell>
          <cell r="I492">
            <v>1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  <cell r="N492">
            <v>0</v>
          </cell>
          <cell r="P492">
            <v>44.3</v>
          </cell>
        </row>
        <row r="493">
          <cell r="C493" t="str">
            <v>Control</v>
          </cell>
          <cell r="H493">
            <v>1</v>
          </cell>
          <cell r="I493">
            <v>1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P493">
            <v>45.2</v>
          </cell>
        </row>
        <row r="494">
          <cell r="C494" t="str">
            <v>Control</v>
          </cell>
          <cell r="H494">
            <v>1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2</v>
          </cell>
          <cell r="N494">
            <v>0</v>
          </cell>
          <cell r="P494">
            <v>46.1</v>
          </cell>
        </row>
        <row r="495">
          <cell r="C495" t="str">
            <v>Control</v>
          </cell>
          <cell r="H495">
            <v>1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P495">
            <v>49.6</v>
          </cell>
        </row>
        <row r="496">
          <cell r="C496" t="str">
            <v>Control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P496">
            <v>70.5</v>
          </cell>
        </row>
        <row r="497">
          <cell r="C497" t="str">
            <v>Control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1</v>
          </cell>
          <cell r="N497">
            <v>0</v>
          </cell>
          <cell r="P497">
            <v>60.8</v>
          </cell>
        </row>
        <row r="498">
          <cell r="C498" t="str">
            <v>Control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1</v>
          </cell>
          <cell r="N498">
            <v>0</v>
          </cell>
          <cell r="P498">
            <v>50.5</v>
          </cell>
        </row>
        <row r="499">
          <cell r="C499" t="str">
            <v>Control</v>
          </cell>
          <cell r="H499">
            <v>1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P499">
            <v>54.9</v>
          </cell>
        </row>
        <row r="500">
          <cell r="C500" t="str">
            <v>Control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P500">
            <v>29.9</v>
          </cell>
        </row>
        <row r="501">
          <cell r="C501" t="str">
            <v>Control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P501">
            <v>48.3</v>
          </cell>
        </row>
        <row r="502">
          <cell r="C502" t="str">
            <v>Control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513.61</v>
          </cell>
          <cell r="M502">
            <v>0</v>
          </cell>
          <cell r="N502">
            <v>0</v>
          </cell>
          <cell r="O502">
            <v>7</v>
          </cell>
          <cell r="P502">
            <v>41.3</v>
          </cell>
        </row>
        <row r="503">
          <cell r="C503" t="str">
            <v>Control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P503">
            <v>61.4</v>
          </cell>
        </row>
        <row r="504">
          <cell r="C504" t="str">
            <v>Control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P504">
            <v>57.8</v>
          </cell>
        </row>
        <row r="505">
          <cell r="C505" t="str">
            <v>Control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P505">
            <v>78.2</v>
          </cell>
        </row>
        <row r="506">
          <cell r="C506" t="str">
            <v>Control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P506">
            <v>63.8</v>
          </cell>
        </row>
        <row r="507">
          <cell r="C507" t="str">
            <v>Control</v>
          </cell>
          <cell r="H507">
            <v>1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P507">
            <v>56.8</v>
          </cell>
        </row>
        <row r="508">
          <cell r="C508" t="str">
            <v>Control</v>
          </cell>
          <cell r="H508">
            <v>1</v>
          </cell>
          <cell r="I508">
            <v>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P508">
            <v>59.6</v>
          </cell>
        </row>
        <row r="509">
          <cell r="C509" t="str">
            <v>Control</v>
          </cell>
          <cell r="H509">
            <v>1</v>
          </cell>
          <cell r="I509">
            <v>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P509">
            <v>50</v>
          </cell>
        </row>
        <row r="510">
          <cell r="C510" t="str">
            <v>Control</v>
          </cell>
          <cell r="H510">
            <v>1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P510">
            <v>35.700000000000003</v>
          </cell>
        </row>
        <row r="511">
          <cell r="C511" t="str">
            <v>Control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2</v>
          </cell>
          <cell r="N511">
            <v>0</v>
          </cell>
          <cell r="P511">
            <v>47.2</v>
          </cell>
        </row>
        <row r="512">
          <cell r="C512" t="str">
            <v>Control</v>
          </cell>
          <cell r="H512">
            <v>1</v>
          </cell>
          <cell r="I512">
            <v>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P512">
            <v>56.9</v>
          </cell>
        </row>
        <row r="513">
          <cell r="C513" t="str">
            <v>Control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</v>
          </cell>
          <cell r="N513">
            <v>0</v>
          </cell>
          <cell r="P513">
            <v>57.2</v>
          </cell>
        </row>
        <row r="514">
          <cell r="C514" t="str">
            <v>Control</v>
          </cell>
          <cell r="H514">
            <v>1</v>
          </cell>
          <cell r="I514">
            <v>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P514">
            <v>31.4</v>
          </cell>
        </row>
        <row r="515">
          <cell r="C515" t="str">
            <v>Control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P515">
            <v>71.2</v>
          </cell>
        </row>
        <row r="516">
          <cell r="C516" t="str">
            <v>Control</v>
          </cell>
          <cell r="H516">
            <v>1</v>
          </cell>
          <cell r="I516">
            <v>1</v>
          </cell>
          <cell r="J516">
            <v>1</v>
          </cell>
          <cell r="K516">
            <v>0</v>
          </cell>
          <cell r="L516">
            <v>0</v>
          </cell>
          <cell r="M516">
            <v>1</v>
          </cell>
          <cell r="N516">
            <v>0</v>
          </cell>
          <cell r="P516">
            <v>38.299999999999997</v>
          </cell>
        </row>
        <row r="517">
          <cell r="C517" t="str">
            <v>Control</v>
          </cell>
          <cell r="H517">
            <v>1</v>
          </cell>
          <cell r="I517">
            <v>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P517">
            <v>63.1</v>
          </cell>
        </row>
        <row r="518">
          <cell r="C518" t="str">
            <v>Control</v>
          </cell>
          <cell r="H518">
            <v>1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P518">
            <v>59.7</v>
          </cell>
        </row>
        <row r="519">
          <cell r="C519" t="str">
            <v>Control</v>
          </cell>
          <cell r="H519">
            <v>1</v>
          </cell>
          <cell r="I519">
            <v>1</v>
          </cell>
          <cell r="J519">
            <v>1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P519">
            <v>59.5</v>
          </cell>
        </row>
        <row r="520">
          <cell r="C520" t="str">
            <v>Control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P520">
            <v>78.8</v>
          </cell>
        </row>
        <row r="521">
          <cell r="C521" t="str">
            <v>Control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P521">
            <v>54</v>
          </cell>
        </row>
        <row r="522">
          <cell r="C522" t="str">
            <v>Control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P522">
            <v>66.3</v>
          </cell>
        </row>
        <row r="523">
          <cell r="C523" t="str">
            <v>Control</v>
          </cell>
          <cell r="H523">
            <v>1</v>
          </cell>
          <cell r="I523">
            <v>1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P523">
            <v>54.7</v>
          </cell>
        </row>
        <row r="524">
          <cell r="C524" t="str">
            <v>Control</v>
          </cell>
          <cell r="H524">
            <v>1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P524">
            <v>76.7</v>
          </cell>
        </row>
        <row r="525">
          <cell r="C525" t="str">
            <v>Control</v>
          </cell>
          <cell r="H525">
            <v>1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2</v>
          </cell>
          <cell r="N525">
            <v>0</v>
          </cell>
          <cell r="P525">
            <v>47.4</v>
          </cell>
        </row>
        <row r="526">
          <cell r="C526" t="str">
            <v>Control</v>
          </cell>
          <cell r="H526">
            <v>1</v>
          </cell>
          <cell r="I526">
            <v>1</v>
          </cell>
          <cell r="J526">
            <v>1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P526">
            <v>81.7</v>
          </cell>
        </row>
        <row r="527">
          <cell r="C527" t="str">
            <v>Control</v>
          </cell>
          <cell r="H527">
            <v>1</v>
          </cell>
          <cell r="I527">
            <v>1</v>
          </cell>
          <cell r="J527">
            <v>1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P527">
            <v>67.5</v>
          </cell>
        </row>
        <row r="528">
          <cell r="C528" t="str">
            <v>Control</v>
          </cell>
          <cell r="H528">
            <v>1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P528">
            <v>36.799999999999997</v>
          </cell>
        </row>
        <row r="529">
          <cell r="C529" t="str">
            <v>Control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P529">
            <v>66.5</v>
          </cell>
        </row>
        <row r="530">
          <cell r="C530" t="str">
            <v>Control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P530">
            <v>35.4</v>
          </cell>
        </row>
        <row r="531">
          <cell r="C531" t="str">
            <v>Control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P531">
            <v>64.3</v>
          </cell>
        </row>
        <row r="532">
          <cell r="C532" t="str">
            <v>Control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P532">
            <v>49.1</v>
          </cell>
        </row>
        <row r="533">
          <cell r="C533" t="str">
            <v>Control</v>
          </cell>
          <cell r="H533">
            <v>1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P533">
            <v>84.3</v>
          </cell>
        </row>
        <row r="534">
          <cell r="C534" t="str">
            <v>Control</v>
          </cell>
          <cell r="H534">
            <v>1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P534">
            <v>65.599999999999994</v>
          </cell>
        </row>
        <row r="535">
          <cell r="C535" t="str">
            <v>Control</v>
          </cell>
          <cell r="H535">
            <v>1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P535">
            <v>47.1</v>
          </cell>
        </row>
        <row r="536">
          <cell r="C536" t="str">
            <v>Control</v>
          </cell>
          <cell r="H536">
            <v>1</v>
          </cell>
          <cell r="I536">
            <v>1</v>
          </cell>
          <cell r="J536">
            <v>1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P536">
            <v>70</v>
          </cell>
        </row>
        <row r="537">
          <cell r="C537" t="str">
            <v>Control</v>
          </cell>
          <cell r="H537">
            <v>1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P537">
            <v>54.6</v>
          </cell>
        </row>
        <row r="538">
          <cell r="C538" t="str">
            <v>Control</v>
          </cell>
          <cell r="H538">
            <v>1</v>
          </cell>
          <cell r="I538">
            <v>1</v>
          </cell>
          <cell r="J538">
            <v>0</v>
          </cell>
          <cell r="K538">
            <v>0</v>
          </cell>
          <cell r="L538">
            <v>0</v>
          </cell>
          <cell r="M538">
            <v>1</v>
          </cell>
          <cell r="N538">
            <v>0</v>
          </cell>
          <cell r="P538">
            <v>65.2</v>
          </cell>
        </row>
        <row r="539">
          <cell r="C539" t="str">
            <v>Control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P539">
            <v>65</v>
          </cell>
        </row>
        <row r="540">
          <cell r="C540" t="str">
            <v>Control</v>
          </cell>
          <cell r="H540">
            <v>1</v>
          </cell>
          <cell r="I540">
            <v>1</v>
          </cell>
          <cell r="J540">
            <v>1</v>
          </cell>
          <cell r="K540">
            <v>0</v>
          </cell>
          <cell r="L540">
            <v>0</v>
          </cell>
          <cell r="M540">
            <v>1</v>
          </cell>
          <cell r="N540">
            <v>0</v>
          </cell>
          <cell r="P540">
            <v>42.1</v>
          </cell>
        </row>
        <row r="541">
          <cell r="C541" t="str">
            <v>Control</v>
          </cell>
          <cell r="H541">
            <v>1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P541">
            <v>43.4</v>
          </cell>
        </row>
        <row r="542">
          <cell r="C542" t="str">
            <v>Control</v>
          </cell>
          <cell r="H542">
            <v>1</v>
          </cell>
          <cell r="I542">
            <v>1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P542">
            <v>39.9</v>
          </cell>
        </row>
        <row r="543">
          <cell r="C543" t="str">
            <v>Control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P543">
            <v>74.099999999999994</v>
          </cell>
        </row>
        <row r="544">
          <cell r="C544" t="str">
            <v>Control</v>
          </cell>
          <cell r="H544">
            <v>1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P544">
            <v>61.4</v>
          </cell>
        </row>
        <row r="545">
          <cell r="C545" t="str">
            <v>Control</v>
          </cell>
          <cell r="H545">
            <v>1</v>
          </cell>
          <cell r="I545">
            <v>1</v>
          </cell>
          <cell r="J545">
            <v>1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P545">
            <v>76.8</v>
          </cell>
        </row>
        <row r="546">
          <cell r="C546" t="str">
            <v>Control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P546">
            <v>60.02</v>
          </cell>
        </row>
        <row r="547">
          <cell r="C547" t="str">
            <v>Control</v>
          </cell>
          <cell r="H547">
            <v>1</v>
          </cell>
          <cell r="I547">
            <v>1</v>
          </cell>
          <cell r="J547">
            <v>1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P547">
            <v>45.3</v>
          </cell>
        </row>
        <row r="548">
          <cell r="C548" t="str">
            <v>Control</v>
          </cell>
          <cell r="H548">
            <v>1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P548">
            <v>41.4</v>
          </cell>
        </row>
        <row r="549">
          <cell r="C549" t="str">
            <v>Control</v>
          </cell>
          <cell r="H549">
            <v>1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P549">
            <v>37.1</v>
          </cell>
        </row>
        <row r="550">
          <cell r="C550" t="str">
            <v>Control</v>
          </cell>
          <cell r="H550">
            <v>1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P550">
            <v>40.700000000000003</v>
          </cell>
        </row>
        <row r="551">
          <cell r="C551" t="str">
            <v>Control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2</v>
          </cell>
          <cell r="N551">
            <v>0</v>
          </cell>
          <cell r="P551">
            <v>55.9</v>
          </cell>
        </row>
        <row r="552">
          <cell r="C552" t="str">
            <v>Control</v>
          </cell>
          <cell r="H552">
            <v>1</v>
          </cell>
          <cell r="I552">
            <v>1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P552">
            <v>55.8</v>
          </cell>
        </row>
        <row r="553">
          <cell r="C553" t="str">
            <v>Control</v>
          </cell>
          <cell r="H553">
            <v>1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P553">
            <v>64.3</v>
          </cell>
        </row>
        <row r="554">
          <cell r="C554" t="str">
            <v>Control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P554">
            <v>65.400000000000006</v>
          </cell>
        </row>
        <row r="555">
          <cell r="C555" t="str">
            <v>Control</v>
          </cell>
          <cell r="H555">
            <v>1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P555">
            <v>89.8</v>
          </cell>
        </row>
        <row r="556">
          <cell r="C556" t="str">
            <v>Control</v>
          </cell>
          <cell r="H556">
            <v>1</v>
          </cell>
          <cell r="I556">
            <v>1</v>
          </cell>
          <cell r="J556">
            <v>1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P556">
            <v>58.3</v>
          </cell>
        </row>
        <row r="557">
          <cell r="C557" t="str">
            <v>Control</v>
          </cell>
          <cell r="H557">
            <v>1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P557">
            <v>64.400000000000006</v>
          </cell>
        </row>
        <row r="558">
          <cell r="C558" t="str">
            <v>Control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P558">
            <v>46.2</v>
          </cell>
        </row>
        <row r="559">
          <cell r="C559" t="str">
            <v>Control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P559">
            <v>78</v>
          </cell>
        </row>
        <row r="560">
          <cell r="C560" t="str">
            <v>Control</v>
          </cell>
          <cell r="H560">
            <v>1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P560">
            <v>62.3</v>
          </cell>
        </row>
        <row r="561">
          <cell r="C561" t="str">
            <v>Control</v>
          </cell>
          <cell r="H561">
            <v>1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P561">
            <v>78.8</v>
          </cell>
        </row>
        <row r="562">
          <cell r="C562" t="str">
            <v>Control</v>
          </cell>
          <cell r="H562">
            <v>1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P562">
            <v>25</v>
          </cell>
        </row>
        <row r="563">
          <cell r="C563" t="str">
            <v>Control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P563">
            <v>53.4</v>
          </cell>
        </row>
        <row r="564">
          <cell r="C564" t="str">
            <v>Control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P564">
            <v>40.700000000000003</v>
          </cell>
        </row>
        <row r="565">
          <cell r="C565" t="str">
            <v>Control</v>
          </cell>
          <cell r="H565">
            <v>1</v>
          </cell>
          <cell r="I565">
            <v>1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P565">
            <v>36.700000000000003</v>
          </cell>
        </row>
        <row r="566">
          <cell r="C566" t="str">
            <v>Control</v>
          </cell>
          <cell r="H566">
            <v>1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0</v>
          </cell>
          <cell r="P566">
            <v>67.5</v>
          </cell>
        </row>
        <row r="567">
          <cell r="C567" t="str">
            <v>Control</v>
          </cell>
          <cell r="H567">
            <v>1</v>
          </cell>
          <cell r="I567">
            <v>1</v>
          </cell>
          <cell r="J567">
            <v>1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P567">
            <v>69.900000000000006</v>
          </cell>
        </row>
        <row r="568">
          <cell r="C568" t="str">
            <v>Control</v>
          </cell>
          <cell r="H568">
            <v>1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P568">
            <v>65.099999999999994</v>
          </cell>
        </row>
        <row r="569">
          <cell r="C569" t="str">
            <v>Control</v>
          </cell>
          <cell r="H569">
            <v>1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P569">
            <v>48.7</v>
          </cell>
        </row>
        <row r="570">
          <cell r="C570" t="str">
            <v>Control</v>
          </cell>
          <cell r="H570">
            <v>1</v>
          </cell>
          <cell r="I570">
            <v>1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P570">
            <v>47.2</v>
          </cell>
        </row>
        <row r="571">
          <cell r="C571" t="str">
            <v>Control</v>
          </cell>
          <cell r="H571">
            <v>1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2</v>
          </cell>
          <cell r="N571">
            <v>0</v>
          </cell>
          <cell r="P571">
            <v>20.3</v>
          </cell>
        </row>
        <row r="572">
          <cell r="C572" t="str">
            <v>Control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1</v>
          </cell>
          <cell r="N572">
            <v>0</v>
          </cell>
          <cell r="P572">
            <v>57.8</v>
          </cell>
        </row>
        <row r="573">
          <cell r="C573" t="str">
            <v>Control</v>
          </cell>
          <cell r="H573">
            <v>1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P573">
            <v>78.7</v>
          </cell>
        </row>
        <row r="574">
          <cell r="C574" t="str">
            <v>Control</v>
          </cell>
          <cell r="H574">
            <v>1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P574">
            <v>63.6</v>
          </cell>
        </row>
        <row r="575">
          <cell r="C575" t="str">
            <v>Control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2</v>
          </cell>
          <cell r="N575">
            <v>0</v>
          </cell>
          <cell r="P575">
            <v>45.1</v>
          </cell>
        </row>
        <row r="576">
          <cell r="C576" t="str">
            <v>Control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P576">
            <v>77.5</v>
          </cell>
        </row>
        <row r="577">
          <cell r="C577" t="str">
            <v>Control</v>
          </cell>
          <cell r="H577">
            <v>1</v>
          </cell>
          <cell r="I577">
            <v>1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P577">
            <v>58</v>
          </cell>
        </row>
        <row r="578">
          <cell r="C578" t="str">
            <v>Control</v>
          </cell>
          <cell r="H578">
            <v>1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P578">
            <v>68.099999999999994</v>
          </cell>
        </row>
        <row r="579">
          <cell r="C579" t="str">
            <v>Control</v>
          </cell>
          <cell r="H579">
            <v>1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P579">
            <v>35.4</v>
          </cell>
        </row>
        <row r="580">
          <cell r="C580" t="str">
            <v>Control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P580">
            <v>47</v>
          </cell>
        </row>
        <row r="581">
          <cell r="C581" t="str">
            <v>Control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P581">
            <v>75</v>
          </cell>
        </row>
        <row r="582">
          <cell r="C582" t="str">
            <v>Control</v>
          </cell>
          <cell r="H582">
            <v>1</v>
          </cell>
          <cell r="I582">
            <v>1</v>
          </cell>
          <cell r="J582">
            <v>1</v>
          </cell>
          <cell r="K582">
            <v>0</v>
          </cell>
          <cell r="L582">
            <v>0</v>
          </cell>
          <cell r="M582">
            <v>3</v>
          </cell>
          <cell r="N582">
            <v>0</v>
          </cell>
          <cell r="P582">
            <v>50.2</v>
          </cell>
        </row>
        <row r="583">
          <cell r="C583" t="str">
            <v>Control</v>
          </cell>
          <cell r="H583">
            <v>1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P583">
            <v>40.1</v>
          </cell>
        </row>
        <row r="584">
          <cell r="C584" t="str">
            <v>Control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P584">
            <v>61.1</v>
          </cell>
        </row>
        <row r="585">
          <cell r="C585" t="str">
            <v>Control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P585">
            <v>42.4</v>
          </cell>
        </row>
        <row r="586">
          <cell r="C586" t="str">
            <v>Control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  <cell r="N586">
            <v>0</v>
          </cell>
          <cell r="P586">
            <v>46.6</v>
          </cell>
        </row>
        <row r="587">
          <cell r="C587" t="str">
            <v>Control</v>
          </cell>
          <cell r="H587">
            <v>1</v>
          </cell>
          <cell r="I587">
            <v>1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P587">
            <v>72.099999999999994</v>
          </cell>
        </row>
        <row r="588">
          <cell r="C588" t="str">
            <v>Control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P588">
            <v>21.5</v>
          </cell>
        </row>
        <row r="589">
          <cell r="C589" t="str">
            <v>Control</v>
          </cell>
          <cell r="H589">
            <v>1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</v>
          </cell>
          <cell r="N589">
            <v>0</v>
          </cell>
          <cell r="P589">
            <v>65.400000000000006</v>
          </cell>
        </row>
        <row r="590">
          <cell r="C590" t="str">
            <v>Control</v>
          </cell>
          <cell r="H590">
            <v>1</v>
          </cell>
          <cell r="I590">
            <v>1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P590">
            <v>53.3</v>
          </cell>
        </row>
        <row r="591">
          <cell r="C591" t="str">
            <v>Control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2</v>
          </cell>
          <cell r="N591">
            <v>0</v>
          </cell>
          <cell r="P591">
            <v>52.3</v>
          </cell>
        </row>
        <row r="592">
          <cell r="C592" t="str">
            <v>Control</v>
          </cell>
          <cell r="H592">
            <v>1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P592">
            <v>62.5</v>
          </cell>
        </row>
        <row r="593">
          <cell r="C593" t="str">
            <v>Control</v>
          </cell>
          <cell r="H593">
            <v>1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P593">
            <v>69.8</v>
          </cell>
        </row>
        <row r="594">
          <cell r="C594" t="str">
            <v>Control</v>
          </cell>
          <cell r="H594">
            <v>1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P594">
            <v>68.2</v>
          </cell>
        </row>
        <row r="595">
          <cell r="C595" t="str">
            <v>Control</v>
          </cell>
          <cell r="H595">
            <v>1</v>
          </cell>
          <cell r="I595">
            <v>1</v>
          </cell>
          <cell r="J595">
            <v>1</v>
          </cell>
          <cell r="K595">
            <v>1</v>
          </cell>
          <cell r="L595">
            <v>751.73</v>
          </cell>
          <cell r="M595">
            <v>0</v>
          </cell>
          <cell r="N595">
            <v>0</v>
          </cell>
          <cell r="O595">
            <v>6</v>
          </cell>
          <cell r="P595">
            <v>35.200000000000003</v>
          </cell>
        </row>
        <row r="596">
          <cell r="C596" t="str">
            <v>Control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P596">
            <v>59.3</v>
          </cell>
        </row>
        <row r="597">
          <cell r="C597" t="str">
            <v>Control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P597">
            <v>68.099999999999994</v>
          </cell>
        </row>
        <row r="598">
          <cell r="C598" t="str">
            <v>Control</v>
          </cell>
          <cell r="H598">
            <v>1</v>
          </cell>
          <cell r="I598">
            <v>1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P598">
            <v>74.8</v>
          </cell>
        </row>
        <row r="599">
          <cell r="C599" t="str">
            <v>Control</v>
          </cell>
          <cell r="H599">
            <v>1</v>
          </cell>
          <cell r="I599">
            <v>1</v>
          </cell>
          <cell r="J599">
            <v>1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P599">
            <v>61.7</v>
          </cell>
        </row>
        <row r="600">
          <cell r="C600" t="str">
            <v>Control</v>
          </cell>
          <cell r="H600">
            <v>1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P600">
            <v>24.3</v>
          </cell>
        </row>
        <row r="601">
          <cell r="C601" t="str">
            <v>Control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P601">
            <v>61.9</v>
          </cell>
        </row>
        <row r="602">
          <cell r="C602" t="str">
            <v>Control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2</v>
          </cell>
          <cell r="N602">
            <v>0</v>
          </cell>
          <cell r="P602">
            <v>41.7</v>
          </cell>
        </row>
        <row r="603">
          <cell r="C603" t="str">
            <v>Control</v>
          </cell>
          <cell r="H603">
            <v>1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P603">
            <v>87.6</v>
          </cell>
        </row>
        <row r="604">
          <cell r="C604" t="str">
            <v>Control</v>
          </cell>
          <cell r="H604">
            <v>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P604">
            <v>30.8</v>
          </cell>
        </row>
        <row r="605">
          <cell r="C605" t="str">
            <v>Control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P605">
            <v>54</v>
          </cell>
        </row>
        <row r="606">
          <cell r="C606" t="str">
            <v>Control</v>
          </cell>
          <cell r="H606">
            <v>1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1</v>
          </cell>
          <cell r="N606">
            <v>0</v>
          </cell>
          <cell r="P606">
            <v>54.5</v>
          </cell>
        </row>
        <row r="607">
          <cell r="C607" t="str">
            <v>Control</v>
          </cell>
          <cell r="H607">
            <v>1</v>
          </cell>
          <cell r="I607">
            <v>1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P607">
            <v>61.3</v>
          </cell>
        </row>
        <row r="608">
          <cell r="C608" t="str">
            <v>Control</v>
          </cell>
          <cell r="H608">
            <v>1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P608">
            <v>62.7</v>
          </cell>
        </row>
        <row r="609">
          <cell r="C609" t="str">
            <v>Control</v>
          </cell>
          <cell r="H609">
            <v>1</v>
          </cell>
          <cell r="I609">
            <v>1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P609">
            <v>43.1</v>
          </cell>
        </row>
        <row r="610">
          <cell r="C610" t="str">
            <v>Control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P610">
            <v>59.9</v>
          </cell>
        </row>
        <row r="611">
          <cell r="C611" t="str">
            <v>Control</v>
          </cell>
          <cell r="H611">
            <v>1</v>
          </cell>
          <cell r="I611">
            <v>1</v>
          </cell>
          <cell r="J611">
            <v>1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P611">
            <v>55.7</v>
          </cell>
        </row>
        <row r="612">
          <cell r="C612" t="str">
            <v>Control</v>
          </cell>
          <cell r="H612">
            <v>1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P612">
            <v>37.1</v>
          </cell>
        </row>
        <row r="613">
          <cell r="C613" t="str">
            <v>Control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</v>
          </cell>
          <cell r="N613">
            <v>0</v>
          </cell>
          <cell r="P613">
            <v>46.7</v>
          </cell>
        </row>
        <row r="614">
          <cell r="C614" t="str">
            <v>Control</v>
          </cell>
          <cell r="H614">
            <v>1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P614">
            <v>54.1</v>
          </cell>
        </row>
        <row r="615">
          <cell r="C615" t="str">
            <v>Control</v>
          </cell>
          <cell r="H615">
            <v>1</v>
          </cell>
          <cell r="I615">
            <v>1</v>
          </cell>
          <cell r="J615">
            <v>1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P615">
            <v>56.1</v>
          </cell>
        </row>
        <row r="616">
          <cell r="C616" t="str">
            <v>Control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P616">
            <v>23.6</v>
          </cell>
        </row>
        <row r="617">
          <cell r="C617" t="str">
            <v>Control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P617">
            <v>54.7</v>
          </cell>
        </row>
        <row r="618">
          <cell r="C618" t="str">
            <v>Control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2</v>
          </cell>
          <cell r="N618">
            <v>0</v>
          </cell>
          <cell r="P618">
            <v>50.4</v>
          </cell>
        </row>
        <row r="619">
          <cell r="C619" t="str">
            <v>Control</v>
          </cell>
          <cell r="H619">
            <v>1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P619">
            <v>54.5</v>
          </cell>
        </row>
        <row r="620">
          <cell r="C620" t="str">
            <v>Control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P620">
            <v>58</v>
          </cell>
        </row>
        <row r="621">
          <cell r="C621" t="str">
            <v>Control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P621">
            <v>42.9</v>
          </cell>
        </row>
        <row r="622">
          <cell r="C622" t="str">
            <v>Control</v>
          </cell>
          <cell r="H622">
            <v>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P622">
            <v>51.1</v>
          </cell>
        </row>
        <row r="623">
          <cell r="C623" t="str">
            <v>Control</v>
          </cell>
          <cell r="H623">
            <v>1</v>
          </cell>
          <cell r="I623">
            <v>1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P623">
            <v>51.8</v>
          </cell>
        </row>
        <row r="624">
          <cell r="C624" t="str">
            <v>Control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P624">
            <v>67.7</v>
          </cell>
        </row>
        <row r="625">
          <cell r="C625" t="str">
            <v>Control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P625">
            <v>75.8</v>
          </cell>
        </row>
        <row r="626">
          <cell r="C626" t="str">
            <v>Control</v>
          </cell>
          <cell r="H626">
            <v>1</v>
          </cell>
          <cell r="I626">
            <v>1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P626">
            <v>72.8</v>
          </cell>
        </row>
        <row r="627">
          <cell r="C627" t="str">
            <v>Control</v>
          </cell>
          <cell r="H627">
            <v>1</v>
          </cell>
          <cell r="I627">
            <v>1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P627">
            <v>54.4</v>
          </cell>
        </row>
        <row r="628">
          <cell r="C628" t="str">
            <v>Control</v>
          </cell>
          <cell r="H628">
            <v>1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P628">
            <v>51.8</v>
          </cell>
        </row>
        <row r="629">
          <cell r="C629" t="str">
            <v>Control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P629">
            <v>40.299999999999997</v>
          </cell>
        </row>
        <row r="630">
          <cell r="C630" t="str">
            <v>Control</v>
          </cell>
          <cell r="H630">
            <v>1</v>
          </cell>
          <cell r="I630">
            <v>1</v>
          </cell>
          <cell r="J630">
            <v>1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P630">
            <v>61.7</v>
          </cell>
        </row>
        <row r="631">
          <cell r="C631" t="str">
            <v>Control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P631">
            <v>45</v>
          </cell>
        </row>
        <row r="632">
          <cell r="C632" t="str">
            <v>Control</v>
          </cell>
          <cell r="H632">
            <v>1</v>
          </cell>
          <cell r="I632">
            <v>1</v>
          </cell>
          <cell r="J632">
            <v>1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P632">
            <v>60</v>
          </cell>
        </row>
        <row r="633">
          <cell r="C633" t="str">
            <v>Control</v>
          </cell>
          <cell r="H633">
            <v>1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P633">
            <v>60.02</v>
          </cell>
        </row>
        <row r="634">
          <cell r="C634" t="str">
            <v>Control</v>
          </cell>
          <cell r="H634">
            <v>1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P634">
            <v>55.5</v>
          </cell>
        </row>
        <row r="635">
          <cell r="C635" t="str">
            <v>Control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P635">
            <v>51.8</v>
          </cell>
        </row>
        <row r="636">
          <cell r="C636" t="str">
            <v>Control</v>
          </cell>
          <cell r="H636">
            <v>1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3</v>
          </cell>
          <cell r="N636">
            <v>0</v>
          </cell>
          <cell r="P636">
            <v>56</v>
          </cell>
        </row>
        <row r="637">
          <cell r="C637" t="str">
            <v>Control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P637">
            <v>52.5</v>
          </cell>
        </row>
        <row r="638">
          <cell r="C638" t="str">
            <v>Control</v>
          </cell>
          <cell r="H638">
            <v>1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P638">
            <v>42.5</v>
          </cell>
        </row>
        <row r="639">
          <cell r="C639" t="str">
            <v>Control</v>
          </cell>
          <cell r="H639">
            <v>1</v>
          </cell>
          <cell r="I639">
            <v>1</v>
          </cell>
          <cell r="J639">
            <v>1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P639">
            <v>65.3</v>
          </cell>
        </row>
        <row r="640">
          <cell r="C640" t="str">
            <v>Control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P640">
            <v>37.6</v>
          </cell>
        </row>
        <row r="641">
          <cell r="C641" t="str">
            <v>Control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P641">
            <v>57.8</v>
          </cell>
        </row>
        <row r="642">
          <cell r="C642" t="str">
            <v>Control</v>
          </cell>
          <cell r="H642">
            <v>1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P642">
            <v>52.7</v>
          </cell>
        </row>
        <row r="643">
          <cell r="C643" t="str">
            <v>Control</v>
          </cell>
          <cell r="H643">
            <v>1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P643">
            <v>51.7</v>
          </cell>
        </row>
        <row r="644">
          <cell r="C644" t="str">
            <v>Control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P644">
            <v>57</v>
          </cell>
        </row>
        <row r="645">
          <cell r="C645" t="str">
            <v>Control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P645">
            <v>39.5</v>
          </cell>
        </row>
        <row r="646">
          <cell r="C646" t="str">
            <v>Control</v>
          </cell>
          <cell r="H646">
            <v>1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P646">
            <v>76.5</v>
          </cell>
        </row>
        <row r="647">
          <cell r="C647" t="str">
            <v>Control</v>
          </cell>
          <cell r="H647">
            <v>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P647">
            <v>32.4</v>
          </cell>
        </row>
        <row r="648">
          <cell r="C648" t="str">
            <v>Control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P648">
            <v>58.6</v>
          </cell>
        </row>
        <row r="649">
          <cell r="C649" t="str">
            <v>Control</v>
          </cell>
          <cell r="H649">
            <v>1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P649">
            <v>78.599999999999994</v>
          </cell>
        </row>
        <row r="650">
          <cell r="C650" t="str">
            <v>Control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P650">
            <v>54.5</v>
          </cell>
        </row>
        <row r="651">
          <cell r="C651" t="str">
            <v>Control</v>
          </cell>
          <cell r="H651">
            <v>1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P651">
            <v>57.6</v>
          </cell>
        </row>
        <row r="652">
          <cell r="C652" t="str">
            <v>Control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P652">
            <v>52.8</v>
          </cell>
        </row>
        <row r="653">
          <cell r="C653" t="str">
            <v>Control</v>
          </cell>
          <cell r="H653">
            <v>1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P653">
            <v>52.9</v>
          </cell>
        </row>
        <row r="654">
          <cell r="C654" t="str">
            <v>Control</v>
          </cell>
          <cell r="H654">
            <v>1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1</v>
          </cell>
          <cell r="N654">
            <v>0</v>
          </cell>
          <cell r="P654">
            <v>55.9</v>
          </cell>
        </row>
        <row r="655">
          <cell r="C655" t="str">
            <v>Control</v>
          </cell>
          <cell r="H655">
            <v>1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P655">
            <v>74.2</v>
          </cell>
        </row>
        <row r="656">
          <cell r="C656" t="str">
            <v>Control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P656">
            <v>46.3</v>
          </cell>
        </row>
        <row r="657">
          <cell r="C657" t="str">
            <v>Control</v>
          </cell>
          <cell r="H657">
            <v>1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P657">
            <v>62</v>
          </cell>
        </row>
        <row r="658">
          <cell r="C658" t="str">
            <v>Control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P658">
            <v>55.6</v>
          </cell>
        </row>
        <row r="659">
          <cell r="C659" t="str">
            <v>Control</v>
          </cell>
          <cell r="H659">
            <v>1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P659">
            <v>62.8</v>
          </cell>
        </row>
        <row r="660">
          <cell r="C660" t="str">
            <v>Control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P660">
            <v>73.099999999999994</v>
          </cell>
        </row>
        <row r="661">
          <cell r="C661" t="str">
            <v>Control</v>
          </cell>
          <cell r="H661">
            <v>1</v>
          </cell>
          <cell r="I661">
            <v>1</v>
          </cell>
          <cell r="J661">
            <v>1</v>
          </cell>
          <cell r="K661">
            <v>1</v>
          </cell>
          <cell r="L661">
            <v>347.52</v>
          </cell>
          <cell r="M661">
            <v>0</v>
          </cell>
          <cell r="N661">
            <v>0</v>
          </cell>
          <cell r="O661">
            <v>2</v>
          </cell>
          <cell r="P661">
            <v>57.2</v>
          </cell>
        </row>
        <row r="662">
          <cell r="C662" t="str">
            <v>Control</v>
          </cell>
          <cell r="H662">
            <v>1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P662">
            <v>67.900000000000006</v>
          </cell>
        </row>
        <row r="663">
          <cell r="C663" t="str">
            <v>Control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P663">
            <v>50.1</v>
          </cell>
        </row>
        <row r="664">
          <cell r="C664" t="str">
            <v>Control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P664">
            <v>67.8</v>
          </cell>
        </row>
        <row r="665">
          <cell r="C665" t="str">
            <v>Control</v>
          </cell>
          <cell r="H665">
            <v>1</v>
          </cell>
          <cell r="I665">
            <v>1</v>
          </cell>
          <cell r="J665">
            <v>1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P665">
            <v>60.8</v>
          </cell>
        </row>
        <row r="666">
          <cell r="C666" t="str">
            <v>Control</v>
          </cell>
          <cell r="H666">
            <v>1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3</v>
          </cell>
          <cell r="N666">
            <v>0</v>
          </cell>
          <cell r="P666">
            <v>33.700000000000003</v>
          </cell>
        </row>
        <row r="667">
          <cell r="C667" t="str">
            <v>Control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P667">
            <v>45.2</v>
          </cell>
        </row>
        <row r="668">
          <cell r="C668" t="str">
            <v>Control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P668">
            <v>48.2</v>
          </cell>
        </row>
        <row r="669">
          <cell r="C669" t="str">
            <v>Control</v>
          </cell>
          <cell r="H669">
            <v>1</v>
          </cell>
          <cell r="I669">
            <v>1</v>
          </cell>
          <cell r="J669">
            <v>0</v>
          </cell>
          <cell r="K669">
            <v>0</v>
          </cell>
          <cell r="L669">
            <v>0</v>
          </cell>
          <cell r="M669">
            <v>1</v>
          </cell>
          <cell r="N669">
            <v>0</v>
          </cell>
          <cell r="P669">
            <v>44.8</v>
          </cell>
        </row>
        <row r="670">
          <cell r="C670" t="str">
            <v>Control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P670">
            <v>52.1</v>
          </cell>
        </row>
        <row r="671">
          <cell r="C671" t="str">
            <v>Control</v>
          </cell>
          <cell r="H671">
            <v>1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P671">
            <v>30.7</v>
          </cell>
        </row>
        <row r="672">
          <cell r="C672" t="str">
            <v>Control</v>
          </cell>
          <cell r="H672">
            <v>1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P672">
            <v>58.4</v>
          </cell>
        </row>
        <row r="673">
          <cell r="C673" t="str">
            <v>Control</v>
          </cell>
          <cell r="H673">
            <v>1</v>
          </cell>
          <cell r="I673">
            <v>1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P673">
            <v>52.6</v>
          </cell>
        </row>
        <row r="674">
          <cell r="C674" t="str">
            <v>Control</v>
          </cell>
          <cell r="H674">
            <v>1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1</v>
          </cell>
          <cell r="N674">
            <v>0</v>
          </cell>
          <cell r="P674">
            <v>19.100000000000001</v>
          </cell>
        </row>
        <row r="675">
          <cell r="C675" t="str">
            <v>Control</v>
          </cell>
          <cell r="H675">
            <v>1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P675">
            <v>36.799999999999997</v>
          </cell>
        </row>
        <row r="676">
          <cell r="C676" t="str">
            <v>Control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P676">
            <v>68.5</v>
          </cell>
        </row>
        <row r="677">
          <cell r="C677" t="str">
            <v>Control</v>
          </cell>
          <cell r="H677">
            <v>1</v>
          </cell>
          <cell r="I677">
            <v>1</v>
          </cell>
          <cell r="J677">
            <v>1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P677">
            <v>40.1</v>
          </cell>
        </row>
        <row r="678">
          <cell r="C678" t="str">
            <v>Control</v>
          </cell>
          <cell r="H678">
            <v>1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P678">
            <v>47.5</v>
          </cell>
        </row>
        <row r="679">
          <cell r="C679" t="str">
            <v>Control</v>
          </cell>
          <cell r="H679">
            <v>1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P679">
            <v>77.099999999999994</v>
          </cell>
        </row>
        <row r="680">
          <cell r="C680" t="str">
            <v>Control</v>
          </cell>
          <cell r="H680">
            <v>1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P680">
            <v>75.900000000000006</v>
          </cell>
        </row>
        <row r="681">
          <cell r="C681" t="str">
            <v>Control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</v>
          </cell>
          <cell r="N681">
            <v>0</v>
          </cell>
          <cell r="P681">
            <v>52</v>
          </cell>
        </row>
        <row r="682">
          <cell r="C682" t="str">
            <v>Control</v>
          </cell>
          <cell r="H682">
            <v>1</v>
          </cell>
          <cell r="I682">
            <v>1</v>
          </cell>
          <cell r="J682">
            <v>1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P682">
            <v>64.900000000000006</v>
          </cell>
        </row>
        <row r="683">
          <cell r="C683" t="str">
            <v>Control</v>
          </cell>
          <cell r="H683">
            <v>1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P683">
            <v>48.2</v>
          </cell>
        </row>
        <row r="684">
          <cell r="C684" t="str">
            <v>Control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P684">
            <v>42.1</v>
          </cell>
        </row>
        <row r="685">
          <cell r="C685" t="str">
            <v>Control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P685">
            <v>27.6</v>
          </cell>
        </row>
        <row r="686">
          <cell r="C686" t="str">
            <v>Control</v>
          </cell>
          <cell r="H686">
            <v>1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  <cell r="N686">
            <v>0</v>
          </cell>
          <cell r="P686">
            <v>68.5</v>
          </cell>
        </row>
        <row r="687">
          <cell r="C687" t="str">
            <v>Control</v>
          </cell>
          <cell r="H687">
            <v>1</v>
          </cell>
          <cell r="I687">
            <v>1</v>
          </cell>
          <cell r="J687">
            <v>1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P687">
            <v>59.2</v>
          </cell>
        </row>
        <row r="688">
          <cell r="C688" t="str">
            <v>Control</v>
          </cell>
          <cell r="H688">
            <v>1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P688">
            <v>63.3</v>
          </cell>
        </row>
        <row r="689">
          <cell r="C689" t="str">
            <v>Control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P689">
            <v>55</v>
          </cell>
        </row>
        <row r="690">
          <cell r="C690" t="str">
            <v>Control</v>
          </cell>
          <cell r="H690">
            <v>1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P690">
            <v>64.8</v>
          </cell>
        </row>
        <row r="691">
          <cell r="C691" t="str">
            <v>Control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2</v>
          </cell>
          <cell r="N691">
            <v>0</v>
          </cell>
          <cell r="P691">
            <v>41.8</v>
          </cell>
        </row>
        <row r="692">
          <cell r="C692" t="str">
            <v>Treatment</v>
          </cell>
          <cell r="H692">
            <v>1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P692">
            <v>73.2</v>
          </cell>
        </row>
        <row r="693">
          <cell r="C693" t="str">
            <v>Treatment</v>
          </cell>
          <cell r="H693">
            <v>1</v>
          </cell>
          <cell r="I693">
            <v>1</v>
          </cell>
          <cell r="J693">
            <v>1</v>
          </cell>
          <cell r="K693">
            <v>0</v>
          </cell>
          <cell r="L693">
            <v>0</v>
          </cell>
          <cell r="M693">
            <v>3</v>
          </cell>
          <cell r="N693">
            <v>0</v>
          </cell>
          <cell r="P693">
            <v>55.7</v>
          </cell>
        </row>
        <row r="694">
          <cell r="C694" t="str">
            <v>Treatment</v>
          </cell>
          <cell r="H694">
            <v>1</v>
          </cell>
          <cell r="I694">
            <v>1</v>
          </cell>
          <cell r="J694">
            <v>1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P694">
            <v>82.8</v>
          </cell>
        </row>
        <row r="695">
          <cell r="C695" t="str">
            <v>Treatment</v>
          </cell>
          <cell r="H695">
            <v>1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P695">
            <v>60.02</v>
          </cell>
        </row>
        <row r="696">
          <cell r="C696" t="str">
            <v>Treatment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P696">
            <v>34.4</v>
          </cell>
        </row>
        <row r="697">
          <cell r="C697" t="str">
            <v>Treatment</v>
          </cell>
          <cell r="H697">
            <v>1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P697">
            <v>45.2</v>
          </cell>
        </row>
        <row r="698">
          <cell r="C698" t="str">
            <v>Treatment</v>
          </cell>
          <cell r="H698">
            <v>1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P698">
            <v>71.599999999999994</v>
          </cell>
        </row>
        <row r="699">
          <cell r="C699" t="str">
            <v>Treatment</v>
          </cell>
          <cell r="H699">
            <v>1</v>
          </cell>
          <cell r="I699">
            <v>1</v>
          </cell>
          <cell r="J699">
            <v>1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P699">
            <v>69.099999999999994</v>
          </cell>
        </row>
        <row r="700">
          <cell r="C700" t="str">
            <v>Treatment</v>
          </cell>
          <cell r="H700">
            <v>1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P700">
            <v>37.700000000000003</v>
          </cell>
        </row>
        <row r="701">
          <cell r="C701" t="str">
            <v>Treatment</v>
          </cell>
          <cell r="H701">
            <v>1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1</v>
          </cell>
          <cell r="N701">
            <v>0</v>
          </cell>
          <cell r="P701">
            <v>60.8</v>
          </cell>
        </row>
        <row r="702">
          <cell r="C702" t="str">
            <v>Treatment</v>
          </cell>
          <cell r="H702">
            <v>1</v>
          </cell>
          <cell r="I702">
            <v>1</v>
          </cell>
          <cell r="J702">
            <v>1</v>
          </cell>
          <cell r="K702">
            <v>1</v>
          </cell>
          <cell r="L702">
            <v>444.13</v>
          </cell>
          <cell r="M702">
            <v>0</v>
          </cell>
          <cell r="N702">
            <v>0</v>
          </cell>
          <cell r="O702">
            <v>10</v>
          </cell>
          <cell r="P702">
            <v>80.7</v>
          </cell>
        </row>
        <row r="703">
          <cell r="C703" t="str">
            <v>Treatment</v>
          </cell>
          <cell r="H703">
            <v>1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P703">
            <v>69.2</v>
          </cell>
        </row>
        <row r="704">
          <cell r="C704" t="str">
            <v>Treatment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3</v>
          </cell>
          <cell r="N704">
            <v>0</v>
          </cell>
          <cell r="P704">
            <v>55</v>
          </cell>
        </row>
        <row r="705">
          <cell r="C705" t="str">
            <v>Treatment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0</v>
          </cell>
          <cell r="P705">
            <v>73.599999999999994</v>
          </cell>
        </row>
        <row r="706">
          <cell r="C706" t="str">
            <v>Treatment</v>
          </cell>
          <cell r="H706">
            <v>1</v>
          </cell>
          <cell r="I706">
            <v>1</v>
          </cell>
          <cell r="J706">
            <v>1</v>
          </cell>
          <cell r="K706">
            <v>0</v>
          </cell>
          <cell r="L706">
            <v>0</v>
          </cell>
          <cell r="M706">
            <v>1</v>
          </cell>
          <cell r="N706">
            <v>0</v>
          </cell>
          <cell r="P706">
            <v>47.3</v>
          </cell>
        </row>
        <row r="707">
          <cell r="C707" t="str">
            <v>Treatment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P707">
            <v>43.6</v>
          </cell>
        </row>
        <row r="708">
          <cell r="C708" t="str">
            <v>Treatment</v>
          </cell>
          <cell r="H708">
            <v>1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P708">
            <v>60.02</v>
          </cell>
        </row>
        <row r="709">
          <cell r="C709" t="str">
            <v>Treatment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P709">
            <v>55.2</v>
          </cell>
        </row>
        <row r="710">
          <cell r="C710" t="str">
            <v>Treatment</v>
          </cell>
          <cell r="H710">
            <v>1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P710">
            <v>49.4</v>
          </cell>
        </row>
        <row r="711">
          <cell r="C711" t="str">
            <v>Treatment</v>
          </cell>
          <cell r="H711">
            <v>1</v>
          </cell>
          <cell r="I711">
            <v>1</v>
          </cell>
          <cell r="J711">
            <v>1</v>
          </cell>
          <cell r="K711">
            <v>0</v>
          </cell>
          <cell r="L711">
            <v>0</v>
          </cell>
          <cell r="M711">
            <v>1</v>
          </cell>
          <cell r="N711">
            <v>0</v>
          </cell>
          <cell r="P711">
            <v>60.1</v>
          </cell>
        </row>
        <row r="712">
          <cell r="C712" t="str">
            <v>Treatment</v>
          </cell>
          <cell r="H712">
            <v>1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P712">
            <v>55.9</v>
          </cell>
        </row>
        <row r="713">
          <cell r="C713" t="str">
            <v>Treatment</v>
          </cell>
          <cell r="H713">
            <v>1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P713">
            <v>51.5</v>
          </cell>
        </row>
        <row r="714">
          <cell r="C714" t="str">
            <v>Treatment</v>
          </cell>
          <cell r="H714">
            <v>1</v>
          </cell>
          <cell r="I714">
            <v>1</v>
          </cell>
          <cell r="J714">
            <v>1</v>
          </cell>
          <cell r="K714">
            <v>1</v>
          </cell>
          <cell r="L714">
            <v>516.66999999999996</v>
          </cell>
          <cell r="M714">
            <v>0</v>
          </cell>
          <cell r="N714">
            <v>0</v>
          </cell>
          <cell r="O714">
            <v>11</v>
          </cell>
          <cell r="P714">
            <v>57.9</v>
          </cell>
        </row>
        <row r="715">
          <cell r="C715" t="str">
            <v>Treatment</v>
          </cell>
          <cell r="H715">
            <v>1</v>
          </cell>
          <cell r="I715">
            <v>1</v>
          </cell>
          <cell r="J715">
            <v>1</v>
          </cell>
          <cell r="K715">
            <v>1</v>
          </cell>
          <cell r="L715">
            <v>277.18</v>
          </cell>
          <cell r="M715">
            <v>2</v>
          </cell>
          <cell r="N715">
            <v>0</v>
          </cell>
          <cell r="O715">
            <v>8</v>
          </cell>
          <cell r="P715">
            <v>59.2</v>
          </cell>
        </row>
        <row r="716">
          <cell r="C716" t="str">
            <v>Treatment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P716">
            <v>64.2</v>
          </cell>
        </row>
        <row r="717">
          <cell r="C717" t="str">
            <v>Treatment</v>
          </cell>
          <cell r="H717">
            <v>1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P717">
            <v>68.8</v>
          </cell>
        </row>
        <row r="718">
          <cell r="C718" t="str">
            <v>Treatment</v>
          </cell>
          <cell r="H718">
            <v>1</v>
          </cell>
          <cell r="I718">
            <v>1</v>
          </cell>
          <cell r="J718">
            <v>1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P718">
            <v>77.900000000000006</v>
          </cell>
        </row>
        <row r="719">
          <cell r="C719" t="str">
            <v>Treatment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P719">
            <v>92.1</v>
          </cell>
        </row>
        <row r="720">
          <cell r="C720" t="str">
            <v>Treatment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P720">
            <v>63.6</v>
          </cell>
        </row>
        <row r="721">
          <cell r="C721" t="str">
            <v>Treatment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2</v>
          </cell>
          <cell r="N721">
            <v>0</v>
          </cell>
          <cell r="P721">
            <v>61.6</v>
          </cell>
        </row>
        <row r="722">
          <cell r="C722" t="str">
            <v>Treatment</v>
          </cell>
          <cell r="H722">
            <v>1</v>
          </cell>
          <cell r="I722">
            <v>1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P722">
            <v>82.3</v>
          </cell>
        </row>
        <row r="723">
          <cell r="C723" t="str">
            <v>Treatment</v>
          </cell>
          <cell r="H723">
            <v>1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P723">
            <v>79.3</v>
          </cell>
        </row>
        <row r="724">
          <cell r="C724" t="str">
            <v>Treatment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P724">
            <v>57.7</v>
          </cell>
        </row>
        <row r="725">
          <cell r="C725" t="str">
            <v>Treatment</v>
          </cell>
          <cell r="H725">
            <v>1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P725">
            <v>63.1</v>
          </cell>
        </row>
        <row r="726">
          <cell r="C726" t="str">
            <v>Treatment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P726">
            <v>72.3</v>
          </cell>
        </row>
        <row r="727">
          <cell r="C727" t="str">
            <v>Treatment</v>
          </cell>
          <cell r="H727">
            <v>1</v>
          </cell>
          <cell r="I727">
            <v>1</v>
          </cell>
          <cell r="J727">
            <v>1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P727">
            <v>78</v>
          </cell>
        </row>
        <row r="728">
          <cell r="C728" t="str">
            <v>Treatment</v>
          </cell>
          <cell r="H728">
            <v>1</v>
          </cell>
          <cell r="I728">
            <v>1</v>
          </cell>
          <cell r="J728">
            <v>0</v>
          </cell>
          <cell r="K728">
            <v>0</v>
          </cell>
          <cell r="L728">
            <v>0</v>
          </cell>
          <cell r="M728">
            <v>2</v>
          </cell>
          <cell r="N728">
            <v>0</v>
          </cell>
          <cell r="P728">
            <v>59.1</v>
          </cell>
        </row>
        <row r="729">
          <cell r="C729" t="str">
            <v>Treatment</v>
          </cell>
          <cell r="H729">
            <v>1</v>
          </cell>
          <cell r="I729">
            <v>1</v>
          </cell>
          <cell r="J729">
            <v>1</v>
          </cell>
          <cell r="K729">
            <v>1</v>
          </cell>
          <cell r="L729">
            <v>604.09</v>
          </cell>
          <cell r="M729">
            <v>0</v>
          </cell>
          <cell r="N729">
            <v>0</v>
          </cell>
          <cell r="O729">
            <v>7</v>
          </cell>
          <cell r="P729">
            <v>47.1</v>
          </cell>
        </row>
        <row r="730">
          <cell r="C730" t="str">
            <v>Treatment</v>
          </cell>
          <cell r="H730">
            <v>1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P730">
            <v>64.900000000000006</v>
          </cell>
        </row>
        <row r="731">
          <cell r="C731" t="str">
            <v>Treatment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P731">
            <v>67.3</v>
          </cell>
        </row>
        <row r="732">
          <cell r="C732" t="str">
            <v>Treatment</v>
          </cell>
          <cell r="H732">
            <v>1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2</v>
          </cell>
          <cell r="N732">
            <v>0</v>
          </cell>
          <cell r="P732">
            <v>52.9</v>
          </cell>
        </row>
        <row r="733">
          <cell r="C733" t="str">
            <v>Treatment</v>
          </cell>
          <cell r="H733">
            <v>1</v>
          </cell>
          <cell r="I733">
            <v>1</v>
          </cell>
          <cell r="J733">
            <v>1</v>
          </cell>
          <cell r="K733">
            <v>1</v>
          </cell>
          <cell r="L733">
            <v>442.37</v>
          </cell>
          <cell r="M733">
            <v>1</v>
          </cell>
          <cell r="N733">
            <v>0</v>
          </cell>
          <cell r="O733">
            <v>4</v>
          </cell>
          <cell r="P733">
            <v>69.900000000000006</v>
          </cell>
        </row>
        <row r="734">
          <cell r="C734" t="str">
            <v>Treatment</v>
          </cell>
          <cell r="H734">
            <v>1</v>
          </cell>
          <cell r="I734">
            <v>1</v>
          </cell>
          <cell r="J734">
            <v>1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P734">
            <v>78.900000000000006</v>
          </cell>
        </row>
        <row r="735">
          <cell r="C735" t="str">
            <v>Treatment</v>
          </cell>
          <cell r="H735">
            <v>1</v>
          </cell>
          <cell r="I735">
            <v>1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P735">
            <v>83.3</v>
          </cell>
        </row>
        <row r="736">
          <cell r="C736" t="str">
            <v>Treatment</v>
          </cell>
          <cell r="H736">
            <v>1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1</v>
          </cell>
          <cell r="N736">
            <v>0</v>
          </cell>
          <cell r="P736">
            <v>24.5</v>
          </cell>
        </row>
        <row r="737">
          <cell r="C737" t="str">
            <v>Treatment</v>
          </cell>
          <cell r="H737">
            <v>1</v>
          </cell>
          <cell r="I737">
            <v>1</v>
          </cell>
          <cell r="J737">
            <v>0</v>
          </cell>
          <cell r="K737">
            <v>0</v>
          </cell>
          <cell r="L737">
            <v>0</v>
          </cell>
          <cell r="M737">
            <v>1</v>
          </cell>
          <cell r="N737">
            <v>0</v>
          </cell>
          <cell r="P737">
            <v>56.9</v>
          </cell>
        </row>
        <row r="738">
          <cell r="C738" t="str">
            <v>Treatment</v>
          </cell>
          <cell r="H738">
            <v>1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P738">
            <v>69.900000000000006</v>
          </cell>
        </row>
        <row r="739">
          <cell r="C739" t="str">
            <v>Treatment</v>
          </cell>
          <cell r="H739">
            <v>1</v>
          </cell>
          <cell r="I739">
            <v>1</v>
          </cell>
          <cell r="J739">
            <v>1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P739">
            <v>81.5</v>
          </cell>
        </row>
        <row r="740">
          <cell r="C740" t="str">
            <v>Treatment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2</v>
          </cell>
          <cell r="N740">
            <v>0</v>
          </cell>
          <cell r="P740">
            <v>37.9</v>
          </cell>
        </row>
        <row r="741">
          <cell r="C741" t="str">
            <v>Treatment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1</v>
          </cell>
          <cell r="N741">
            <v>0</v>
          </cell>
          <cell r="P741">
            <v>61.7</v>
          </cell>
        </row>
        <row r="742">
          <cell r="C742" t="str">
            <v>Treatment</v>
          </cell>
          <cell r="H742">
            <v>1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2</v>
          </cell>
          <cell r="N742">
            <v>0</v>
          </cell>
          <cell r="P742">
            <v>53.2</v>
          </cell>
        </row>
        <row r="743">
          <cell r="C743" t="str">
            <v>Treatment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P743">
            <v>61.9</v>
          </cell>
        </row>
        <row r="744">
          <cell r="C744" t="str">
            <v>Treatment</v>
          </cell>
          <cell r="H744">
            <v>1</v>
          </cell>
          <cell r="I744">
            <v>1</v>
          </cell>
          <cell r="J744">
            <v>1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P744">
            <v>68.900000000000006</v>
          </cell>
        </row>
        <row r="745">
          <cell r="C745" t="str">
            <v>Treatment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P745">
            <v>66.3</v>
          </cell>
        </row>
        <row r="746">
          <cell r="C746" t="str">
            <v>Treatment</v>
          </cell>
          <cell r="H746">
            <v>1</v>
          </cell>
          <cell r="I746">
            <v>1</v>
          </cell>
          <cell r="J746">
            <v>1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P746">
            <v>54.6</v>
          </cell>
        </row>
        <row r="747">
          <cell r="C747" t="str">
            <v>Treatment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P747">
            <v>53.8</v>
          </cell>
        </row>
        <row r="748">
          <cell r="C748" t="str">
            <v>Treatment</v>
          </cell>
          <cell r="H748">
            <v>1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P748">
            <v>59.5</v>
          </cell>
        </row>
        <row r="749">
          <cell r="C749" t="str">
            <v>Treatment</v>
          </cell>
          <cell r="H749">
            <v>1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P749">
            <v>52.6</v>
          </cell>
        </row>
        <row r="750">
          <cell r="C750" t="str">
            <v>Treatment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P750">
            <v>49</v>
          </cell>
        </row>
        <row r="751">
          <cell r="C751" t="str">
            <v>Treatment</v>
          </cell>
          <cell r="H751">
            <v>1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P751">
            <v>59.3</v>
          </cell>
        </row>
        <row r="752">
          <cell r="C752" t="str">
            <v>Treatment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P752">
            <v>67.2</v>
          </cell>
        </row>
        <row r="753">
          <cell r="C753" t="str">
            <v>Treatment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P753">
            <v>73.5</v>
          </cell>
        </row>
        <row r="754">
          <cell r="C754" t="str">
            <v>Treatment</v>
          </cell>
          <cell r="H754">
            <v>1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P754">
            <v>61.2</v>
          </cell>
        </row>
        <row r="755">
          <cell r="C755" t="str">
            <v>Treatment</v>
          </cell>
          <cell r="H755">
            <v>1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1</v>
          </cell>
          <cell r="N755">
            <v>0</v>
          </cell>
          <cell r="P755">
            <v>56.4</v>
          </cell>
        </row>
        <row r="756">
          <cell r="C756" t="str">
            <v>Treatment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3</v>
          </cell>
          <cell r="N756">
            <v>0</v>
          </cell>
          <cell r="P756">
            <v>72.599999999999994</v>
          </cell>
        </row>
        <row r="757">
          <cell r="C757" t="str">
            <v>Treatment</v>
          </cell>
          <cell r="H757">
            <v>1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P757">
            <v>61.7</v>
          </cell>
        </row>
        <row r="758">
          <cell r="C758" t="str">
            <v>Treatment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1</v>
          </cell>
          <cell r="N758">
            <v>0</v>
          </cell>
          <cell r="P758">
            <v>66.900000000000006</v>
          </cell>
        </row>
        <row r="759">
          <cell r="C759" t="str">
            <v>Treatment</v>
          </cell>
          <cell r="H759">
            <v>1</v>
          </cell>
          <cell r="I759">
            <v>1</v>
          </cell>
          <cell r="J759">
            <v>1</v>
          </cell>
          <cell r="K759">
            <v>1</v>
          </cell>
          <cell r="L759">
            <v>1506.24</v>
          </cell>
          <cell r="M759">
            <v>1</v>
          </cell>
          <cell r="N759">
            <v>0</v>
          </cell>
          <cell r="O759">
            <v>7</v>
          </cell>
          <cell r="P759">
            <v>64.900000000000006</v>
          </cell>
        </row>
        <row r="760">
          <cell r="C760" t="str">
            <v>Treatment</v>
          </cell>
          <cell r="H760">
            <v>1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P760">
            <v>57.5</v>
          </cell>
        </row>
        <row r="761">
          <cell r="C761" t="str">
            <v>Treatment</v>
          </cell>
          <cell r="H761">
            <v>1</v>
          </cell>
          <cell r="I761">
            <v>1</v>
          </cell>
          <cell r="J761">
            <v>1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P761">
            <v>76.3</v>
          </cell>
        </row>
        <row r="762">
          <cell r="C762" t="str">
            <v>Treatment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P762">
            <v>47.5</v>
          </cell>
        </row>
        <row r="763">
          <cell r="C763" t="str">
            <v>Treatment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P763">
            <v>60.02</v>
          </cell>
        </row>
        <row r="764">
          <cell r="C764" t="str">
            <v>Treatment</v>
          </cell>
          <cell r="H764">
            <v>1</v>
          </cell>
          <cell r="I764">
            <v>1</v>
          </cell>
          <cell r="J764">
            <v>0</v>
          </cell>
          <cell r="K764">
            <v>0</v>
          </cell>
          <cell r="L764">
            <v>0</v>
          </cell>
          <cell r="M764">
            <v>2</v>
          </cell>
          <cell r="N764">
            <v>0</v>
          </cell>
          <cell r="P764">
            <v>71.599999999999994</v>
          </cell>
        </row>
        <row r="765">
          <cell r="C765" t="str">
            <v>Treatment</v>
          </cell>
          <cell r="H765">
            <v>1</v>
          </cell>
          <cell r="I765">
            <v>1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P765">
            <v>55.8</v>
          </cell>
        </row>
        <row r="766">
          <cell r="C766" t="str">
            <v>Treatment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  <cell r="P766">
            <v>60.1</v>
          </cell>
        </row>
        <row r="767">
          <cell r="C767" t="str">
            <v>Treatment</v>
          </cell>
          <cell r="H767">
            <v>1</v>
          </cell>
          <cell r="I767">
            <v>1</v>
          </cell>
          <cell r="J767">
            <v>1</v>
          </cell>
          <cell r="K767">
            <v>0</v>
          </cell>
          <cell r="L767">
            <v>0</v>
          </cell>
          <cell r="M767">
            <v>1</v>
          </cell>
          <cell r="N767">
            <v>0</v>
          </cell>
          <cell r="P767">
            <v>59.3</v>
          </cell>
        </row>
        <row r="768">
          <cell r="C768" t="str">
            <v>Treatment</v>
          </cell>
          <cell r="H768">
            <v>1</v>
          </cell>
          <cell r="I768">
            <v>1</v>
          </cell>
          <cell r="J768">
            <v>0</v>
          </cell>
          <cell r="K768">
            <v>0</v>
          </cell>
          <cell r="L768">
            <v>0</v>
          </cell>
          <cell r="M768">
            <v>2</v>
          </cell>
          <cell r="N768">
            <v>0</v>
          </cell>
          <cell r="P768">
            <v>49.3</v>
          </cell>
        </row>
        <row r="769">
          <cell r="C769" t="str">
            <v>Treatment</v>
          </cell>
          <cell r="H769">
            <v>1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P769">
            <v>75</v>
          </cell>
        </row>
        <row r="770">
          <cell r="C770" t="str">
            <v>Treatment</v>
          </cell>
          <cell r="H770">
            <v>1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P770">
            <v>70.2</v>
          </cell>
        </row>
        <row r="771">
          <cell r="C771" t="str">
            <v>Treatment</v>
          </cell>
          <cell r="H771">
            <v>1</v>
          </cell>
          <cell r="I771">
            <v>1</v>
          </cell>
          <cell r="J771">
            <v>1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P771">
            <v>56.6</v>
          </cell>
        </row>
        <row r="772">
          <cell r="C772" t="str">
            <v>Treatment</v>
          </cell>
          <cell r="H772">
            <v>1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P772">
            <v>65.400000000000006</v>
          </cell>
        </row>
        <row r="773">
          <cell r="C773" t="str">
            <v>Treatment</v>
          </cell>
          <cell r="H773">
            <v>1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P773">
            <v>47.6</v>
          </cell>
        </row>
        <row r="774">
          <cell r="C774" t="str">
            <v>Treatment</v>
          </cell>
          <cell r="H774">
            <v>1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P774">
            <v>56.7</v>
          </cell>
        </row>
        <row r="775">
          <cell r="C775" t="str">
            <v>Treatment</v>
          </cell>
          <cell r="H775">
            <v>1</v>
          </cell>
          <cell r="I775">
            <v>1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P775">
            <v>71.400000000000006</v>
          </cell>
        </row>
        <row r="776">
          <cell r="C776" t="str">
            <v>Treatment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2</v>
          </cell>
          <cell r="N776">
            <v>0</v>
          </cell>
          <cell r="P776">
            <v>60.5</v>
          </cell>
        </row>
        <row r="777">
          <cell r="C777" t="str">
            <v>Treatment</v>
          </cell>
          <cell r="H777">
            <v>1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P777">
            <v>46.7</v>
          </cell>
        </row>
        <row r="778">
          <cell r="C778" t="str">
            <v>Treatment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P778">
            <v>61</v>
          </cell>
        </row>
        <row r="779">
          <cell r="C779" t="str">
            <v>Treatment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P779">
            <v>60.9</v>
          </cell>
        </row>
        <row r="780">
          <cell r="C780" t="str">
            <v>Treatment</v>
          </cell>
          <cell r="H780">
            <v>1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P780">
            <v>67.099999999999994</v>
          </cell>
        </row>
        <row r="781">
          <cell r="C781" t="str">
            <v>Treatment</v>
          </cell>
          <cell r="H781">
            <v>1</v>
          </cell>
          <cell r="I781">
            <v>1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P781">
            <v>59.6</v>
          </cell>
        </row>
        <row r="782">
          <cell r="C782" t="str">
            <v>Treatment</v>
          </cell>
          <cell r="H782">
            <v>1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P782">
            <v>83.8</v>
          </cell>
        </row>
        <row r="783">
          <cell r="C783" t="str">
            <v>Treatment</v>
          </cell>
          <cell r="H783">
            <v>1</v>
          </cell>
          <cell r="I783">
            <v>1</v>
          </cell>
          <cell r="J783">
            <v>1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P783">
            <v>70.8</v>
          </cell>
        </row>
        <row r="784">
          <cell r="C784" t="str">
            <v>Treatment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P784">
            <v>65.900000000000006</v>
          </cell>
        </row>
        <row r="785">
          <cell r="C785" t="str">
            <v>Treatment</v>
          </cell>
          <cell r="H785">
            <v>1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P785">
            <v>58</v>
          </cell>
        </row>
        <row r="786">
          <cell r="C786" t="str">
            <v>Treatment</v>
          </cell>
          <cell r="H786">
            <v>1</v>
          </cell>
          <cell r="I786">
            <v>1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P786">
            <v>80.3</v>
          </cell>
        </row>
        <row r="787">
          <cell r="C787" t="str">
            <v>Treatment</v>
          </cell>
          <cell r="H787">
            <v>1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P787">
            <v>55.7</v>
          </cell>
        </row>
        <row r="788">
          <cell r="C788" t="str">
            <v>Treatment</v>
          </cell>
          <cell r="H788">
            <v>1</v>
          </cell>
          <cell r="I788">
            <v>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P788">
            <v>84.9</v>
          </cell>
        </row>
        <row r="789">
          <cell r="C789" t="str">
            <v>Treatment</v>
          </cell>
          <cell r="H789">
            <v>1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P789">
            <v>63.3</v>
          </cell>
        </row>
        <row r="790">
          <cell r="C790" t="str">
            <v>Treatment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P790">
            <v>53.1</v>
          </cell>
        </row>
        <row r="791">
          <cell r="C791" t="str">
            <v>Treatment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P791">
            <v>66</v>
          </cell>
        </row>
        <row r="792">
          <cell r="C792" t="str">
            <v>Treatment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P792">
            <v>54.7</v>
          </cell>
        </row>
        <row r="793">
          <cell r="C793" t="str">
            <v>Treatment</v>
          </cell>
          <cell r="H793">
            <v>1</v>
          </cell>
          <cell r="I793">
            <v>1</v>
          </cell>
          <cell r="J793">
            <v>0</v>
          </cell>
          <cell r="K793">
            <v>0</v>
          </cell>
          <cell r="L793">
            <v>0</v>
          </cell>
          <cell r="M793">
            <v>1</v>
          </cell>
          <cell r="N793">
            <v>0</v>
          </cell>
          <cell r="P793">
            <v>41.2</v>
          </cell>
        </row>
        <row r="794">
          <cell r="C794" t="str">
            <v>Treatment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P794">
            <v>66.7</v>
          </cell>
        </row>
        <row r="795">
          <cell r="C795" t="str">
            <v>Treatment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P795">
            <v>39.4</v>
          </cell>
        </row>
        <row r="796">
          <cell r="C796" t="str">
            <v>Treatment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3</v>
          </cell>
          <cell r="N796">
            <v>0</v>
          </cell>
          <cell r="P796">
            <v>67</v>
          </cell>
        </row>
        <row r="797">
          <cell r="C797" t="str">
            <v>Treatment</v>
          </cell>
          <cell r="H797">
            <v>1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P797">
            <v>50.4</v>
          </cell>
        </row>
        <row r="798">
          <cell r="C798" t="str">
            <v>Treatment</v>
          </cell>
          <cell r="H798">
            <v>1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P798">
            <v>53.8</v>
          </cell>
        </row>
        <row r="799">
          <cell r="C799" t="str">
            <v>Treatment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1</v>
          </cell>
          <cell r="N799">
            <v>0</v>
          </cell>
          <cell r="P799">
            <v>82.7</v>
          </cell>
        </row>
        <row r="800">
          <cell r="C800" t="str">
            <v>Treatment</v>
          </cell>
          <cell r="H800">
            <v>1</v>
          </cell>
          <cell r="I800">
            <v>1</v>
          </cell>
          <cell r="J800">
            <v>1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P800">
            <v>63.9</v>
          </cell>
        </row>
        <row r="801">
          <cell r="C801" t="str">
            <v>Treatment</v>
          </cell>
          <cell r="H801">
            <v>1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P801">
            <v>61.9</v>
          </cell>
        </row>
        <row r="802">
          <cell r="C802" t="str">
            <v>Treatment</v>
          </cell>
          <cell r="H802">
            <v>1</v>
          </cell>
          <cell r="I802">
            <v>1</v>
          </cell>
          <cell r="J802">
            <v>1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P802">
            <v>75</v>
          </cell>
        </row>
        <row r="803">
          <cell r="C803" t="str">
            <v>Treatment</v>
          </cell>
          <cell r="H803">
            <v>1</v>
          </cell>
          <cell r="I803">
            <v>1</v>
          </cell>
          <cell r="J803">
            <v>1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P803">
            <v>43</v>
          </cell>
        </row>
        <row r="804">
          <cell r="C804" t="str">
            <v>Treatment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P804">
            <v>54.3</v>
          </cell>
        </row>
        <row r="805">
          <cell r="C805" t="str">
            <v>Treatment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2</v>
          </cell>
          <cell r="N805">
            <v>0</v>
          </cell>
          <cell r="P805">
            <v>44.3</v>
          </cell>
        </row>
        <row r="806">
          <cell r="C806" t="str">
            <v>Treatment</v>
          </cell>
          <cell r="H806">
            <v>1</v>
          </cell>
          <cell r="I806">
            <v>1</v>
          </cell>
          <cell r="J806">
            <v>1</v>
          </cell>
          <cell r="K806">
            <v>1</v>
          </cell>
          <cell r="L806">
            <v>402.88</v>
          </cell>
          <cell r="M806">
            <v>0</v>
          </cell>
          <cell r="N806">
            <v>0</v>
          </cell>
          <cell r="O806">
            <v>12</v>
          </cell>
          <cell r="P806">
            <v>76</v>
          </cell>
        </row>
        <row r="807">
          <cell r="C807" t="str">
            <v>Treatment</v>
          </cell>
          <cell r="H807">
            <v>1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2</v>
          </cell>
          <cell r="N807">
            <v>0</v>
          </cell>
          <cell r="P807">
            <v>65.3</v>
          </cell>
        </row>
        <row r="808">
          <cell r="C808" t="str">
            <v>Treatment</v>
          </cell>
          <cell r="H808">
            <v>1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P808">
            <v>71.2</v>
          </cell>
        </row>
        <row r="809">
          <cell r="C809" t="str">
            <v>Treatment</v>
          </cell>
          <cell r="H809">
            <v>1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P809">
            <v>77.900000000000006</v>
          </cell>
        </row>
        <row r="810">
          <cell r="C810" t="str">
            <v>Treatment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P810">
            <v>48.6</v>
          </cell>
        </row>
        <row r="811">
          <cell r="C811" t="str">
            <v>Treatment</v>
          </cell>
          <cell r="H811">
            <v>1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P811">
            <v>61.9</v>
          </cell>
        </row>
        <row r="812">
          <cell r="C812" t="str">
            <v>Treatment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1</v>
          </cell>
          <cell r="N812">
            <v>0</v>
          </cell>
          <cell r="P812">
            <v>58.7</v>
          </cell>
        </row>
        <row r="813">
          <cell r="C813" t="str">
            <v>Treatment</v>
          </cell>
          <cell r="H813">
            <v>1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P813">
            <v>69.599999999999994</v>
          </cell>
        </row>
        <row r="814">
          <cell r="C814" t="str">
            <v>Treatment</v>
          </cell>
          <cell r="H814">
            <v>1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P814">
            <v>51.5</v>
          </cell>
        </row>
        <row r="815">
          <cell r="C815" t="str">
            <v>Treatment</v>
          </cell>
          <cell r="H815">
            <v>1</v>
          </cell>
          <cell r="I815">
            <v>1</v>
          </cell>
          <cell r="J815">
            <v>1</v>
          </cell>
          <cell r="K815">
            <v>1</v>
          </cell>
          <cell r="L815">
            <v>277.69</v>
          </cell>
          <cell r="M815">
            <v>3</v>
          </cell>
          <cell r="N815">
            <v>0</v>
          </cell>
          <cell r="O815">
            <v>8</v>
          </cell>
          <cell r="P815">
            <v>46</v>
          </cell>
        </row>
        <row r="816">
          <cell r="C816" t="str">
            <v>Treatment</v>
          </cell>
          <cell r="H816">
            <v>1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P816">
            <v>81.7</v>
          </cell>
        </row>
        <row r="817">
          <cell r="C817" t="str">
            <v>Treatment</v>
          </cell>
          <cell r="H817">
            <v>1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P817">
            <v>48.3</v>
          </cell>
        </row>
        <row r="818">
          <cell r="C818" t="str">
            <v>Treatment</v>
          </cell>
          <cell r="H818">
            <v>1</v>
          </cell>
          <cell r="I818">
            <v>1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P818">
            <v>85.6</v>
          </cell>
        </row>
        <row r="819">
          <cell r="C819" t="str">
            <v>Treatment</v>
          </cell>
          <cell r="H819">
            <v>1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P819">
            <v>53.8</v>
          </cell>
        </row>
        <row r="820">
          <cell r="C820" t="str">
            <v>Treatment</v>
          </cell>
          <cell r="H820">
            <v>1</v>
          </cell>
          <cell r="I820">
            <v>1</v>
          </cell>
          <cell r="J820">
            <v>1</v>
          </cell>
          <cell r="K820">
            <v>1</v>
          </cell>
          <cell r="L820">
            <v>460.83</v>
          </cell>
          <cell r="M820">
            <v>2</v>
          </cell>
          <cell r="N820">
            <v>0</v>
          </cell>
          <cell r="O820">
            <v>0</v>
          </cell>
          <cell r="P820">
            <v>69.7</v>
          </cell>
        </row>
        <row r="821">
          <cell r="C821" t="str">
            <v>Treatment</v>
          </cell>
          <cell r="H821">
            <v>1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P821">
            <v>74.8</v>
          </cell>
        </row>
        <row r="822">
          <cell r="C822" t="str">
            <v>Treatment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P822">
            <v>87.9</v>
          </cell>
        </row>
        <row r="823">
          <cell r="C823" t="str">
            <v>Treatment</v>
          </cell>
          <cell r="H823">
            <v>1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1</v>
          </cell>
          <cell r="N823">
            <v>0</v>
          </cell>
          <cell r="P823">
            <v>49.1</v>
          </cell>
        </row>
        <row r="824">
          <cell r="C824" t="str">
            <v>Treatment</v>
          </cell>
          <cell r="H824">
            <v>1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2</v>
          </cell>
          <cell r="N824">
            <v>0</v>
          </cell>
          <cell r="P824">
            <v>73</v>
          </cell>
        </row>
        <row r="825">
          <cell r="C825" t="str">
            <v>Treatment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P825">
            <v>79.5</v>
          </cell>
        </row>
        <row r="826">
          <cell r="C826" t="str">
            <v>Treatment</v>
          </cell>
          <cell r="H826">
            <v>1</v>
          </cell>
          <cell r="I826">
            <v>1</v>
          </cell>
          <cell r="J826">
            <v>1</v>
          </cell>
          <cell r="K826">
            <v>1</v>
          </cell>
          <cell r="L826">
            <v>782.23</v>
          </cell>
          <cell r="M826">
            <v>1</v>
          </cell>
          <cell r="N826">
            <v>0</v>
          </cell>
          <cell r="O826">
            <v>6</v>
          </cell>
          <cell r="P826">
            <v>93.2</v>
          </cell>
        </row>
        <row r="827">
          <cell r="C827" t="str">
            <v>Treatment</v>
          </cell>
          <cell r="H827">
            <v>1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3</v>
          </cell>
          <cell r="N827">
            <v>0</v>
          </cell>
          <cell r="P827">
            <v>77.5</v>
          </cell>
        </row>
        <row r="828">
          <cell r="C828" t="str">
            <v>Treatment</v>
          </cell>
          <cell r="H828">
            <v>1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P828">
            <v>61</v>
          </cell>
        </row>
        <row r="829">
          <cell r="C829" t="str">
            <v>Treatment</v>
          </cell>
          <cell r="H829">
            <v>1</v>
          </cell>
          <cell r="I829">
            <v>1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P829">
            <v>64.900000000000006</v>
          </cell>
        </row>
        <row r="830">
          <cell r="C830" t="str">
            <v>Treatment</v>
          </cell>
          <cell r="H830">
            <v>1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P830">
            <v>87.5</v>
          </cell>
        </row>
        <row r="831">
          <cell r="C831" t="str">
            <v>Treatment</v>
          </cell>
          <cell r="H831">
            <v>1</v>
          </cell>
          <cell r="I831">
            <v>1</v>
          </cell>
          <cell r="J831">
            <v>1</v>
          </cell>
          <cell r="K831">
            <v>1</v>
          </cell>
          <cell r="L831">
            <v>1171.99</v>
          </cell>
          <cell r="M831">
            <v>0</v>
          </cell>
          <cell r="N831">
            <v>0</v>
          </cell>
          <cell r="O831">
            <v>5</v>
          </cell>
          <cell r="P831">
            <v>80.599999999999994</v>
          </cell>
        </row>
        <row r="832">
          <cell r="C832" t="str">
            <v>Treatment</v>
          </cell>
          <cell r="H832">
            <v>1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P832">
            <v>66.900000000000006</v>
          </cell>
        </row>
        <row r="833">
          <cell r="C833" t="str">
            <v>Treatment</v>
          </cell>
          <cell r="H833">
            <v>1</v>
          </cell>
          <cell r="I833">
            <v>1</v>
          </cell>
          <cell r="J833">
            <v>1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P833">
            <v>58.8</v>
          </cell>
        </row>
        <row r="834">
          <cell r="C834" t="str">
            <v>Treatment</v>
          </cell>
          <cell r="H834">
            <v>1</v>
          </cell>
          <cell r="I834">
            <v>1</v>
          </cell>
          <cell r="J834">
            <v>1</v>
          </cell>
          <cell r="K834">
            <v>1</v>
          </cell>
          <cell r="L834">
            <v>1010.4</v>
          </cell>
          <cell r="M834">
            <v>0</v>
          </cell>
          <cell r="N834">
            <v>0</v>
          </cell>
          <cell r="O834">
            <v>4</v>
          </cell>
          <cell r="P834">
            <v>42.9</v>
          </cell>
        </row>
        <row r="835">
          <cell r="C835" t="str">
            <v>Treatment</v>
          </cell>
          <cell r="H835">
            <v>1</v>
          </cell>
          <cell r="I835">
            <v>1</v>
          </cell>
          <cell r="J835">
            <v>1</v>
          </cell>
          <cell r="K835">
            <v>0</v>
          </cell>
          <cell r="L835">
            <v>0</v>
          </cell>
          <cell r="M835">
            <v>1</v>
          </cell>
          <cell r="N835">
            <v>0</v>
          </cell>
          <cell r="P835">
            <v>60.2</v>
          </cell>
        </row>
        <row r="836">
          <cell r="C836" t="str">
            <v>Treatment</v>
          </cell>
          <cell r="H836">
            <v>1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P836">
            <v>42.7</v>
          </cell>
        </row>
        <row r="837">
          <cell r="C837" t="str">
            <v>Treatment</v>
          </cell>
          <cell r="H837">
            <v>1</v>
          </cell>
          <cell r="I837">
            <v>1</v>
          </cell>
          <cell r="J837">
            <v>1</v>
          </cell>
          <cell r="K837">
            <v>1</v>
          </cell>
          <cell r="L837">
            <v>431.27</v>
          </cell>
          <cell r="M837">
            <v>0</v>
          </cell>
          <cell r="N837">
            <v>0</v>
          </cell>
          <cell r="O837">
            <v>7</v>
          </cell>
          <cell r="P837">
            <v>60.8</v>
          </cell>
        </row>
        <row r="838">
          <cell r="C838" t="str">
            <v>Treatment</v>
          </cell>
          <cell r="H838">
            <v>1</v>
          </cell>
          <cell r="I838">
            <v>1</v>
          </cell>
          <cell r="J838">
            <v>1</v>
          </cell>
          <cell r="K838">
            <v>1</v>
          </cell>
          <cell r="L838">
            <v>428.8</v>
          </cell>
          <cell r="M838">
            <v>0</v>
          </cell>
          <cell r="N838">
            <v>0</v>
          </cell>
          <cell r="O838">
            <v>9</v>
          </cell>
          <cell r="P838">
            <v>79.3</v>
          </cell>
        </row>
        <row r="839">
          <cell r="C839" t="str">
            <v>Treatment</v>
          </cell>
          <cell r="H839">
            <v>1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1</v>
          </cell>
          <cell r="N839">
            <v>0</v>
          </cell>
          <cell r="P839">
            <v>88.6</v>
          </cell>
        </row>
        <row r="840">
          <cell r="C840" t="str">
            <v>Treatment</v>
          </cell>
          <cell r="H840">
            <v>1</v>
          </cell>
          <cell r="I840">
            <v>1</v>
          </cell>
          <cell r="J840">
            <v>1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P840">
            <v>63.1</v>
          </cell>
        </row>
        <row r="841">
          <cell r="C841" t="str">
            <v>Treatment</v>
          </cell>
          <cell r="H841">
            <v>1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P841">
            <v>39.700000000000003</v>
          </cell>
        </row>
        <row r="842">
          <cell r="C842" t="str">
            <v>Treatment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P842">
            <v>67.2</v>
          </cell>
        </row>
        <row r="843">
          <cell r="C843" t="str">
            <v>Treatment</v>
          </cell>
          <cell r="H843">
            <v>1</v>
          </cell>
          <cell r="I843">
            <v>1</v>
          </cell>
          <cell r="J843">
            <v>1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P843">
            <v>62.3</v>
          </cell>
        </row>
        <row r="844">
          <cell r="C844" t="str">
            <v>Treatment</v>
          </cell>
          <cell r="H844">
            <v>1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P844">
            <v>60.02</v>
          </cell>
        </row>
        <row r="845">
          <cell r="C845" t="str">
            <v>Treatment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P845">
            <v>60.7</v>
          </cell>
        </row>
        <row r="846">
          <cell r="C846" t="str">
            <v>Treatment</v>
          </cell>
          <cell r="H846">
            <v>1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P846">
            <v>61.5</v>
          </cell>
        </row>
        <row r="847">
          <cell r="C847" t="str">
            <v>Treatment</v>
          </cell>
          <cell r="H847">
            <v>1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P847">
            <v>75</v>
          </cell>
        </row>
        <row r="848">
          <cell r="C848" t="str">
            <v>Treatment</v>
          </cell>
          <cell r="H848">
            <v>1</v>
          </cell>
          <cell r="I848">
            <v>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P848">
            <v>51.9</v>
          </cell>
        </row>
        <row r="849">
          <cell r="C849" t="str">
            <v>Treatment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P849">
            <v>34.5</v>
          </cell>
        </row>
        <row r="850">
          <cell r="C850" t="str">
            <v>Treatment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P850">
            <v>54.5</v>
          </cell>
        </row>
        <row r="851">
          <cell r="C851" t="str">
            <v>Treatment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P851">
            <v>46</v>
          </cell>
        </row>
        <row r="852">
          <cell r="C852" t="str">
            <v>Treatment</v>
          </cell>
          <cell r="H852">
            <v>1</v>
          </cell>
          <cell r="I852">
            <v>1</v>
          </cell>
          <cell r="J852">
            <v>1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P852">
            <v>88.4</v>
          </cell>
        </row>
        <row r="853">
          <cell r="C853" t="str">
            <v>Treatment</v>
          </cell>
          <cell r="H853">
            <v>1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P853">
            <v>69.5</v>
          </cell>
        </row>
        <row r="854">
          <cell r="C854" t="str">
            <v>Treatment</v>
          </cell>
          <cell r="H854">
            <v>1</v>
          </cell>
          <cell r="I854">
            <v>1</v>
          </cell>
          <cell r="J854">
            <v>1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P854">
            <v>74.2</v>
          </cell>
        </row>
        <row r="855">
          <cell r="C855" t="str">
            <v>Treatment</v>
          </cell>
          <cell r="H855">
            <v>1</v>
          </cell>
          <cell r="I855">
            <v>1</v>
          </cell>
          <cell r="J855">
            <v>1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P855">
            <v>72.099999999999994</v>
          </cell>
        </row>
        <row r="856">
          <cell r="C856" t="str">
            <v>Treatment</v>
          </cell>
          <cell r="H856">
            <v>1</v>
          </cell>
          <cell r="I856">
            <v>1</v>
          </cell>
          <cell r="J856">
            <v>1</v>
          </cell>
          <cell r="K856">
            <v>1</v>
          </cell>
          <cell r="L856">
            <v>398.33</v>
          </cell>
          <cell r="M856">
            <v>0</v>
          </cell>
          <cell r="N856">
            <v>0</v>
          </cell>
          <cell r="O856">
            <v>5</v>
          </cell>
          <cell r="P856">
            <v>85.1</v>
          </cell>
        </row>
        <row r="857">
          <cell r="C857" t="str">
            <v>Treatment</v>
          </cell>
          <cell r="H857">
            <v>1</v>
          </cell>
          <cell r="I857">
            <v>1</v>
          </cell>
          <cell r="J857">
            <v>1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P857">
            <v>49.5</v>
          </cell>
        </row>
        <row r="858">
          <cell r="C858" t="str">
            <v>Treatment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1</v>
          </cell>
          <cell r="N858">
            <v>0</v>
          </cell>
          <cell r="P858">
            <v>79</v>
          </cell>
        </row>
        <row r="859">
          <cell r="C859" t="str">
            <v>Treatment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P859">
            <v>71.8</v>
          </cell>
        </row>
        <row r="860">
          <cell r="C860" t="str">
            <v>Treatment</v>
          </cell>
          <cell r="H860">
            <v>1</v>
          </cell>
          <cell r="I860">
            <v>1</v>
          </cell>
          <cell r="J860">
            <v>1</v>
          </cell>
          <cell r="K860">
            <v>1</v>
          </cell>
          <cell r="L860">
            <v>1117.54</v>
          </cell>
          <cell r="M860">
            <v>0</v>
          </cell>
          <cell r="N860">
            <v>0</v>
          </cell>
          <cell r="O860">
            <v>6</v>
          </cell>
          <cell r="P860">
            <v>60.4</v>
          </cell>
        </row>
        <row r="861">
          <cell r="C861" t="str">
            <v>Treatment</v>
          </cell>
          <cell r="H861">
            <v>1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2</v>
          </cell>
          <cell r="N861">
            <v>0</v>
          </cell>
          <cell r="P861">
            <v>38.299999999999997</v>
          </cell>
        </row>
        <row r="862">
          <cell r="C862" t="str">
            <v>Treatment</v>
          </cell>
          <cell r="H862">
            <v>1</v>
          </cell>
          <cell r="I862">
            <v>1</v>
          </cell>
          <cell r="J862">
            <v>1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P862">
            <v>79.599999999999994</v>
          </cell>
        </row>
        <row r="863">
          <cell r="C863" t="str">
            <v>Treatment</v>
          </cell>
          <cell r="H863">
            <v>1</v>
          </cell>
          <cell r="I863">
            <v>1</v>
          </cell>
          <cell r="J863">
            <v>1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P863">
            <v>71.900000000000006</v>
          </cell>
        </row>
        <row r="864">
          <cell r="C864" t="str">
            <v>Treatment</v>
          </cell>
          <cell r="H864">
            <v>1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P864">
            <v>54.6</v>
          </cell>
        </row>
        <row r="865">
          <cell r="C865" t="str">
            <v>Treatment</v>
          </cell>
          <cell r="H865">
            <v>1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3</v>
          </cell>
          <cell r="N865">
            <v>0</v>
          </cell>
          <cell r="P865">
            <v>49.3</v>
          </cell>
        </row>
        <row r="866">
          <cell r="C866" t="str">
            <v>Treatment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1</v>
          </cell>
          <cell r="N866">
            <v>0</v>
          </cell>
          <cell r="P866">
            <v>66.900000000000006</v>
          </cell>
        </row>
        <row r="867">
          <cell r="C867" t="str">
            <v>Treatment</v>
          </cell>
          <cell r="H867">
            <v>1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1</v>
          </cell>
          <cell r="N867">
            <v>0</v>
          </cell>
          <cell r="P867">
            <v>77.8</v>
          </cell>
        </row>
        <row r="868">
          <cell r="C868" t="str">
            <v>Treatment</v>
          </cell>
          <cell r="H868">
            <v>1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P868">
            <v>63</v>
          </cell>
        </row>
        <row r="869">
          <cell r="C869" t="str">
            <v>Treatment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P869">
            <v>79.8</v>
          </cell>
        </row>
        <row r="870">
          <cell r="C870" t="str">
            <v>Treatment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P870">
            <v>69.900000000000006</v>
          </cell>
        </row>
        <row r="871">
          <cell r="C871" t="str">
            <v>Treatment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1</v>
          </cell>
          <cell r="N871">
            <v>0</v>
          </cell>
          <cell r="P871">
            <v>66.400000000000006</v>
          </cell>
        </row>
        <row r="872">
          <cell r="C872" t="str">
            <v>Treatment</v>
          </cell>
          <cell r="H872">
            <v>1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P872">
            <v>27.6</v>
          </cell>
        </row>
        <row r="873">
          <cell r="C873" t="str">
            <v>Treatment</v>
          </cell>
          <cell r="H873">
            <v>1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1</v>
          </cell>
          <cell r="N873">
            <v>0</v>
          </cell>
          <cell r="P873">
            <v>56.5</v>
          </cell>
        </row>
        <row r="874">
          <cell r="C874" t="str">
            <v>Treatment</v>
          </cell>
          <cell r="H874">
            <v>1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P874">
            <v>67.8</v>
          </cell>
        </row>
        <row r="875">
          <cell r="C875" t="str">
            <v>Treatment</v>
          </cell>
          <cell r="H875">
            <v>1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P875">
            <v>80</v>
          </cell>
        </row>
        <row r="876">
          <cell r="C876" t="str">
            <v>Treatment</v>
          </cell>
          <cell r="H876">
            <v>1</v>
          </cell>
          <cell r="I876">
            <v>1</v>
          </cell>
          <cell r="J876">
            <v>1</v>
          </cell>
          <cell r="K876">
            <v>0</v>
          </cell>
          <cell r="L876">
            <v>0</v>
          </cell>
          <cell r="M876">
            <v>1</v>
          </cell>
          <cell r="N876">
            <v>0</v>
          </cell>
          <cell r="P876">
            <v>80.900000000000006</v>
          </cell>
        </row>
        <row r="877">
          <cell r="C877" t="str">
            <v>Treatment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P877">
            <v>34.5</v>
          </cell>
        </row>
        <row r="878">
          <cell r="C878" t="str">
            <v>Treatment</v>
          </cell>
          <cell r="H878">
            <v>1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P878">
            <v>73.5</v>
          </cell>
        </row>
        <row r="879">
          <cell r="C879" t="str">
            <v>Treatment</v>
          </cell>
          <cell r="H879">
            <v>1</v>
          </cell>
          <cell r="I879">
            <v>1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P879">
            <v>70</v>
          </cell>
        </row>
        <row r="880">
          <cell r="C880" t="str">
            <v>Treatment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P880">
            <v>86.9</v>
          </cell>
        </row>
        <row r="881">
          <cell r="C881" t="str">
            <v>Treatment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P881">
            <v>66.900000000000006</v>
          </cell>
        </row>
        <row r="882">
          <cell r="C882" t="str">
            <v>Treatment</v>
          </cell>
          <cell r="H882">
            <v>1</v>
          </cell>
          <cell r="I882">
            <v>1</v>
          </cell>
          <cell r="J882">
            <v>1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P882">
            <v>58.3</v>
          </cell>
        </row>
        <row r="883">
          <cell r="C883" t="str">
            <v>Treatment</v>
          </cell>
          <cell r="H883">
            <v>1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P883">
            <v>45</v>
          </cell>
        </row>
        <row r="884">
          <cell r="C884" t="str">
            <v>Treatment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P884">
            <v>60.8</v>
          </cell>
        </row>
        <row r="885">
          <cell r="C885" t="str">
            <v>Treatment</v>
          </cell>
          <cell r="H885">
            <v>1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4</v>
          </cell>
          <cell r="N885">
            <v>0</v>
          </cell>
          <cell r="P885">
            <v>53.7</v>
          </cell>
        </row>
        <row r="886">
          <cell r="C886" t="str">
            <v>Treatment</v>
          </cell>
          <cell r="H886">
            <v>1</v>
          </cell>
          <cell r="I886">
            <v>1</v>
          </cell>
          <cell r="J886">
            <v>1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P886">
            <v>48.8</v>
          </cell>
        </row>
        <row r="887">
          <cell r="C887" t="str">
            <v>Treatment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P887">
            <v>52.9</v>
          </cell>
        </row>
        <row r="888">
          <cell r="C888" t="str">
            <v>Treatment</v>
          </cell>
          <cell r="H888">
            <v>1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P888">
            <v>42.4</v>
          </cell>
        </row>
        <row r="889">
          <cell r="C889" t="str">
            <v>Treatment</v>
          </cell>
          <cell r="H889">
            <v>1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P889">
            <v>58.7</v>
          </cell>
        </row>
        <row r="890">
          <cell r="C890" t="str">
            <v>Treatment</v>
          </cell>
          <cell r="H890">
            <v>1</v>
          </cell>
          <cell r="I890">
            <v>1</v>
          </cell>
          <cell r="J890">
            <v>1</v>
          </cell>
          <cell r="K890">
            <v>1</v>
          </cell>
          <cell r="L890">
            <v>2064.5500000000002</v>
          </cell>
          <cell r="M890">
            <v>0</v>
          </cell>
          <cell r="N890">
            <v>0</v>
          </cell>
          <cell r="O890">
            <v>1</v>
          </cell>
          <cell r="P890">
            <v>67.8</v>
          </cell>
        </row>
        <row r="891">
          <cell r="C891" t="str">
            <v>Treatment</v>
          </cell>
          <cell r="H891">
            <v>1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P891">
            <v>62.6</v>
          </cell>
        </row>
        <row r="892">
          <cell r="C892" t="str">
            <v>Treatment</v>
          </cell>
          <cell r="H892">
            <v>1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P892">
            <v>82.4</v>
          </cell>
        </row>
        <row r="893">
          <cell r="C893" t="str">
            <v>Treatment</v>
          </cell>
          <cell r="H893">
            <v>1</v>
          </cell>
          <cell r="I893">
            <v>1</v>
          </cell>
          <cell r="J893">
            <v>1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P893">
            <v>50.4</v>
          </cell>
        </row>
        <row r="894">
          <cell r="C894" t="str">
            <v>Treatment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P894">
            <v>68.400000000000006</v>
          </cell>
        </row>
        <row r="895">
          <cell r="C895" t="str">
            <v>Treatment</v>
          </cell>
          <cell r="H895">
            <v>1</v>
          </cell>
          <cell r="I895">
            <v>1</v>
          </cell>
          <cell r="J895">
            <v>1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P895">
            <v>58.8</v>
          </cell>
        </row>
        <row r="896">
          <cell r="C896" t="str">
            <v>Treatment</v>
          </cell>
          <cell r="H896">
            <v>1</v>
          </cell>
          <cell r="I896">
            <v>1</v>
          </cell>
          <cell r="J896">
            <v>0</v>
          </cell>
          <cell r="K896">
            <v>0</v>
          </cell>
          <cell r="L896">
            <v>0</v>
          </cell>
          <cell r="M896">
            <v>2</v>
          </cell>
          <cell r="N896">
            <v>0</v>
          </cell>
          <cell r="P896">
            <v>28.3</v>
          </cell>
        </row>
        <row r="897">
          <cell r="C897" t="str">
            <v>Treatment</v>
          </cell>
          <cell r="H897">
            <v>1</v>
          </cell>
          <cell r="I897">
            <v>1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P897">
            <v>44.1</v>
          </cell>
        </row>
        <row r="898">
          <cell r="C898" t="str">
            <v>Treatment</v>
          </cell>
          <cell r="H898">
            <v>1</v>
          </cell>
          <cell r="I898">
            <v>1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P898">
            <v>66.7</v>
          </cell>
        </row>
        <row r="899">
          <cell r="C899" t="str">
            <v>Treatment</v>
          </cell>
          <cell r="H899">
            <v>1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P899">
            <v>100</v>
          </cell>
        </row>
        <row r="900">
          <cell r="C900" t="str">
            <v>Treatment</v>
          </cell>
          <cell r="H900">
            <v>1</v>
          </cell>
          <cell r="I900">
            <v>1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P900">
            <v>87.5</v>
          </cell>
        </row>
        <row r="901">
          <cell r="C901" t="str">
            <v>Treatment</v>
          </cell>
          <cell r="H901">
            <v>1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2</v>
          </cell>
          <cell r="N901">
            <v>0</v>
          </cell>
          <cell r="P901">
            <v>65.400000000000006</v>
          </cell>
        </row>
        <row r="902">
          <cell r="C902" t="str">
            <v>Treatment</v>
          </cell>
          <cell r="H902">
            <v>1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P902">
            <v>22.9</v>
          </cell>
        </row>
        <row r="903">
          <cell r="C903" t="str">
            <v>Treatment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P903">
            <v>64.599999999999994</v>
          </cell>
        </row>
        <row r="904">
          <cell r="C904" t="str">
            <v>Treatment</v>
          </cell>
          <cell r="H904">
            <v>1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2</v>
          </cell>
          <cell r="N904">
            <v>0</v>
          </cell>
          <cell r="P904">
            <v>54.4</v>
          </cell>
        </row>
        <row r="905">
          <cell r="C905" t="str">
            <v>Treatment</v>
          </cell>
          <cell r="H905">
            <v>1</v>
          </cell>
          <cell r="I905">
            <v>1</v>
          </cell>
          <cell r="J905">
            <v>1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P905">
            <v>56.8</v>
          </cell>
        </row>
        <row r="906">
          <cell r="C906" t="str">
            <v>Treatment</v>
          </cell>
          <cell r="H906">
            <v>1</v>
          </cell>
          <cell r="I906">
            <v>1</v>
          </cell>
          <cell r="J906">
            <v>1</v>
          </cell>
          <cell r="K906">
            <v>1</v>
          </cell>
          <cell r="L906">
            <v>341.38</v>
          </cell>
          <cell r="M906">
            <v>0</v>
          </cell>
          <cell r="N906">
            <v>0</v>
          </cell>
          <cell r="O906">
            <v>2</v>
          </cell>
          <cell r="P906">
            <v>63.6</v>
          </cell>
        </row>
        <row r="907">
          <cell r="C907" t="str">
            <v>Treatment</v>
          </cell>
          <cell r="H907">
            <v>1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P907">
            <v>58.2</v>
          </cell>
        </row>
        <row r="908">
          <cell r="C908" t="str">
            <v>Treatment</v>
          </cell>
          <cell r="H908">
            <v>1</v>
          </cell>
          <cell r="I908">
            <v>1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P908">
            <v>54.6</v>
          </cell>
        </row>
        <row r="909">
          <cell r="C909" t="str">
            <v>Treatment</v>
          </cell>
          <cell r="H909">
            <v>1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P909">
            <v>81.900000000000006</v>
          </cell>
        </row>
        <row r="910">
          <cell r="C910" t="str">
            <v>Treatment</v>
          </cell>
          <cell r="H910">
            <v>1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3</v>
          </cell>
          <cell r="N910">
            <v>0</v>
          </cell>
          <cell r="P910">
            <v>53.3</v>
          </cell>
        </row>
        <row r="911">
          <cell r="C911" t="str">
            <v>Treatment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P911">
            <v>54.2</v>
          </cell>
        </row>
        <row r="912">
          <cell r="C912" t="str">
            <v>Treatment</v>
          </cell>
          <cell r="H912">
            <v>1</v>
          </cell>
          <cell r="I912">
            <v>1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P912">
            <v>65.599999999999994</v>
          </cell>
        </row>
        <row r="913">
          <cell r="C913" t="str">
            <v>Treatment</v>
          </cell>
          <cell r="H913">
            <v>1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1</v>
          </cell>
          <cell r="N913">
            <v>0</v>
          </cell>
          <cell r="P913">
            <v>56.5</v>
          </cell>
        </row>
        <row r="914">
          <cell r="C914" t="str">
            <v>Treatment</v>
          </cell>
          <cell r="H914">
            <v>1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P914">
            <v>59.7</v>
          </cell>
        </row>
        <row r="915">
          <cell r="C915" t="str">
            <v>Treatment</v>
          </cell>
          <cell r="H915">
            <v>1</v>
          </cell>
          <cell r="I915">
            <v>1</v>
          </cell>
          <cell r="J915">
            <v>1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P915">
            <v>72.5</v>
          </cell>
        </row>
        <row r="916">
          <cell r="C916" t="str">
            <v>Treatment</v>
          </cell>
          <cell r="H916">
            <v>1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P916">
            <v>64.3</v>
          </cell>
        </row>
        <row r="917">
          <cell r="C917" t="str">
            <v>Treatment</v>
          </cell>
          <cell r="H917">
            <v>1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P917">
            <v>64.5</v>
          </cell>
        </row>
        <row r="918">
          <cell r="C918" t="str">
            <v>Treatment</v>
          </cell>
          <cell r="H918">
            <v>1</v>
          </cell>
          <cell r="I918">
            <v>1</v>
          </cell>
          <cell r="J918">
            <v>1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P918">
            <v>70.599999999999994</v>
          </cell>
        </row>
        <row r="919">
          <cell r="C919" t="str">
            <v>Treatment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P919">
            <v>58.4</v>
          </cell>
        </row>
        <row r="920">
          <cell r="C920" t="str">
            <v>Treatment</v>
          </cell>
          <cell r="H920">
            <v>1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P920">
            <v>56.6</v>
          </cell>
        </row>
        <row r="921">
          <cell r="C921" t="str">
            <v>Treatment</v>
          </cell>
          <cell r="H921">
            <v>1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P921">
            <v>61.8</v>
          </cell>
        </row>
        <row r="922">
          <cell r="C922" t="str">
            <v>Treatment</v>
          </cell>
          <cell r="H922">
            <v>1</v>
          </cell>
          <cell r="I922">
            <v>1</v>
          </cell>
          <cell r="J922">
            <v>1</v>
          </cell>
          <cell r="K922">
            <v>1</v>
          </cell>
          <cell r="L922">
            <v>513.52</v>
          </cell>
          <cell r="M922">
            <v>0</v>
          </cell>
          <cell r="N922">
            <v>0</v>
          </cell>
          <cell r="O922">
            <v>8</v>
          </cell>
          <cell r="P922">
            <v>43.4</v>
          </cell>
        </row>
        <row r="923">
          <cell r="C923" t="str">
            <v>Treatment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P923">
            <v>43</v>
          </cell>
        </row>
        <row r="924">
          <cell r="C924" t="str">
            <v>Treatment</v>
          </cell>
          <cell r="H924">
            <v>1</v>
          </cell>
          <cell r="I924">
            <v>1</v>
          </cell>
          <cell r="J924">
            <v>1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P924">
            <v>51.1</v>
          </cell>
        </row>
        <row r="925">
          <cell r="C925" t="str">
            <v>Treatment</v>
          </cell>
          <cell r="H925">
            <v>1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P925">
            <v>48.8</v>
          </cell>
        </row>
        <row r="926">
          <cell r="C926" t="str">
            <v>Treatment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P926">
            <v>73.2</v>
          </cell>
        </row>
        <row r="927">
          <cell r="C927" t="str">
            <v>Treatment</v>
          </cell>
          <cell r="H927">
            <v>1</v>
          </cell>
          <cell r="I927">
            <v>1</v>
          </cell>
          <cell r="J927">
            <v>1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P927">
            <v>80</v>
          </cell>
        </row>
        <row r="928">
          <cell r="C928" t="str">
            <v>Treatment</v>
          </cell>
          <cell r="H928">
            <v>1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P928">
            <v>52.3</v>
          </cell>
        </row>
        <row r="929">
          <cell r="C929" t="str">
            <v>Treatment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P929">
            <v>49.1</v>
          </cell>
        </row>
        <row r="930">
          <cell r="C930" t="str">
            <v>Treatment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P930">
            <v>45.3</v>
          </cell>
        </row>
        <row r="931">
          <cell r="C931" t="str">
            <v>Treatment</v>
          </cell>
          <cell r="H931">
            <v>1</v>
          </cell>
          <cell r="I931">
            <v>1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P931">
            <v>49.1</v>
          </cell>
        </row>
        <row r="932">
          <cell r="C932" t="str">
            <v>Treatment</v>
          </cell>
          <cell r="H932">
            <v>1</v>
          </cell>
          <cell r="I932">
            <v>1</v>
          </cell>
          <cell r="J932">
            <v>1</v>
          </cell>
          <cell r="K932">
            <v>1</v>
          </cell>
          <cell r="L932">
            <v>476.44</v>
          </cell>
          <cell r="M932">
            <v>0</v>
          </cell>
          <cell r="N932">
            <v>0</v>
          </cell>
          <cell r="O932">
            <v>3</v>
          </cell>
          <cell r="P932">
            <v>88.6</v>
          </cell>
        </row>
        <row r="933">
          <cell r="C933" t="str">
            <v>Treatment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1</v>
          </cell>
          <cell r="N933">
            <v>0</v>
          </cell>
          <cell r="P933">
            <v>54.4</v>
          </cell>
        </row>
        <row r="934">
          <cell r="C934" t="str">
            <v>Treatment</v>
          </cell>
          <cell r="H934">
            <v>1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P934">
            <v>72.900000000000006</v>
          </cell>
        </row>
        <row r="935">
          <cell r="C935" t="str">
            <v>Treatment</v>
          </cell>
          <cell r="H935">
            <v>1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P935">
            <v>53.2</v>
          </cell>
        </row>
        <row r="936">
          <cell r="C936" t="str">
            <v>Treatment</v>
          </cell>
          <cell r="H936">
            <v>1</v>
          </cell>
          <cell r="I936">
            <v>1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P936">
            <v>48.7</v>
          </cell>
        </row>
        <row r="937">
          <cell r="C937" t="str">
            <v>Treatment</v>
          </cell>
          <cell r="H937">
            <v>1</v>
          </cell>
          <cell r="I937">
            <v>1</v>
          </cell>
          <cell r="J937">
            <v>1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P937">
            <v>59.9</v>
          </cell>
        </row>
        <row r="938">
          <cell r="C938" t="str">
            <v>Treatment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P938">
            <v>82</v>
          </cell>
        </row>
        <row r="939">
          <cell r="C939" t="str">
            <v>Treatment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P939">
            <v>72.099999999999994</v>
          </cell>
        </row>
        <row r="940">
          <cell r="C940" t="str">
            <v>Treatment</v>
          </cell>
          <cell r="H940">
            <v>1</v>
          </cell>
          <cell r="I940">
            <v>1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P940">
            <v>68.3</v>
          </cell>
        </row>
        <row r="941">
          <cell r="C941" t="str">
            <v>Treatment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P941">
            <v>100</v>
          </cell>
        </row>
        <row r="942">
          <cell r="C942" t="str">
            <v>Treatment</v>
          </cell>
          <cell r="H942">
            <v>1</v>
          </cell>
          <cell r="I942">
            <v>1</v>
          </cell>
          <cell r="J942">
            <v>1</v>
          </cell>
          <cell r="K942">
            <v>0</v>
          </cell>
          <cell r="L942">
            <v>0</v>
          </cell>
          <cell r="M942">
            <v>2</v>
          </cell>
          <cell r="N942">
            <v>0</v>
          </cell>
          <cell r="P942">
            <v>76.5</v>
          </cell>
        </row>
        <row r="943">
          <cell r="C943" t="str">
            <v>Treatment</v>
          </cell>
          <cell r="H943">
            <v>1</v>
          </cell>
          <cell r="I943">
            <v>1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P943">
            <v>62</v>
          </cell>
        </row>
        <row r="944">
          <cell r="C944" t="str">
            <v>Treatment</v>
          </cell>
          <cell r="H944">
            <v>1</v>
          </cell>
          <cell r="I944">
            <v>1</v>
          </cell>
          <cell r="J944">
            <v>1</v>
          </cell>
          <cell r="K944">
            <v>1</v>
          </cell>
          <cell r="L944">
            <v>324.68</v>
          </cell>
          <cell r="M944">
            <v>1</v>
          </cell>
          <cell r="N944">
            <v>0</v>
          </cell>
          <cell r="O944">
            <v>7</v>
          </cell>
          <cell r="P944">
            <v>50.1</v>
          </cell>
        </row>
        <row r="945">
          <cell r="C945" t="str">
            <v>Treatment</v>
          </cell>
          <cell r="H945">
            <v>1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P945">
            <v>62.1</v>
          </cell>
        </row>
        <row r="946">
          <cell r="C946" t="str">
            <v>Treatment</v>
          </cell>
          <cell r="H946">
            <v>1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P946">
            <v>49.7</v>
          </cell>
        </row>
        <row r="947">
          <cell r="C947" t="str">
            <v>Treatment</v>
          </cell>
          <cell r="H947">
            <v>1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3</v>
          </cell>
          <cell r="N947">
            <v>0</v>
          </cell>
          <cell r="P947">
            <v>71.099999999999994</v>
          </cell>
        </row>
        <row r="948">
          <cell r="C948" t="str">
            <v>Treatment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P948">
            <v>70.8</v>
          </cell>
        </row>
        <row r="949">
          <cell r="C949" t="str">
            <v>Treatment</v>
          </cell>
          <cell r="H949">
            <v>1</v>
          </cell>
          <cell r="I949">
            <v>1</v>
          </cell>
          <cell r="J949">
            <v>1</v>
          </cell>
          <cell r="K949">
            <v>1</v>
          </cell>
          <cell r="L949">
            <v>301.98</v>
          </cell>
          <cell r="M949">
            <v>0</v>
          </cell>
          <cell r="N949">
            <v>0</v>
          </cell>
          <cell r="O949">
            <v>10</v>
          </cell>
          <cell r="P949">
            <v>52.2</v>
          </cell>
        </row>
        <row r="950">
          <cell r="C950" t="str">
            <v>Treatment</v>
          </cell>
          <cell r="H950">
            <v>1</v>
          </cell>
          <cell r="I950">
            <v>1</v>
          </cell>
          <cell r="J950">
            <v>1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P950">
            <v>73</v>
          </cell>
        </row>
        <row r="951">
          <cell r="C951" t="str">
            <v>Treatment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P951">
            <v>78.2</v>
          </cell>
        </row>
        <row r="952">
          <cell r="C952" t="str">
            <v>Treatment</v>
          </cell>
          <cell r="H952">
            <v>1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P952">
            <v>68.8</v>
          </cell>
        </row>
        <row r="953">
          <cell r="C953" t="str">
            <v>Treatment</v>
          </cell>
          <cell r="H953">
            <v>1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P953">
            <v>57.1</v>
          </cell>
        </row>
        <row r="954">
          <cell r="C954" t="str">
            <v>Treatment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1</v>
          </cell>
          <cell r="N954">
            <v>0</v>
          </cell>
          <cell r="P954">
            <v>74.599999999999994</v>
          </cell>
        </row>
        <row r="955">
          <cell r="C955" t="str">
            <v>Treatment</v>
          </cell>
          <cell r="H955">
            <v>1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1</v>
          </cell>
          <cell r="N955">
            <v>0</v>
          </cell>
          <cell r="P955">
            <v>64.099999999999994</v>
          </cell>
        </row>
        <row r="956">
          <cell r="C956" t="str">
            <v>Treatment</v>
          </cell>
          <cell r="H956">
            <v>1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P956">
            <v>67.3</v>
          </cell>
        </row>
        <row r="957">
          <cell r="C957" t="str">
            <v>Treatment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2</v>
          </cell>
          <cell r="N957">
            <v>0</v>
          </cell>
          <cell r="P957">
            <v>41</v>
          </cell>
        </row>
        <row r="958">
          <cell r="C958" t="str">
            <v>Treatment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P958">
            <v>48.1</v>
          </cell>
        </row>
        <row r="959">
          <cell r="C959" t="str">
            <v>Treatment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1</v>
          </cell>
          <cell r="N959">
            <v>0</v>
          </cell>
          <cell r="P959">
            <v>60.8</v>
          </cell>
        </row>
        <row r="960">
          <cell r="C960" t="str">
            <v>Treatment</v>
          </cell>
          <cell r="H960">
            <v>1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P960">
            <v>63.1</v>
          </cell>
        </row>
        <row r="961">
          <cell r="C961" t="str">
            <v>Treatment</v>
          </cell>
          <cell r="H961">
            <v>1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2</v>
          </cell>
          <cell r="N961">
            <v>0</v>
          </cell>
          <cell r="P961">
            <v>49.7</v>
          </cell>
        </row>
        <row r="962">
          <cell r="C962" t="str">
            <v>Treatment</v>
          </cell>
          <cell r="H962">
            <v>1</v>
          </cell>
          <cell r="I962">
            <v>1</v>
          </cell>
          <cell r="J962">
            <v>1</v>
          </cell>
          <cell r="K962">
            <v>0</v>
          </cell>
          <cell r="L962">
            <v>0</v>
          </cell>
          <cell r="M962">
            <v>1</v>
          </cell>
          <cell r="N962">
            <v>0</v>
          </cell>
          <cell r="P962">
            <v>83.4</v>
          </cell>
        </row>
        <row r="963">
          <cell r="C963" t="str">
            <v>Treatment</v>
          </cell>
          <cell r="H963">
            <v>1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P963">
            <v>75.900000000000006</v>
          </cell>
        </row>
        <row r="964">
          <cell r="C964" t="str">
            <v>Treatment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1</v>
          </cell>
          <cell r="N964">
            <v>0</v>
          </cell>
          <cell r="P964">
            <v>71.8</v>
          </cell>
        </row>
        <row r="965">
          <cell r="C965" t="str">
            <v>Treatment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P965">
            <v>37.9</v>
          </cell>
        </row>
        <row r="966">
          <cell r="C966" t="str">
            <v>Treatment</v>
          </cell>
          <cell r="H966">
            <v>1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P966">
            <v>59.8</v>
          </cell>
        </row>
        <row r="967">
          <cell r="C967" t="str">
            <v>Treatment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P967">
            <v>66.900000000000006</v>
          </cell>
        </row>
        <row r="968">
          <cell r="C968" t="str">
            <v>Treatment</v>
          </cell>
          <cell r="H968">
            <v>1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P968">
            <v>59</v>
          </cell>
        </row>
        <row r="969">
          <cell r="C969" t="str">
            <v>Treatment</v>
          </cell>
          <cell r="H969">
            <v>1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P969">
            <v>80.099999999999994</v>
          </cell>
        </row>
        <row r="970">
          <cell r="C970" t="str">
            <v>Treatment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P970">
            <v>64.3</v>
          </cell>
        </row>
        <row r="971">
          <cell r="C971" t="str">
            <v>Treatment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1</v>
          </cell>
          <cell r="N971">
            <v>0</v>
          </cell>
          <cell r="P971">
            <v>57.4</v>
          </cell>
        </row>
        <row r="972">
          <cell r="C972" t="str">
            <v>Treatment</v>
          </cell>
          <cell r="H972">
            <v>1</v>
          </cell>
          <cell r="I972">
            <v>1</v>
          </cell>
          <cell r="J972">
            <v>1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P972">
            <v>83.6</v>
          </cell>
        </row>
        <row r="973">
          <cell r="C973" t="str">
            <v>Treatment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P973">
            <v>45.8</v>
          </cell>
        </row>
        <row r="974">
          <cell r="C974" t="str">
            <v>Treatment</v>
          </cell>
          <cell r="H974">
            <v>1</v>
          </cell>
          <cell r="I974">
            <v>1</v>
          </cell>
          <cell r="J974">
            <v>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P974">
            <v>64.3</v>
          </cell>
        </row>
        <row r="975">
          <cell r="C975" t="str">
            <v>Treatment</v>
          </cell>
          <cell r="H975">
            <v>1</v>
          </cell>
          <cell r="I975">
            <v>1</v>
          </cell>
          <cell r="J975">
            <v>1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P975">
            <v>80.5</v>
          </cell>
        </row>
        <row r="976">
          <cell r="C976" t="str">
            <v>Treatment</v>
          </cell>
          <cell r="H976">
            <v>1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P976">
            <v>46.3</v>
          </cell>
        </row>
        <row r="977">
          <cell r="C977" t="str">
            <v>Treatment</v>
          </cell>
          <cell r="H977">
            <v>1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P977">
            <v>71.599999999999994</v>
          </cell>
        </row>
        <row r="978">
          <cell r="C978" t="str">
            <v>Treatment</v>
          </cell>
          <cell r="H978">
            <v>1</v>
          </cell>
          <cell r="I978">
            <v>1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P978">
            <v>57.8</v>
          </cell>
        </row>
        <row r="979">
          <cell r="C979" t="str">
            <v>Treatment</v>
          </cell>
          <cell r="H979">
            <v>1</v>
          </cell>
          <cell r="I979">
            <v>1</v>
          </cell>
          <cell r="J979">
            <v>1</v>
          </cell>
          <cell r="K979">
            <v>0</v>
          </cell>
          <cell r="L979">
            <v>0</v>
          </cell>
          <cell r="M979">
            <v>1</v>
          </cell>
          <cell r="N979">
            <v>0</v>
          </cell>
          <cell r="P979">
            <v>57.8</v>
          </cell>
        </row>
        <row r="980">
          <cell r="C980" t="str">
            <v>Treatment</v>
          </cell>
          <cell r="H980">
            <v>1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P980">
            <v>38.299999999999997</v>
          </cell>
        </row>
        <row r="981">
          <cell r="C981" t="str">
            <v>Treatment</v>
          </cell>
          <cell r="H981">
            <v>1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1</v>
          </cell>
          <cell r="N981">
            <v>0</v>
          </cell>
          <cell r="P981">
            <v>66.099999999999994</v>
          </cell>
        </row>
        <row r="982">
          <cell r="C982" t="str">
            <v>Treatment</v>
          </cell>
          <cell r="H982">
            <v>1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P982">
            <v>66.5</v>
          </cell>
        </row>
        <row r="983">
          <cell r="C983" t="str">
            <v>Treatment</v>
          </cell>
          <cell r="H983">
            <v>1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3</v>
          </cell>
          <cell r="N983">
            <v>0</v>
          </cell>
          <cell r="P983">
            <v>51.5</v>
          </cell>
        </row>
        <row r="984">
          <cell r="C984" t="str">
            <v>Treatment</v>
          </cell>
          <cell r="H984">
            <v>1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P984">
            <v>59.9</v>
          </cell>
        </row>
        <row r="985">
          <cell r="C985" t="str">
            <v>Treatment</v>
          </cell>
          <cell r="H985">
            <v>1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P985">
            <v>58.8</v>
          </cell>
        </row>
        <row r="986">
          <cell r="C986" t="str">
            <v>Treatment</v>
          </cell>
          <cell r="H986">
            <v>1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P986">
            <v>69.599999999999994</v>
          </cell>
        </row>
        <row r="987">
          <cell r="C987" t="str">
            <v>Treatment</v>
          </cell>
          <cell r="H987">
            <v>1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P987">
            <v>77.5</v>
          </cell>
        </row>
        <row r="988">
          <cell r="C988" t="str">
            <v>Treatment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2</v>
          </cell>
          <cell r="N988">
            <v>0</v>
          </cell>
          <cell r="P988">
            <v>57.5</v>
          </cell>
        </row>
        <row r="989">
          <cell r="C989" t="str">
            <v>Treatment</v>
          </cell>
          <cell r="H989">
            <v>1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P989">
            <v>64.2</v>
          </cell>
        </row>
        <row r="990">
          <cell r="C990" t="str">
            <v>Treatment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P990">
            <v>60</v>
          </cell>
        </row>
        <row r="991">
          <cell r="C991" t="str">
            <v>Treatment</v>
          </cell>
          <cell r="H991">
            <v>1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1</v>
          </cell>
          <cell r="N991">
            <v>0</v>
          </cell>
          <cell r="P991">
            <v>43.7</v>
          </cell>
        </row>
        <row r="992">
          <cell r="C992" t="str">
            <v>Treatment</v>
          </cell>
          <cell r="H992">
            <v>1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P992">
            <v>64.900000000000006</v>
          </cell>
        </row>
        <row r="993">
          <cell r="C993" t="str">
            <v>Treatment</v>
          </cell>
          <cell r="H993">
            <v>1</v>
          </cell>
          <cell r="I993">
            <v>1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P993">
            <v>45.5</v>
          </cell>
        </row>
        <row r="994">
          <cell r="C994" t="str">
            <v>Treatment</v>
          </cell>
          <cell r="H994">
            <v>1</v>
          </cell>
          <cell r="I994">
            <v>1</v>
          </cell>
          <cell r="J994">
            <v>1</v>
          </cell>
          <cell r="K994">
            <v>1</v>
          </cell>
          <cell r="L994">
            <v>1772.97</v>
          </cell>
          <cell r="M994">
            <v>0</v>
          </cell>
          <cell r="N994">
            <v>0</v>
          </cell>
          <cell r="O994">
            <v>8</v>
          </cell>
          <cell r="P994">
            <v>61.2</v>
          </cell>
        </row>
        <row r="995">
          <cell r="C995" t="str">
            <v>Treatment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P995">
            <v>87.8</v>
          </cell>
        </row>
        <row r="996">
          <cell r="C996" t="str">
            <v>Treatment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P996">
            <v>86.4</v>
          </cell>
        </row>
        <row r="997">
          <cell r="C997" t="str">
            <v>Treatment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1</v>
          </cell>
          <cell r="N997">
            <v>0</v>
          </cell>
          <cell r="P997">
            <v>71.400000000000006</v>
          </cell>
        </row>
        <row r="998">
          <cell r="C998" t="str">
            <v>Treatment</v>
          </cell>
          <cell r="H998">
            <v>1</v>
          </cell>
          <cell r="I998">
            <v>1</v>
          </cell>
          <cell r="J998">
            <v>1</v>
          </cell>
          <cell r="K998">
            <v>1</v>
          </cell>
          <cell r="L998">
            <v>218.66</v>
          </cell>
          <cell r="M998">
            <v>0</v>
          </cell>
          <cell r="N998">
            <v>1</v>
          </cell>
          <cell r="O998">
            <v>8</v>
          </cell>
          <cell r="P998">
            <v>72.2</v>
          </cell>
        </row>
        <row r="999">
          <cell r="C999" t="str">
            <v>Treatment</v>
          </cell>
          <cell r="H999">
            <v>1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P999">
            <v>51.9</v>
          </cell>
        </row>
        <row r="1000">
          <cell r="C1000" t="str">
            <v>Treatment</v>
          </cell>
          <cell r="H1000">
            <v>1</v>
          </cell>
          <cell r="I1000">
            <v>1</v>
          </cell>
          <cell r="J1000">
            <v>1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P1000">
            <v>70.3</v>
          </cell>
        </row>
        <row r="1001">
          <cell r="C1001" t="str">
            <v>Treatment</v>
          </cell>
          <cell r="H1001">
            <v>1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1</v>
          </cell>
          <cell r="N1001">
            <v>0</v>
          </cell>
          <cell r="P1001">
            <v>49.2</v>
          </cell>
        </row>
        <row r="1002">
          <cell r="C1002" t="str">
            <v>Treatment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P1002">
            <v>52.2</v>
          </cell>
        </row>
        <row r="1003">
          <cell r="C1003" t="str">
            <v>Treatment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1</v>
          </cell>
          <cell r="N1003">
            <v>0</v>
          </cell>
          <cell r="P1003">
            <v>62.6</v>
          </cell>
        </row>
        <row r="1004">
          <cell r="C1004" t="str">
            <v>Treatment</v>
          </cell>
          <cell r="H1004">
            <v>1</v>
          </cell>
          <cell r="I1004">
            <v>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P1004">
            <v>100</v>
          </cell>
        </row>
        <row r="1005">
          <cell r="C1005" t="str">
            <v>Treatment</v>
          </cell>
          <cell r="H1005">
            <v>1</v>
          </cell>
          <cell r="I1005">
            <v>1</v>
          </cell>
          <cell r="J1005">
            <v>1</v>
          </cell>
          <cell r="K1005">
            <v>0</v>
          </cell>
          <cell r="L1005">
            <v>0</v>
          </cell>
          <cell r="M1005">
            <v>2</v>
          </cell>
          <cell r="N1005">
            <v>0</v>
          </cell>
          <cell r="P1005">
            <v>45.9</v>
          </cell>
        </row>
        <row r="1006">
          <cell r="C1006" t="str">
            <v>Treatment</v>
          </cell>
          <cell r="H1006">
            <v>1</v>
          </cell>
          <cell r="I1006">
            <v>1</v>
          </cell>
          <cell r="J1006">
            <v>1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P1006">
            <v>80.7</v>
          </cell>
        </row>
        <row r="1007">
          <cell r="C1007" t="str">
            <v>Treatment</v>
          </cell>
          <cell r="H1007">
            <v>1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P1007">
            <v>51.9</v>
          </cell>
        </row>
        <row r="1008">
          <cell r="C1008" t="str">
            <v>Treatment</v>
          </cell>
          <cell r="H1008">
            <v>1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P1008">
            <v>68.900000000000006</v>
          </cell>
        </row>
        <row r="1009">
          <cell r="C1009" t="str">
            <v>Treatment</v>
          </cell>
          <cell r="H1009">
            <v>1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P1009">
            <v>66</v>
          </cell>
        </row>
        <row r="1010">
          <cell r="C1010" t="str">
            <v>Treatment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P1010">
            <v>63.1</v>
          </cell>
        </row>
        <row r="1011">
          <cell r="C1011" t="str">
            <v>Treatment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P1011">
            <v>56</v>
          </cell>
        </row>
        <row r="1012">
          <cell r="C1012" t="str">
            <v>Treatment</v>
          </cell>
          <cell r="H1012">
            <v>1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1</v>
          </cell>
          <cell r="N1012">
            <v>0</v>
          </cell>
          <cell r="P1012">
            <v>65.7</v>
          </cell>
        </row>
        <row r="1013">
          <cell r="C1013" t="str">
            <v>Treatment</v>
          </cell>
          <cell r="H1013">
            <v>1</v>
          </cell>
          <cell r="I1013">
            <v>1</v>
          </cell>
          <cell r="J1013">
            <v>1</v>
          </cell>
          <cell r="K1013">
            <v>1</v>
          </cell>
          <cell r="L1013">
            <v>1938.31</v>
          </cell>
          <cell r="M1013">
            <v>1</v>
          </cell>
          <cell r="N1013">
            <v>0</v>
          </cell>
          <cell r="O1013">
            <v>9</v>
          </cell>
          <cell r="P1013">
            <v>60.9</v>
          </cell>
        </row>
        <row r="1014">
          <cell r="C1014" t="str">
            <v>Treatment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P1014">
            <v>45.5</v>
          </cell>
        </row>
        <row r="1015">
          <cell r="C1015" t="str">
            <v>Treatment</v>
          </cell>
          <cell r="H1015">
            <v>1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P1015">
            <v>50</v>
          </cell>
        </row>
        <row r="1016">
          <cell r="C1016" t="str">
            <v>Treatment</v>
          </cell>
          <cell r="H1016">
            <v>1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P1016">
            <v>72.099999999999994</v>
          </cell>
        </row>
        <row r="1017">
          <cell r="C1017" t="str">
            <v>Treatment</v>
          </cell>
          <cell r="H1017">
            <v>1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P1017">
            <v>76.3</v>
          </cell>
        </row>
        <row r="1018">
          <cell r="C1018" t="str">
            <v>Treatment</v>
          </cell>
          <cell r="H1018">
            <v>1</v>
          </cell>
          <cell r="I1018">
            <v>1</v>
          </cell>
          <cell r="J1018">
            <v>0</v>
          </cell>
          <cell r="K1018">
            <v>0</v>
          </cell>
          <cell r="L1018">
            <v>0</v>
          </cell>
          <cell r="M1018">
            <v>1</v>
          </cell>
          <cell r="N1018">
            <v>0</v>
          </cell>
          <cell r="P1018">
            <v>54.8</v>
          </cell>
        </row>
        <row r="1019">
          <cell r="C1019" t="str">
            <v>Treatment</v>
          </cell>
          <cell r="H1019">
            <v>1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P1019">
            <v>63.6</v>
          </cell>
        </row>
        <row r="1020">
          <cell r="C1020" t="str">
            <v>Treatment</v>
          </cell>
          <cell r="H1020">
            <v>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P1020">
            <v>68.8</v>
          </cell>
        </row>
        <row r="1021">
          <cell r="C1021" t="str">
            <v>Treatment</v>
          </cell>
          <cell r="H1021">
            <v>1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P1021">
            <v>63.2</v>
          </cell>
        </row>
        <row r="1022">
          <cell r="C1022" t="str">
            <v>Treatment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P1022">
            <v>45</v>
          </cell>
        </row>
        <row r="1023">
          <cell r="C1023" t="str">
            <v>Treatment</v>
          </cell>
          <cell r="H1023">
            <v>1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P1023">
            <v>77.400000000000006</v>
          </cell>
        </row>
        <row r="1024">
          <cell r="C1024" t="str">
            <v>Treatment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P1024">
            <v>53.1</v>
          </cell>
        </row>
        <row r="1025">
          <cell r="C1025" t="str">
            <v>Treatment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P1025">
            <v>74</v>
          </cell>
        </row>
        <row r="1026">
          <cell r="C1026" t="str">
            <v>Treatment</v>
          </cell>
          <cell r="H1026">
            <v>1</v>
          </cell>
          <cell r="I1026">
            <v>1</v>
          </cell>
          <cell r="J1026">
            <v>1</v>
          </cell>
          <cell r="K1026">
            <v>1</v>
          </cell>
          <cell r="L1026">
            <v>1906.23</v>
          </cell>
          <cell r="M1026">
            <v>0</v>
          </cell>
          <cell r="N1026">
            <v>0</v>
          </cell>
          <cell r="O1026">
            <v>4</v>
          </cell>
          <cell r="P1026">
            <v>84.6</v>
          </cell>
        </row>
        <row r="1027">
          <cell r="C1027" t="str">
            <v>Treatment</v>
          </cell>
          <cell r="H1027">
            <v>1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P1027">
            <v>57</v>
          </cell>
        </row>
        <row r="1028">
          <cell r="C1028" t="str">
            <v>Treatment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P1028">
            <v>46.3</v>
          </cell>
        </row>
        <row r="1029">
          <cell r="C1029" t="str">
            <v>Treatment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1</v>
          </cell>
          <cell r="N1029">
            <v>0</v>
          </cell>
          <cell r="P1029">
            <v>64.400000000000006</v>
          </cell>
        </row>
        <row r="1030">
          <cell r="C1030" t="str">
            <v>Treatment</v>
          </cell>
          <cell r="H1030">
            <v>1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2</v>
          </cell>
          <cell r="N1030">
            <v>0</v>
          </cell>
          <cell r="P1030">
            <v>61.9</v>
          </cell>
        </row>
        <row r="1031">
          <cell r="C1031" t="str">
            <v>Treatment</v>
          </cell>
          <cell r="H1031">
            <v>1</v>
          </cell>
          <cell r="I1031">
            <v>1</v>
          </cell>
          <cell r="J1031">
            <v>1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P1031">
            <v>93.7</v>
          </cell>
        </row>
        <row r="1032">
          <cell r="C1032" t="str">
            <v>Treatment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P1032">
            <v>61.6</v>
          </cell>
        </row>
        <row r="1033">
          <cell r="C1033" t="str">
            <v>Treatment</v>
          </cell>
          <cell r="H1033">
            <v>1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P1033">
            <v>72.2</v>
          </cell>
        </row>
        <row r="1034">
          <cell r="C1034" t="str">
            <v>Treatment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P1034">
            <v>69.5</v>
          </cell>
        </row>
        <row r="1035">
          <cell r="C1035" t="str">
            <v>Treatment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P1035">
            <v>59.7</v>
          </cell>
        </row>
        <row r="1036">
          <cell r="C1036" t="str">
            <v>Treatment</v>
          </cell>
          <cell r="H1036">
            <v>1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P1036">
            <v>73.900000000000006</v>
          </cell>
        </row>
        <row r="1037">
          <cell r="C1037" t="str">
            <v>Treatment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P1037">
            <v>41.5</v>
          </cell>
        </row>
        <row r="1038">
          <cell r="C1038" t="str">
            <v>Treatment</v>
          </cell>
          <cell r="H1038">
            <v>1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P1038">
            <v>82.8</v>
          </cell>
        </row>
        <row r="1039">
          <cell r="C1039" t="str">
            <v>Treatment</v>
          </cell>
          <cell r="H1039">
            <v>1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3</v>
          </cell>
          <cell r="N1039">
            <v>0</v>
          </cell>
          <cell r="P1039">
            <v>70.2</v>
          </cell>
        </row>
        <row r="1040">
          <cell r="C1040" t="str">
            <v>Treatment</v>
          </cell>
          <cell r="H1040">
            <v>1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1</v>
          </cell>
          <cell r="N1040">
            <v>0</v>
          </cell>
          <cell r="P1040">
            <v>69.400000000000006</v>
          </cell>
        </row>
        <row r="1041">
          <cell r="C1041" t="str">
            <v>Treatment</v>
          </cell>
          <cell r="H1041">
            <v>1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P1041">
            <v>60.4</v>
          </cell>
        </row>
        <row r="1042">
          <cell r="C1042" t="str">
            <v>Treatment</v>
          </cell>
          <cell r="H1042">
            <v>1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P1042">
            <v>45.7</v>
          </cell>
        </row>
        <row r="1043">
          <cell r="C1043" t="str">
            <v>Treatment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1</v>
          </cell>
          <cell r="N1043">
            <v>0</v>
          </cell>
          <cell r="P1043">
            <v>42.2</v>
          </cell>
        </row>
        <row r="1044">
          <cell r="C1044" t="str">
            <v>Treatment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2</v>
          </cell>
          <cell r="N1044">
            <v>0</v>
          </cell>
          <cell r="P1044">
            <v>61.9</v>
          </cell>
        </row>
        <row r="1045">
          <cell r="C1045" t="str">
            <v>Treatment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P1045">
            <v>44.9</v>
          </cell>
        </row>
        <row r="1046">
          <cell r="C1046" t="str">
            <v>Treatment</v>
          </cell>
          <cell r="H1046">
            <v>1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P1046">
            <v>68</v>
          </cell>
        </row>
        <row r="1047">
          <cell r="C1047" t="str">
            <v>Treatment</v>
          </cell>
          <cell r="H1047">
            <v>1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P1047">
            <v>61</v>
          </cell>
        </row>
        <row r="1048">
          <cell r="C1048" t="str">
            <v>Treatment</v>
          </cell>
          <cell r="H1048">
            <v>1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P1048">
            <v>55</v>
          </cell>
        </row>
        <row r="1049">
          <cell r="C1049" t="str">
            <v>Treatment</v>
          </cell>
          <cell r="H1049">
            <v>1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P1049">
            <v>63.1</v>
          </cell>
        </row>
        <row r="1050">
          <cell r="C1050" t="str">
            <v>Treatment</v>
          </cell>
          <cell r="H1050">
            <v>1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P1050">
            <v>75.8</v>
          </cell>
        </row>
        <row r="1051">
          <cell r="C1051" t="str">
            <v>Treatment</v>
          </cell>
          <cell r="H1051">
            <v>1</v>
          </cell>
          <cell r="I1051">
            <v>1</v>
          </cell>
          <cell r="J1051">
            <v>0</v>
          </cell>
          <cell r="K1051">
            <v>0</v>
          </cell>
          <cell r="L1051">
            <v>0</v>
          </cell>
          <cell r="M1051">
            <v>1</v>
          </cell>
          <cell r="N1051">
            <v>0</v>
          </cell>
          <cell r="P1051">
            <v>43.8</v>
          </cell>
        </row>
        <row r="1052">
          <cell r="C1052" t="str">
            <v>Treatment</v>
          </cell>
          <cell r="H1052">
            <v>1</v>
          </cell>
          <cell r="I1052">
            <v>1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P1052">
            <v>46.8</v>
          </cell>
        </row>
        <row r="1053">
          <cell r="C1053" t="str">
            <v>Treatment</v>
          </cell>
          <cell r="H1053">
            <v>1</v>
          </cell>
          <cell r="I1053">
            <v>1</v>
          </cell>
          <cell r="J1053">
            <v>1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P1053">
            <v>97.4</v>
          </cell>
        </row>
        <row r="1054">
          <cell r="C1054" t="str">
            <v>Treatment</v>
          </cell>
          <cell r="H1054">
            <v>1</v>
          </cell>
          <cell r="I1054">
            <v>1</v>
          </cell>
          <cell r="J1054">
            <v>1</v>
          </cell>
          <cell r="K1054">
            <v>1</v>
          </cell>
          <cell r="L1054">
            <v>268.95999999999998</v>
          </cell>
          <cell r="M1054">
            <v>0</v>
          </cell>
          <cell r="N1054">
            <v>0</v>
          </cell>
          <cell r="O1054">
            <v>14</v>
          </cell>
          <cell r="P1054">
            <v>81</v>
          </cell>
        </row>
        <row r="1055">
          <cell r="C1055" t="str">
            <v>Treatment</v>
          </cell>
          <cell r="H1055">
            <v>1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1</v>
          </cell>
          <cell r="N1055">
            <v>0</v>
          </cell>
          <cell r="P1055">
            <v>58.9</v>
          </cell>
        </row>
        <row r="1056">
          <cell r="C1056" t="str">
            <v>Treatment</v>
          </cell>
          <cell r="H1056">
            <v>1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P1056">
            <v>51.9</v>
          </cell>
        </row>
        <row r="1057">
          <cell r="C1057" t="str">
            <v>Treatment</v>
          </cell>
          <cell r="H1057">
            <v>1</v>
          </cell>
          <cell r="I1057">
            <v>1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P1057">
            <v>61.7</v>
          </cell>
        </row>
        <row r="1058">
          <cell r="C1058" t="str">
            <v>Treatment</v>
          </cell>
          <cell r="H1058">
            <v>1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P1058">
            <v>44.7</v>
          </cell>
        </row>
        <row r="1059">
          <cell r="C1059" t="str">
            <v>Treatment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P1059">
            <v>63.2</v>
          </cell>
        </row>
        <row r="1060">
          <cell r="C1060" t="str">
            <v>Treatment</v>
          </cell>
          <cell r="H1060">
            <v>1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P1060">
            <v>70.3</v>
          </cell>
        </row>
        <row r="1061">
          <cell r="C1061" t="str">
            <v>Treatment</v>
          </cell>
          <cell r="H1061">
            <v>1</v>
          </cell>
          <cell r="I1061">
            <v>1</v>
          </cell>
          <cell r="J1061">
            <v>0</v>
          </cell>
          <cell r="K1061">
            <v>0</v>
          </cell>
          <cell r="L1061">
            <v>0</v>
          </cell>
          <cell r="M1061">
            <v>1</v>
          </cell>
          <cell r="N1061">
            <v>0</v>
          </cell>
          <cell r="P1061">
            <v>83.1</v>
          </cell>
        </row>
        <row r="1062">
          <cell r="C1062" t="str">
            <v>Treatment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P1062">
            <v>50.3</v>
          </cell>
        </row>
        <row r="1063">
          <cell r="C1063" t="str">
            <v>Treatment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  <cell r="L1063">
            <v>437.09</v>
          </cell>
          <cell r="M1063">
            <v>2</v>
          </cell>
          <cell r="N1063">
            <v>1</v>
          </cell>
          <cell r="O1063">
            <v>1</v>
          </cell>
          <cell r="P1063">
            <v>58.2</v>
          </cell>
        </row>
        <row r="1064">
          <cell r="C1064" t="str">
            <v>Treatment</v>
          </cell>
          <cell r="H1064">
            <v>1</v>
          </cell>
          <cell r="I1064">
            <v>1</v>
          </cell>
          <cell r="J1064">
            <v>1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P1064">
            <v>53.2</v>
          </cell>
        </row>
        <row r="1065">
          <cell r="C1065" t="str">
            <v>Treatment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P1065">
            <v>36.4</v>
          </cell>
        </row>
        <row r="1066">
          <cell r="C1066" t="str">
            <v>Treatment</v>
          </cell>
          <cell r="H1066">
            <v>1</v>
          </cell>
          <cell r="I1066">
            <v>1</v>
          </cell>
          <cell r="J1066">
            <v>1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P1066">
            <v>72.7</v>
          </cell>
        </row>
        <row r="1067">
          <cell r="C1067" t="str">
            <v>Treatment</v>
          </cell>
          <cell r="H1067">
            <v>1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1</v>
          </cell>
          <cell r="N1067">
            <v>0</v>
          </cell>
          <cell r="P1067">
            <v>86.7</v>
          </cell>
        </row>
        <row r="1068">
          <cell r="C1068" t="str">
            <v>Treatment</v>
          </cell>
          <cell r="H1068">
            <v>1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P1068">
            <v>48.2</v>
          </cell>
        </row>
        <row r="1069">
          <cell r="C1069" t="str">
            <v>Treatment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1</v>
          </cell>
          <cell r="N1069">
            <v>0</v>
          </cell>
          <cell r="P1069">
            <v>57.6</v>
          </cell>
        </row>
        <row r="1070">
          <cell r="C1070" t="str">
            <v>Treatment</v>
          </cell>
          <cell r="H1070">
            <v>1</v>
          </cell>
          <cell r="I1070">
            <v>1</v>
          </cell>
          <cell r="J1070">
            <v>1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P1070">
            <v>75.7</v>
          </cell>
        </row>
        <row r="1071">
          <cell r="C1071" t="str">
            <v>Treatment</v>
          </cell>
          <cell r="H1071">
            <v>1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2</v>
          </cell>
          <cell r="N1071">
            <v>0</v>
          </cell>
          <cell r="P1071">
            <v>48.6</v>
          </cell>
        </row>
        <row r="1072">
          <cell r="C1072" t="str">
            <v>Treatment</v>
          </cell>
          <cell r="H1072">
            <v>1</v>
          </cell>
          <cell r="I1072">
            <v>1</v>
          </cell>
          <cell r="J1072">
            <v>1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P1072">
            <v>72</v>
          </cell>
        </row>
        <row r="1073">
          <cell r="C1073" t="str">
            <v>Treatment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P1073">
            <v>72.2</v>
          </cell>
        </row>
        <row r="1074">
          <cell r="C1074" t="str">
            <v>Treatment</v>
          </cell>
          <cell r="H1074">
            <v>1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1</v>
          </cell>
          <cell r="N1074">
            <v>0</v>
          </cell>
          <cell r="P1074">
            <v>60.02</v>
          </cell>
        </row>
        <row r="1075">
          <cell r="C1075" t="str">
            <v>Treatment</v>
          </cell>
          <cell r="H1075">
            <v>1</v>
          </cell>
          <cell r="I1075">
            <v>1</v>
          </cell>
          <cell r="J1075">
            <v>1</v>
          </cell>
          <cell r="K1075">
            <v>1</v>
          </cell>
          <cell r="L1075">
            <v>331.53</v>
          </cell>
          <cell r="M1075">
            <v>2</v>
          </cell>
          <cell r="N1075">
            <v>0</v>
          </cell>
          <cell r="O1075">
            <v>4</v>
          </cell>
          <cell r="P1075">
            <v>56.8</v>
          </cell>
        </row>
        <row r="1076">
          <cell r="C1076" t="str">
            <v>Treatment</v>
          </cell>
          <cell r="H1076">
            <v>1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P1076">
            <v>62.5</v>
          </cell>
        </row>
        <row r="1077">
          <cell r="C1077" t="str">
            <v>Treatment</v>
          </cell>
          <cell r="H1077">
            <v>1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P1077">
            <v>63.4</v>
          </cell>
        </row>
        <row r="1078">
          <cell r="C1078" t="str">
            <v>Treatment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  <cell r="L1078">
            <v>774.78</v>
          </cell>
          <cell r="M1078">
            <v>0</v>
          </cell>
          <cell r="N1078">
            <v>0</v>
          </cell>
          <cell r="O1078">
            <v>3</v>
          </cell>
          <cell r="P1078">
            <v>46.8</v>
          </cell>
        </row>
        <row r="1079">
          <cell r="C1079" t="str">
            <v>Treatment</v>
          </cell>
          <cell r="H1079">
            <v>1</v>
          </cell>
          <cell r="I1079">
            <v>1</v>
          </cell>
          <cell r="J1079">
            <v>1</v>
          </cell>
          <cell r="K1079">
            <v>1</v>
          </cell>
          <cell r="L1079">
            <v>422.02</v>
          </cell>
          <cell r="M1079">
            <v>0</v>
          </cell>
          <cell r="N1079">
            <v>0</v>
          </cell>
          <cell r="O1079">
            <v>8</v>
          </cell>
          <cell r="P1079">
            <v>86.5</v>
          </cell>
        </row>
        <row r="1080">
          <cell r="C1080" t="str">
            <v>Treatment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1</v>
          </cell>
          <cell r="N1080">
            <v>0</v>
          </cell>
          <cell r="P1080">
            <v>75.099999999999994</v>
          </cell>
        </row>
        <row r="1081">
          <cell r="C1081" t="str">
            <v>Treatment</v>
          </cell>
          <cell r="H1081">
            <v>1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P1081">
            <v>64.5</v>
          </cell>
        </row>
        <row r="1082">
          <cell r="C1082" t="str">
            <v>Treatment</v>
          </cell>
          <cell r="H1082">
            <v>1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P1082">
            <v>54.2</v>
          </cell>
        </row>
        <row r="1083">
          <cell r="C1083" t="str">
            <v>Treatment</v>
          </cell>
          <cell r="H1083">
            <v>1</v>
          </cell>
          <cell r="I1083">
            <v>1</v>
          </cell>
          <cell r="J1083">
            <v>1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P1083">
            <v>84.1</v>
          </cell>
        </row>
        <row r="1084">
          <cell r="C1084" t="str">
            <v>Treatment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1</v>
          </cell>
          <cell r="N1084">
            <v>0</v>
          </cell>
          <cell r="P1084">
            <v>49.1</v>
          </cell>
        </row>
        <row r="1085">
          <cell r="C1085" t="str">
            <v>Treatment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P1085">
            <v>92.7</v>
          </cell>
        </row>
        <row r="1086">
          <cell r="C1086" t="str">
            <v>Treatment</v>
          </cell>
          <cell r="H1086">
            <v>1</v>
          </cell>
          <cell r="I1086">
            <v>1</v>
          </cell>
          <cell r="J1086">
            <v>1</v>
          </cell>
          <cell r="K1086">
            <v>0</v>
          </cell>
          <cell r="L1086">
            <v>0</v>
          </cell>
          <cell r="M1086">
            <v>1</v>
          </cell>
          <cell r="N1086">
            <v>0</v>
          </cell>
          <cell r="P1086">
            <v>58.7</v>
          </cell>
        </row>
        <row r="1087">
          <cell r="C1087" t="str">
            <v>Treatment</v>
          </cell>
          <cell r="H1087">
            <v>1</v>
          </cell>
          <cell r="I1087">
            <v>1</v>
          </cell>
          <cell r="J1087">
            <v>1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P1087">
            <v>59.3</v>
          </cell>
        </row>
        <row r="1088">
          <cell r="C1088" t="str">
            <v>Treatment</v>
          </cell>
          <cell r="H1088">
            <v>1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P1088">
            <v>62</v>
          </cell>
        </row>
        <row r="1089">
          <cell r="C1089" t="str">
            <v>Treatment</v>
          </cell>
          <cell r="H1089">
            <v>1</v>
          </cell>
          <cell r="I1089">
            <v>1</v>
          </cell>
          <cell r="J1089">
            <v>1</v>
          </cell>
          <cell r="K1089">
            <v>0</v>
          </cell>
          <cell r="L1089">
            <v>0</v>
          </cell>
          <cell r="M1089">
            <v>1</v>
          </cell>
          <cell r="N1089">
            <v>0</v>
          </cell>
          <cell r="P1089">
            <v>60.3</v>
          </cell>
        </row>
        <row r="1090">
          <cell r="C1090" t="str">
            <v>Treatment</v>
          </cell>
          <cell r="H1090">
            <v>1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P1090">
            <v>70.5</v>
          </cell>
        </row>
        <row r="1091">
          <cell r="C1091" t="str">
            <v>Treatment</v>
          </cell>
          <cell r="H1091">
            <v>1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P1091">
            <v>36.799999999999997</v>
          </cell>
        </row>
        <row r="1092">
          <cell r="C1092" t="str">
            <v>Treatment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1</v>
          </cell>
          <cell r="N1092">
            <v>0</v>
          </cell>
          <cell r="P1092">
            <v>73.2</v>
          </cell>
        </row>
        <row r="1093">
          <cell r="C1093" t="str">
            <v>Treatment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P1093">
            <v>70.099999999999994</v>
          </cell>
        </row>
        <row r="1094">
          <cell r="C1094" t="str">
            <v>Treatment</v>
          </cell>
          <cell r="H1094">
            <v>1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P1094">
            <v>76.400000000000006</v>
          </cell>
        </row>
        <row r="1095">
          <cell r="C1095" t="str">
            <v>Treatment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P1095">
            <v>46.4</v>
          </cell>
        </row>
        <row r="1096">
          <cell r="C1096" t="str">
            <v>Treatment</v>
          </cell>
          <cell r="H1096">
            <v>1</v>
          </cell>
          <cell r="I1096">
            <v>1</v>
          </cell>
          <cell r="J1096">
            <v>1</v>
          </cell>
          <cell r="K1096">
            <v>0</v>
          </cell>
          <cell r="L1096">
            <v>0</v>
          </cell>
          <cell r="M1096">
            <v>1</v>
          </cell>
          <cell r="N1096">
            <v>0</v>
          </cell>
          <cell r="P1096">
            <v>81.3</v>
          </cell>
        </row>
        <row r="1097">
          <cell r="C1097" t="str">
            <v>Treatment</v>
          </cell>
          <cell r="H1097">
            <v>1</v>
          </cell>
          <cell r="I1097">
            <v>1</v>
          </cell>
          <cell r="J1097">
            <v>1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P1097">
            <v>55.3</v>
          </cell>
        </row>
        <row r="1098">
          <cell r="C1098" t="str">
            <v>Treatment</v>
          </cell>
          <cell r="H1098">
            <v>1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P1098">
            <v>44.7</v>
          </cell>
        </row>
        <row r="1099">
          <cell r="C1099" t="str">
            <v>Treatment</v>
          </cell>
          <cell r="H1099">
            <v>1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P1099">
            <v>67.2</v>
          </cell>
        </row>
        <row r="1100">
          <cell r="C1100" t="str">
            <v>Treatment</v>
          </cell>
          <cell r="H1100">
            <v>1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P1100">
            <v>60.02</v>
          </cell>
        </row>
        <row r="1101">
          <cell r="C1101" t="str">
            <v>Treatment</v>
          </cell>
          <cell r="H1101">
            <v>1</v>
          </cell>
          <cell r="I1101">
            <v>1</v>
          </cell>
          <cell r="J1101">
            <v>1</v>
          </cell>
          <cell r="K1101">
            <v>0</v>
          </cell>
          <cell r="L1101">
            <v>0</v>
          </cell>
          <cell r="M1101">
            <v>1</v>
          </cell>
          <cell r="N1101">
            <v>0</v>
          </cell>
          <cell r="P1101">
            <v>70.8</v>
          </cell>
        </row>
        <row r="1102">
          <cell r="C1102" t="str">
            <v>Treatment</v>
          </cell>
          <cell r="H1102">
            <v>1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P1102">
            <v>71.3</v>
          </cell>
        </row>
        <row r="1103">
          <cell r="C1103" t="str">
            <v>Treatment</v>
          </cell>
          <cell r="H1103">
            <v>1</v>
          </cell>
          <cell r="I1103">
            <v>1</v>
          </cell>
          <cell r="J1103">
            <v>1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P1103">
            <v>69.400000000000006</v>
          </cell>
        </row>
        <row r="1104">
          <cell r="C1104" t="str">
            <v>Treatment</v>
          </cell>
          <cell r="H1104">
            <v>1</v>
          </cell>
          <cell r="I1104">
            <v>1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P1104">
            <v>58.9</v>
          </cell>
        </row>
        <row r="1105">
          <cell r="C1105" t="str">
            <v>Treatment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P1105">
            <v>70.7</v>
          </cell>
        </row>
        <row r="1106">
          <cell r="C1106" t="str">
            <v>Treatment</v>
          </cell>
          <cell r="H1106">
            <v>1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P1106">
            <v>60.5</v>
          </cell>
        </row>
        <row r="1107">
          <cell r="C1107" t="str">
            <v>Treatment</v>
          </cell>
          <cell r="H1107">
            <v>1</v>
          </cell>
          <cell r="I1107">
            <v>1</v>
          </cell>
          <cell r="J1107">
            <v>1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P1107">
            <v>77.3</v>
          </cell>
        </row>
        <row r="1108">
          <cell r="C1108" t="str">
            <v>Treatment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1</v>
          </cell>
          <cell r="N1108">
            <v>0</v>
          </cell>
          <cell r="P1108">
            <v>39.5</v>
          </cell>
        </row>
        <row r="1109">
          <cell r="C1109" t="str">
            <v>Treatment</v>
          </cell>
          <cell r="H1109">
            <v>1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P1109">
            <v>68.099999999999994</v>
          </cell>
        </row>
        <row r="1110">
          <cell r="C1110" t="str">
            <v>Treatment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P1110">
            <v>80.3</v>
          </cell>
        </row>
        <row r="1111">
          <cell r="C1111" t="str">
            <v>Treatment</v>
          </cell>
          <cell r="H1111">
            <v>1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P1111">
            <v>77.7</v>
          </cell>
        </row>
        <row r="1112">
          <cell r="C1112" t="str">
            <v>Treatment</v>
          </cell>
          <cell r="H1112">
            <v>1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1</v>
          </cell>
          <cell r="N1112">
            <v>0</v>
          </cell>
          <cell r="P1112">
            <v>66.2</v>
          </cell>
        </row>
        <row r="1113">
          <cell r="C1113" t="str">
            <v>Treatment</v>
          </cell>
          <cell r="H1113">
            <v>1</v>
          </cell>
          <cell r="I1113">
            <v>1</v>
          </cell>
          <cell r="J1113">
            <v>1</v>
          </cell>
          <cell r="K1113">
            <v>0</v>
          </cell>
          <cell r="L1113">
            <v>0</v>
          </cell>
          <cell r="M1113">
            <v>1</v>
          </cell>
          <cell r="N1113">
            <v>0</v>
          </cell>
          <cell r="P1113">
            <v>43.9</v>
          </cell>
        </row>
        <row r="1114">
          <cell r="C1114" t="str">
            <v>Treatment</v>
          </cell>
          <cell r="H1114">
            <v>1</v>
          </cell>
          <cell r="I1114">
            <v>1</v>
          </cell>
          <cell r="J1114">
            <v>1</v>
          </cell>
          <cell r="K1114">
            <v>0</v>
          </cell>
          <cell r="L1114">
            <v>0</v>
          </cell>
          <cell r="M1114">
            <v>2</v>
          </cell>
          <cell r="N1114">
            <v>0</v>
          </cell>
          <cell r="P1114">
            <v>59.1</v>
          </cell>
        </row>
        <row r="1115">
          <cell r="C1115" t="str">
            <v>Treatment</v>
          </cell>
          <cell r="H1115">
            <v>1</v>
          </cell>
          <cell r="I1115">
            <v>1</v>
          </cell>
          <cell r="J1115">
            <v>1</v>
          </cell>
          <cell r="K1115">
            <v>1</v>
          </cell>
          <cell r="L1115">
            <v>416.94</v>
          </cell>
          <cell r="M1115">
            <v>1</v>
          </cell>
          <cell r="N1115">
            <v>0</v>
          </cell>
          <cell r="O1115">
            <v>11</v>
          </cell>
          <cell r="P1115">
            <v>67</v>
          </cell>
        </row>
        <row r="1116">
          <cell r="C1116" t="str">
            <v>Treatment</v>
          </cell>
          <cell r="H1116">
            <v>1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P1116">
            <v>47.9</v>
          </cell>
        </row>
        <row r="1117">
          <cell r="C1117" t="str">
            <v>Treatment</v>
          </cell>
          <cell r="H1117">
            <v>1</v>
          </cell>
          <cell r="I1117">
            <v>1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P1117">
            <v>41.5</v>
          </cell>
        </row>
        <row r="1118">
          <cell r="C1118" t="str">
            <v>Treatment</v>
          </cell>
          <cell r="H1118">
            <v>1</v>
          </cell>
          <cell r="I1118">
            <v>1</v>
          </cell>
          <cell r="J1118">
            <v>1</v>
          </cell>
          <cell r="K1118">
            <v>0</v>
          </cell>
          <cell r="L1118">
            <v>0</v>
          </cell>
          <cell r="M1118">
            <v>3</v>
          </cell>
          <cell r="N1118">
            <v>0</v>
          </cell>
          <cell r="P1118">
            <v>30.6</v>
          </cell>
        </row>
        <row r="1119">
          <cell r="C1119" t="str">
            <v>Treatment</v>
          </cell>
          <cell r="H1119">
            <v>1</v>
          </cell>
          <cell r="I1119">
            <v>1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P1119">
            <v>91.5</v>
          </cell>
        </row>
        <row r="1120">
          <cell r="C1120" t="str">
            <v>Treatment</v>
          </cell>
          <cell r="H1120">
            <v>1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P1120">
            <v>80.8</v>
          </cell>
        </row>
        <row r="1121">
          <cell r="C1121" t="str">
            <v>Treatment</v>
          </cell>
          <cell r="H1121">
            <v>1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P1121">
            <v>68.099999999999994</v>
          </cell>
        </row>
        <row r="1122">
          <cell r="C1122" t="str">
            <v>Treatment</v>
          </cell>
          <cell r="H1122">
            <v>1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P1122">
            <v>80.3</v>
          </cell>
        </row>
        <row r="1123">
          <cell r="C1123" t="str">
            <v>Treatment</v>
          </cell>
          <cell r="H1123">
            <v>1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P1123">
            <v>44.4</v>
          </cell>
        </row>
        <row r="1124">
          <cell r="C1124" t="str">
            <v>Treatment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P1124">
            <v>51.9</v>
          </cell>
        </row>
        <row r="1125">
          <cell r="C1125" t="str">
            <v>Treatment</v>
          </cell>
          <cell r="H1125">
            <v>1</v>
          </cell>
          <cell r="I1125">
            <v>1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P1125">
            <v>49.8</v>
          </cell>
        </row>
        <row r="1126">
          <cell r="C1126" t="str">
            <v>Treatment</v>
          </cell>
          <cell r="H1126">
            <v>1</v>
          </cell>
          <cell r="I1126">
            <v>1</v>
          </cell>
          <cell r="J1126">
            <v>1</v>
          </cell>
          <cell r="K1126">
            <v>0</v>
          </cell>
          <cell r="L1126">
            <v>0</v>
          </cell>
          <cell r="M1126">
            <v>3</v>
          </cell>
          <cell r="N1126">
            <v>0</v>
          </cell>
          <cell r="P1126">
            <v>62.1</v>
          </cell>
        </row>
        <row r="1127">
          <cell r="C1127" t="str">
            <v>Treatment</v>
          </cell>
          <cell r="H1127">
            <v>1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P1127">
            <v>91.3</v>
          </cell>
        </row>
        <row r="1128">
          <cell r="C1128" t="str">
            <v>Treatment</v>
          </cell>
          <cell r="H1128">
            <v>1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P1128">
            <v>66.400000000000006</v>
          </cell>
        </row>
        <row r="1129">
          <cell r="C1129" t="str">
            <v>Treatment</v>
          </cell>
          <cell r="H1129">
            <v>1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P1129">
            <v>41.5</v>
          </cell>
        </row>
        <row r="1130">
          <cell r="C1130" t="str">
            <v>Treatment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P1130">
            <v>77.099999999999994</v>
          </cell>
        </row>
        <row r="1131">
          <cell r="C1131" t="str">
            <v>Treatment</v>
          </cell>
          <cell r="H1131">
            <v>1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P1131">
            <v>63.2</v>
          </cell>
        </row>
        <row r="1132">
          <cell r="C1132" t="str">
            <v>Treatment</v>
          </cell>
          <cell r="H1132">
            <v>1</v>
          </cell>
          <cell r="I1132">
            <v>1</v>
          </cell>
          <cell r="J1132">
            <v>1</v>
          </cell>
          <cell r="K1132">
            <v>0</v>
          </cell>
          <cell r="L1132">
            <v>0</v>
          </cell>
          <cell r="M1132">
            <v>3</v>
          </cell>
          <cell r="N1132">
            <v>0</v>
          </cell>
          <cell r="P1132">
            <v>75.7</v>
          </cell>
        </row>
        <row r="1133">
          <cell r="C1133" t="str">
            <v>Treatment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P1133">
            <v>62.9</v>
          </cell>
        </row>
        <row r="1134">
          <cell r="C1134" t="str">
            <v>Treatment</v>
          </cell>
          <cell r="H1134">
            <v>1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3</v>
          </cell>
          <cell r="N1134">
            <v>0</v>
          </cell>
          <cell r="P1134">
            <v>64.599999999999994</v>
          </cell>
        </row>
        <row r="1135">
          <cell r="C1135" t="str">
            <v>Treatment</v>
          </cell>
          <cell r="H1135">
            <v>1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P1135">
            <v>76.599999999999994</v>
          </cell>
        </row>
        <row r="1136">
          <cell r="C1136" t="str">
            <v>Treatment</v>
          </cell>
          <cell r="H1136">
            <v>1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P1136">
            <v>74.8</v>
          </cell>
        </row>
        <row r="1137">
          <cell r="C1137" t="str">
            <v>Treatment</v>
          </cell>
          <cell r="H1137">
            <v>1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2</v>
          </cell>
          <cell r="N1137">
            <v>0</v>
          </cell>
          <cell r="P1137">
            <v>38.1</v>
          </cell>
        </row>
        <row r="1138">
          <cell r="C1138" t="str">
            <v>Treatment</v>
          </cell>
          <cell r="H1138">
            <v>1</v>
          </cell>
          <cell r="I1138">
            <v>1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P1138">
            <v>60.2</v>
          </cell>
        </row>
        <row r="1139">
          <cell r="C1139" t="str">
            <v>Treatment</v>
          </cell>
          <cell r="H1139">
            <v>1</v>
          </cell>
          <cell r="I1139">
            <v>1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P1139">
            <v>73.5</v>
          </cell>
        </row>
        <row r="1140">
          <cell r="C1140" t="str">
            <v>Treatment</v>
          </cell>
          <cell r="H1140">
            <v>1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P1140">
            <v>70.900000000000006</v>
          </cell>
        </row>
        <row r="1141">
          <cell r="C1141" t="str">
            <v>Treatment</v>
          </cell>
          <cell r="H1141">
            <v>1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P1141">
            <v>63.7</v>
          </cell>
        </row>
        <row r="1142">
          <cell r="C1142" t="str">
            <v>Treatment</v>
          </cell>
          <cell r="H1142">
            <v>1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P1142">
            <v>86.5</v>
          </cell>
        </row>
        <row r="1143">
          <cell r="C1143" t="str">
            <v>Treatment</v>
          </cell>
          <cell r="H1143">
            <v>1</v>
          </cell>
          <cell r="I1143">
            <v>1</v>
          </cell>
          <cell r="J1143">
            <v>1</v>
          </cell>
          <cell r="K1143">
            <v>1</v>
          </cell>
          <cell r="L1143">
            <v>921.72</v>
          </cell>
          <cell r="M1143">
            <v>3</v>
          </cell>
          <cell r="N1143">
            <v>0</v>
          </cell>
          <cell r="O1143">
            <v>7</v>
          </cell>
          <cell r="P1143">
            <v>74.599999999999994</v>
          </cell>
        </row>
        <row r="1144">
          <cell r="C1144" t="str">
            <v>Treatment</v>
          </cell>
          <cell r="H1144">
            <v>1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P1144">
            <v>46.6</v>
          </cell>
        </row>
        <row r="1145">
          <cell r="C1145" t="str">
            <v>Treatment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P1145">
            <v>61.2</v>
          </cell>
        </row>
        <row r="1146">
          <cell r="C1146" t="str">
            <v>Treatment</v>
          </cell>
          <cell r="H1146">
            <v>1</v>
          </cell>
          <cell r="I1146">
            <v>1</v>
          </cell>
          <cell r="J1146">
            <v>1</v>
          </cell>
          <cell r="K1146">
            <v>1</v>
          </cell>
          <cell r="L1146">
            <v>290.39</v>
          </cell>
          <cell r="M1146">
            <v>0</v>
          </cell>
          <cell r="N1146">
            <v>0</v>
          </cell>
          <cell r="O1146">
            <v>4</v>
          </cell>
          <cell r="P1146">
            <v>54.4</v>
          </cell>
        </row>
        <row r="1147">
          <cell r="C1147" t="str">
            <v>Treatment</v>
          </cell>
          <cell r="H1147">
            <v>1</v>
          </cell>
          <cell r="I1147">
            <v>1</v>
          </cell>
          <cell r="J1147">
            <v>1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P1147">
            <v>72</v>
          </cell>
        </row>
        <row r="1148">
          <cell r="C1148" t="str">
            <v>Treatment</v>
          </cell>
          <cell r="H1148">
            <v>1</v>
          </cell>
          <cell r="I1148">
            <v>1</v>
          </cell>
          <cell r="J1148">
            <v>1</v>
          </cell>
          <cell r="K1148">
            <v>1</v>
          </cell>
          <cell r="L1148">
            <v>1858.85</v>
          </cell>
          <cell r="M1148">
            <v>0</v>
          </cell>
          <cell r="N1148">
            <v>0</v>
          </cell>
          <cell r="O1148">
            <v>8</v>
          </cell>
          <cell r="P1148">
            <v>88.6</v>
          </cell>
        </row>
        <row r="1149">
          <cell r="C1149" t="str">
            <v>Treatment</v>
          </cell>
          <cell r="H1149">
            <v>1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P1149">
            <v>77.599999999999994</v>
          </cell>
        </row>
        <row r="1150">
          <cell r="C1150" t="str">
            <v>Treatment</v>
          </cell>
          <cell r="H1150">
            <v>1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1</v>
          </cell>
          <cell r="N1150">
            <v>0</v>
          </cell>
          <cell r="P1150">
            <v>44.3</v>
          </cell>
        </row>
        <row r="1151">
          <cell r="C1151" t="str">
            <v>Treatment</v>
          </cell>
          <cell r="H1151">
            <v>1</v>
          </cell>
          <cell r="I1151">
            <v>1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P1151">
            <v>49</v>
          </cell>
        </row>
        <row r="1152">
          <cell r="C1152" t="str">
            <v>Treatment</v>
          </cell>
          <cell r="H1152">
            <v>1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P1152">
            <v>53.9</v>
          </cell>
        </row>
        <row r="1153">
          <cell r="C1153" t="str">
            <v>Treatment</v>
          </cell>
          <cell r="H1153">
            <v>1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1</v>
          </cell>
          <cell r="N1153">
            <v>0</v>
          </cell>
          <cell r="P1153">
            <v>69</v>
          </cell>
        </row>
        <row r="1154">
          <cell r="C1154" t="str">
            <v>Treatment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P1154">
            <v>37.4</v>
          </cell>
        </row>
        <row r="1155">
          <cell r="C1155" t="str">
            <v>Treatment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P1155">
            <v>59</v>
          </cell>
        </row>
        <row r="1156">
          <cell r="C1156" t="str">
            <v>Treatment</v>
          </cell>
          <cell r="H1156">
            <v>1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P1156">
            <v>60.8</v>
          </cell>
        </row>
        <row r="1157">
          <cell r="C1157" t="str">
            <v>Treatment</v>
          </cell>
          <cell r="H1157">
            <v>1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P1157">
            <v>57.5</v>
          </cell>
        </row>
        <row r="1158">
          <cell r="C1158" t="str">
            <v>Treatment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P1158">
            <v>84.2</v>
          </cell>
        </row>
        <row r="1159">
          <cell r="C1159" t="str">
            <v>Treatment</v>
          </cell>
          <cell r="H1159">
            <v>1</v>
          </cell>
          <cell r="I1159">
            <v>1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P1159">
            <v>27.4</v>
          </cell>
        </row>
        <row r="1160">
          <cell r="C1160" t="str">
            <v>Treatment</v>
          </cell>
          <cell r="H1160">
            <v>1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1</v>
          </cell>
          <cell r="N1160">
            <v>0</v>
          </cell>
          <cell r="P1160">
            <v>67.599999999999994</v>
          </cell>
        </row>
        <row r="1161">
          <cell r="C1161" t="str">
            <v>Treatment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P1161">
            <v>68.400000000000006</v>
          </cell>
        </row>
        <row r="1162">
          <cell r="C1162" t="str">
            <v>Treatment</v>
          </cell>
          <cell r="H1162">
            <v>1</v>
          </cell>
          <cell r="I1162">
            <v>1</v>
          </cell>
          <cell r="J1162">
            <v>1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P1162">
            <v>66.5</v>
          </cell>
        </row>
        <row r="1163">
          <cell r="C1163" t="str">
            <v>Treatment</v>
          </cell>
          <cell r="H1163">
            <v>1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P1163">
            <v>38.200000000000003</v>
          </cell>
        </row>
        <row r="1164">
          <cell r="C1164" t="str">
            <v>Treatment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1</v>
          </cell>
          <cell r="N1164">
            <v>0</v>
          </cell>
          <cell r="P1164">
            <v>66.7</v>
          </cell>
        </row>
        <row r="1165">
          <cell r="C1165" t="str">
            <v>Treatment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1</v>
          </cell>
          <cell r="N1165">
            <v>0</v>
          </cell>
          <cell r="P1165">
            <v>73.7</v>
          </cell>
        </row>
        <row r="1166">
          <cell r="C1166" t="str">
            <v>Treatment</v>
          </cell>
          <cell r="H1166">
            <v>1</v>
          </cell>
          <cell r="I1166">
            <v>1</v>
          </cell>
          <cell r="J1166">
            <v>1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P1166">
            <v>63.9</v>
          </cell>
        </row>
        <row r="1167">
          <cell r="C1167" t="str">
            <v>Treatment</v>
          </cell>
          <cell r="H1167">
            <v>1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1</v>
          </cell>
          <cell r="N1167">
            <v>0</v>
          </cell>
          <cell r="P1167">
            <v>82.6</v>
          </cell>
        </row>
        <row r="1168">
          <cell r="C1168" t="str">
            <v>Treatment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1</v>
          </cell>
          <cell r="N1168">
            <v>0</v>
          </cell>
          <cell r="P1168">
            <v>58.3</v>
          </cell>
        </row>
        <row r="1169">
          <cell r="C1169" t="str">
            <v>Treatment</v>
          </cell>
          <cell r="H1169">
            <v>1</v>
          </cell>
          <cell r="I1169">
            <v>1</v>
          </cell>
          <cell r="J1169">
            <v>1</v>
          </cell>
          <cell r="K1169">
            <v>1</v>
          </cell>
          <cell r="L1169">
            <v>1547.06</v>
          </cell>
          <cell r="M1169">
            <v>0</v>
          </cell>
          <cell r="N1169">
            <v>1</v>
          </cell>
          <cell r="O1169">
            <v>2</v>
          </cell>
          <cell r="P1169">
            <v>72.900000000000006</v>
          </cell>
        </row>
        <row r="1170">
          <cell r="C1170" t="str">
            <v>Treatment</v>
          </cell>
          <cell r="H1170">
            <v>1</v>
          </cell>
          <cell r="I1170">
            <v>1</v>
          </cell>
          <cell r="J1170">
            <v>1</v>
          </cell>
          <cell r="K1170">
            <v>0</v>
          </cell>
          <cell r="L1170">
            <v>0</v>
          </cell>
          <cell r="M1170">
            <v>2</v>
          </cell>
          <cell r="N1170">
            <v>0</v>
          </cell>
          <cell r="P1170">
            <v>53.5</v>
          </cell>
        </row>
        <row r="1171">
          <cell r="C1171" t="str">
            <v>Treatment</v>
          </cell>
          <cell r="H1171">
            <v>1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P1171">
            <v>54.8</v>
          </cell>
        </row>
        <row r="1172">
          <cell r="C1172" t="str">
            <v>Treatment</v>
          </cell>
          <cell r="H1172">
            <v>1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P1172">
            <v>69.5</v>
          </cell>
        </row>
        <row r="1173">
          <cell r="C1173" t="str">
            <v>Treatment</v>
          </cell>
          <cell r="H1173">
            <v>1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1</v>
          </cell>
          <cell r="N1173">
            <v>0</v>
          </cell>
          <cell r="P1173">
            <v>71.3</v>
          </cell>
        </row>
        <row r="1174">
          <cell r="C1174" t="str">
            <v>Treatment</v>
          </cell>
          <cell r="H1174">
            <v>1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1</v>
          </cell>
          <cell r="N1174">
            <v>0</v>
          </cell>
          <cell r="P1174">
            <v>57.5</v>
          </cell>
        </row>
        <row r="1175">
          <cell r="C1175" t="str">
            <v>Treatment</v>
          </cell>
          <cell r="H1175">
            <v>1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4</v>
          </cell>
          <cell r="N1175">
            <v>0</v>
          </cell>
          <cell r="P1175">
            <v>50.9</v>
          </cell>
        </row>
        <row r="1176">
          <cell r="C1176" t="str">
            <v>Treatment</v>
          </cell>
          <cell r="H1176">
            <v>1</v>
          </cell>
          <cell r="I1176">
            <v>1</v>
          </cell>
          <cell r="J1176">
            <v>1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P1176">
            <v>69.3</v>
          </cell>
        </row>
        <row r="1177">
          <cell r="C1177" t="str">
            <v>Treatment</v>
          </cell>
          <cell r="H1177">
            <v>1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P1177">
            <v>50.1</v>
          </cell>
        </row>
        <row r="1178">
          <cell r="C1178" t="str">
            <v>Treatment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P1178">
            <v>69.7</v>
          </cell>
        </row>
        <row r="1179">
          <cell r="C1179" t="str">
            <v>Treatment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P1179">
            <v>63.5</v>
          </cell>
        </row>
        <row r="1180">
          <cell r="C1180" t="str">
            <v>Treatment</v>
          </cell>
          <cell r="H1180">
            <v>1</v>
          </cell>
          <cell r="I1180">
            <v>1</v>
          </cell>
          <cell r="J1180">
            <v>1</v>
          </cell>
          <cell r="K1180">
            <v>1</v>
          </cell>
          <cell r="L1180">
            <v>265.58999999999997</v>
          </cell>
          <cell r="M1180">
            <v>1</v>
          </cell>
          <cell r="N1180">
            <v>0</v>
          </cell>
          <cell r="O1180">
            <v>8</v>
          </cell>
          <cell r="P1180">
            <v>80.400000000000006</v>
          </cell>
        </row>
        <row r="1181">
          <cell r="C1181" t="str">
            <v>Treatment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P1181">
            <v>58.9</v>
          </cell>
        </row>
        <row r="1182">
          <cell r="C1182" t="str">
            <v>Treatment</v>
          </cell>
          <cell r="H1182">
            <v>1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P1182">
            <v>56.8</v>
          </cell>
        </row>
        <row r="1183">
          <cell r="C1183" t="str">
            <v>Treatment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P1183">
            <v>73.900000000000006</v>
          </cell>
        </row>
        <row r="1184">
          <cell r="C1184" t="str">
            <v>Treatment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P1184">
            <v>76.3</v>
          </cell>
        </row>
        <row r="1185">
          <cell r="C1185" t="str">
            <v>Treatment</v>
          </cell>
          <cell r="H1185">
            <v>1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P1185">
            <v>56.9</v>
          </cell>
        </row>
        <row r="1186">
          <cell r="C1186" t="str">
            <v>Treatment</v>
          </cell>
          <cell r="H1186">
            <v>1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2</v>
          </cell>
          <cell r="N1186">
            <v>0</v>
          </cell>
          <cell r="P1186">
            <v>49.4</v>
          </cell>
        </row>
        <row r="1187">
          <cell r="C1187" t="str">
            <v>Treatment</v>
          </cell>
          <cell r="H1187">
            <v>1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P1187">
            <v>86.7</v>
          </cell>
        </row>
        <row r="1188">
          <cell r="C1188" t="str">
            <v>Treatment</v>
          </cell>
          <cell r="H1188">
            <v>1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3</v>
          </cell>
          <cell r="N1188">
            <v>0</v>
          </cell>
          <cell r="P1188">
            <v>69</v>
          </cell>
        </row>
        <row r="1189">
          <cell r="C1189" t="str">
            <v>Treatment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P1189">
            <v>84.5</v>
          </cell>
        </row>
        <row r="1190">
          <cell r="C1190" t="str">
            <v>Treatment</v>
          </cell>
          <cell r="H1190">
            <v>1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P1190">
            <v>66.3</v>
          </cell>
        </row>
        <row r="1191">
          <cell r="C1191" t="str">
            <v>Treatment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P1191">
            <v>52.2</v>
          </cell>
        </row>
        <row r="1192">
          <cell r="C1192" t="str">
            <v>Treatment</v>
          </cell>
          <cell r="H1192">
            <v>1</v>
          </cell>
          <cell r="I1192">
            <v>1</v>
          </cell>
          <cell r="J1192">
            <v>1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P1192">
            <v>81.2</v>
          </cell>
        </row>
        <row r="1193">
          <cell r="C1193" t="str">
            <v>Treatment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P1193">
            <v>53.9</v>
          </cell>
        </row>
        <row r="1194">
          <cell r="C1194" t="str">
            <v>Treatment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P1194">
            <v>39.1</v>
          </cell>
        </row>
        <row r="1195">
          <cell r="C1195" t="str">
            <v>Treatment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P1195">
            <v>57.3</v>
          </cell>
        </row>
        <row r="1196">
          <cell r="C1196" t="str">
            <v>Treatment</v>
          </cell>
          <cell r="H1196">
            <v>1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1</v>
          </cell>
          <cell r="N1196">
            <v>0</v>
          </cell>
          <cell r="P1196">
            <v>65.900000000000006</v>
          </cell>
        </row>
        <row r="1197">
          <cell r="C1197" t="str">
            <v>Treatment</v>
          </cell>
          <cell r="H1197">
            <v>1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1</v>
          </cell>
          <cell r="N1197">
            <v>0</v>
          </cell>
          <cell r="P1197">
            <v>34.200000000000003</v>
          </cell>
        </row>
        <row r="1198">
          <cell r="C1198" t="str">
            <v>Treatment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P1198">
            <v>47.2</v>
          </cell>
        </row>
        <row r="1199">
          <cell r="C1199" t="str">
            <v>Treatment</v>
          </cell>
          <cell r="H1199">
            <v>1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1</v>
          </cell>
          <cell r="N1199">
            <v>0</v>
          </cell>
          <cell r="P1199">
            <v>55</v>
          </cell>
        </row>
        <row r="1200">
          <cell r="C1200" t="str">
            <v>Treatment</v>
          </cell>
          <cell r="H1200">
            <v>1</v>
          </cell>
          <cell r="I1200">
            <v>1</v>
          </cell>
          <cell r="J1200">
            <v>1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P1200">
            <v>76.400000000000006</v>
          </cell>
        </row>
        <row r="1201">
          <cell r="C1201" t="str">
            <v>Treatment</v>
          </cell>
          <cell r="H1201">
            <v>1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P1201">
            <v>70.8</v>
          </cell>
        </row>
        <row r="1202">
          <cell r="C1202" t="str">
            <v>Treatment</v>
          </cell>
          <cell r="H1202">
            <v>1</v>
          </cell>
          <cell r="I1202">
            <v>1</v>
          </cell>
          <cell r="J1202">
            <v>0</v>
          </cell>
          <cell r="K1202">
            <v>0</v>
          </cell>
          <cell r="L1202">
            <v>0</v>
          </cell>
          <cell r="M1202">
            <v>1</v>
          </cell>
          <cell r="N1202">
            <v>0</v>
          </cell>
          <cell r="P1202">
            <v>58</v>
          </cell>
        </row>
        <row r="1203">
          <cell r="C1203" t="str">
            <v>Treatment</v>
          </cell>
          <cell r="H1203">
            <v>1</v>
          </cell>
          <cell r="I1203">
            <v>1</v>
          </cell>
          <cell r="J1203">
            <v>1</v>
          </cell>
          <cell r="K1203">
            <v>0</v>
          </cell>
          <cell r="L1203">
            <v>0</v>
          </cell>
          <cell r="M1203">
            <v>1</v>
          </cell>
          <cell r="N1203">
            <v>0</v>
          </cell>
          <cell r="P1203">
            <v>70.8</v>
          </cell>
        </row>
        <row r="1204">
          <cell r="C1204" t="str">
            <v>Treatment</v>
          </cell>
          <cell r="H1204">
            <v>1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3</v>
          </cell>
          <cell r="N1204">
            <v>0</v>
          </cell>
          <cell r="P1204">
            <v>60</v>
          </cell>
        </row>
        <row r="1205">
          <cell r="C1205" t="str">
            <v>Treatment</v>
          </cell>
          <cell r="H1205">
            <v>1</v>
          </cell>
          <cell r="I1205">
            <v>1</v>
          </cell>
          <cell r="J1205">
            <v>1</v>
          </cell>
          <cell r="K1205">
            <v>0</v>
          </cell>
          <cell r="L1205">
            <v>0</v>
          </cell>
          <cell r="M1205">
            <v>3</v>
          </cell>
          <cell r="N1205">
            <v>0</v>
          </cell>
          <cell r="P1205">
            <v>58.1</v>
          </cell>
        </row>
        <row r="1206">
          <cell r="C1206" t="str">
            <v>Treatment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P1206">
            <v>59.7</v>
          </cell>
        </row>
        <row r="1207">
          <cell r="C1207" t="str">
            <v>Treatment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P1207">
            <v>47.7</v>
          </cell>
        </row>
        <row r="1208">
          <cell r="C1208" t="str">
            <v>Treatment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P1208">
            <v>59.1</v>
          </cell>
        </row>
        <row r="1209">
          <cell r="C1209" t="str">
            <v>Treatment</v>
          </cell>
          <cell r="H1209">
            <v>1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1</v>
          </cell>
          <cell r="N1209">
            <v>0</v>
          </cell>
          <cell r="P1209">
            <v>68.7</v>
          </cell>
        </row>
        <row r="1210">
          <cell r="C1210" t="str">
            <v>Treatment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P1210">
            <v>34.700000000000003</v>
          </cell>
        </row>
        <row r="1211">
          <cell r="C1211" t="str">
            <v>Treatment</v>
          </cell>
          <cell r="H1211">
            <v>1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P1211">
            <v>62</v>
          </cell>
        </row>
        <row r="1212">
          <cell r="C1212" t="str">
            <v>Treatment</v>
          </cell>
          <cell r="H1212">
            <v>1</v>
          </cell>
          <cell r="I1212">
            <v>1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P1212">
            <v>56</v>
          </cell>
        </row>
        <row r="1213">
          <cell r="C1213" t="str">
            <v>Treatment</v>
          </cell>
          <cell r="H1213">
            <v>1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1</v>
          </cell>
          <cell r="N1213">
            <v>0</v>
          </cell>
          <cell r="P1213">
            <v>65.8</v>
          </cell>
        </row>
        <row r="1214">
          <cell r="C1214" t="str">
            <v>Treatment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P1214">
            <v>54.7</v>
          </cell>
        </row>
        <row r="1215">
          <cell r="C1215" t="str">
            <v>Treatment</v>
          </cell>
          <cell r="H1215">
            <v>1</v>
          </cell>
          <cell r="I1215">
            <v>1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P1215">
            <v>64.099999999999994</v>
          </cell>
        </row>
        <row r="1216">
          <cell r="C1216" t="str">
            <v>Treatment</v>
          </cell>
          <cell r="H1216">
            <v>1</v>
          </cell>
          <cell r="I1216">
            <v>1</v>
          </cell>
          <cell r="J1216">
            <v>1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P1216">
            <v>71.599999999999994</v>
          </cell>
        </row>
        <row r="1217">
          <cell r="C1217" t="str">
            <v>Treatment</v>
          </cell>
          <cell r="H1217">
            <v>1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P1217">
            <v>78.400000000000006</v>
          </cell>
        </row>
        <row r="1218">
          <cell r="C1218" t="str">
            <v>Treatment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P1218">
            <v>49.3</v>
          </cell>
        </row>
        <row r="1219">
          <cell r="C1219" t="str">
            <v>Treatment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P1219">
            <v>52.8</v>
          </cell>
        </row>
        <row r="1220">
          <cell r="C1220" t="str">
            <v>Treatment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P1220">
            <v>58.5</v>
          </cell>
        </row>
        <row r="1221">
          <cell r="C1221" t="str">
            <v>Treatment</v>
          </cell>
          <cell r="H1221">
            <v>1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P1221">
            <v>55.9</v>
          </cell>
        </row>
        <row r="1222">
          <cell r="C1222" t="str">
            <v>Treatment</v>
          </cell>
          <cell r="H1222">
            <v>1</v>
          </cell>
          <cell r="I1222">
            <v>1</v>
          </cell>
          <cell r="J1222">
            <v>1</v>
          </cell>
          <cell r="K1222">
            <v>1</v>
          </cell>
          <cell r="L1222">
            <v>351.43</v>
          </cell>
          <cell r="M1222">
            <v>1</v>
          </cell>
          <cell r="N1222">
            <v>0</v>
          </cell>
          <cell r="O1222">
            <v>6</v>
          </cell>
          <cell r="P1222">
            <v>74.900000000000006</v>
          </cell>
        </row>
        <row r="1223">
          <cell r="C1223" t="str">
            <v>Treatment</v>
          </cell>
          <cell r="H1223">
            <v>1</v>
          </cell>
          <cell r="I1223">
            <v>1</v>
          </cell>
          <cell r="J1223">
            <v>1</v>
          </cell>
          <cell r="K1223">
            <v>1</v>
          </cell>
          <cell r="L1223">
            <v>352.42</v>
          </cell>
          <cell r="M1223">
            <v>0</v>
          </cell>
          <cell r="N1223">
            <v>0</v>
          </cell>
          <cell r="O1223">
            <v>4</v>
          </cell>
          <cell r="P1223">
            <v>58.5</v>
          </cell>
        </row>
        <row r="1224">
          <cell r="C1224" t="str">
            <v>Treatment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P1224">
            <v>63.5</v>
          </cell>
        </row>
        <row r="1225">
          <cell r="C1225" t="str">
            <v>Treatment</v>
          </cell>
          <cell r="H1225">
            <v>1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1</v>
          </cell>
          <cell r="N1225">
            <v>0</v>
          </cell>
          <cell r="P1225">
            <v>64.8</v>
          </cell>
        </row>
        <row r="1226">
          <cell r="C1226" t="str">
            <v>Treatment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P1226">
            <v>63.3</v>
          </cell>
        </row>
        <row r="1227">
          <cell r="C1227" t="str">
            <v>Treatment</v>
          </cell>
          <cell r="H1227">
            <v>1</v>
          </cell>
          <cell r="I1227">
            <v>1</v>
          </cell>
          <cell r="J1227">
            <v>1</v>
          </cell>
          <cell r="K1227">
            <v>1</v>
          </cell>
          <cell r="L1227">
            <v>1074.1600000000001</v>
          </cell>
          <cell r="M1227">
            <v>0</v>
          </cell>
          <cell r="N1227">
            <v>0</v>
          </cell>
          <cell r="O1227">
            <v>8</v>
          </cell>
          <cell r="P1227">
            <v>83.7</v>
          </cell>
        </row>
        <row r="1228">
          <cell r="C1228" t="str">
            <v>Treatment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P1228">
            <v>88.7</v>
          </cell>
        </row>
        <row r="1229">
          <cell r="C1229" t="str">
            <v>Treatment</v>
          </cell>
          <cell r="H1229">
            <v>1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1</v>
          </cell>
          <cell r="N1229">
            <v>0</v>
          </cell>
          <cell r="P1229">
            <v>61.5</v>
          </cell>
        </row>
        <row r="1230">
          <cell r="C1230" t="str">
            <v>Treatment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P1230">
            <v>45.3</v>
          </cell>
        </row>
        <row r="1231">
          <cell r="C1231" t="str">
            <v>Treatment</v>
          </cell>
          <cell r="H1231">
            <v>1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P1231">
            <v>37.299999999999997</v>
          </cell>
        </row>
        <row r="1232">
          <cell r="C1232" t="str">
            <v>Treatment</v>
          </cell>
          <cell r="H1232">
            <v>1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1</v>
          </cell>
          <cell r="N1232">
            <v>0</v>
          </cell>
          <cell r="P1232">
            <v>76.099999999999994</v>
          </cell>
        </row>
        <row r="1233">
          <cell r="C1233" t="str">
            <v>Treatment</v>
          </cell>
          <cell r="H1233">
            <v>1</v>
          </cell>
          <cell r="I1233">
            <v>1</v>
          </cell>
          <cell r="J1233">
            <v>1</v>
          </cell>
          <cell r="K1233">
            <v>0</v>
          </cell>
          <cell r="L1233">
            <v>0</v>
          </cell>
          <cell r="M1233">
            <v>1</v>
          </cell>
          <cell r="N1233">
            <v>0</v>
          </cell>
          <cell r="P1233">
            <v>72.5</v>
          </cell>
        </row>
        <row r="1234">
          <cell r="C1234" t="str">
            <v>Treatment</v>
          </cell>
          <cell r="H1234">
            <v>1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P1234">
            <v>62.3</v>
          </cell>
        </row>
        <row r="1235">
          <cell r="C1235" t="str">
            <v>Treatment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P1235">
            <v>62.7</v>
          </cell>
        </row>
        <row r="1236">
          <cell r="C1236" t="str">
            <v>Treatment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P1236">
            <v>82.4</v>
          </cell>
        </row>
        <row r="1237">
          <cell r="C1237" t="str">
            <v>Treatment</v>
          </cell>
          <cell r="H1237">
            <v>1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P1237">
            <v>78.900000000000006</v>
          </cell>
        </row>
        <row r="1238">
          <cell r="C1238" t="str">
            <v>Treatment</v>
          </cell>
          <cell r="H1238">
            <v>1</v>
          </cell>
          <cell r="I1238">
            <v>1</v>
          </cell>
          <cell r="J1238">
            <v>1</v>
          </cell>
          <cell r="K1238">
            <v>1</v>
          </cell>
          <cell r="L1238">
            <v>618.91</v>
          </cell>
          <cell r="M1238">
            <v>0</v>
          </cell>
          <cell r="N1238">
            <v>0</v>
          </cell>
          <cell r="O1238">
            <v>4</v>
          </cell>
          <cell r="P1238">
            <v>67.8</v>
          </cell>
        </row>
        <row r="1239">
          <cell r="C1239" t="str">
            <v>Treatment</v>
          </cell>
          <cell r="H1239">
            <v>1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P1239">
            <v>68.8</v>
          </cell>
        </row>
        <row r="1240">
          <cell r="C1240" t="str">
            <v>Treatment</v>
          </cell>
          <cell r="H1240">
            <v>1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P1240">
            <v>67.7</v>
          </cell>
        </row>
        <row r="1241">
          <cell r="C1241" t="str">
            <v>Treatment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P1241">
            <v>88</v>
          </cell>
        </row>
        <row r="1242">
          <cell r="C1242" t="str">
            <v>Treatment</v>
          </cell>
          <cell r="H1242">
            <v>1</v>
          </cell>
          <cell r="I1242">
            <v>1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P1242">
            <v>80.099999999999994</v>
          </cell>
        </row>
        <row r="1243">
          <cell r="C1243" t="str">
            <v>Treatment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1</v>
          </cell>
          <cell r="N1243">
            <v>0</v>
          </cell>
          <cell r="P1243">
            <v>48.2</v>
          </cell>
        </row>
        <row r="1244">
          <cell r="C1244" t="str">
            <v>Treatment</v>
          </cell>
          <cell r="H1244">
            <v>1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P1244">
            <v>52.7</v>
          </cell>
        </row>
        <row r="1245">
          <cell r="C1245" t="str">
            <v>Treatment</v>
          </cell>
          <cell r="H1245">
            <v>1</v>
          </cell>
          <cell r="I1245">
            <v>1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P1245">
            <v>59.9</v>
          </cell>
        </row>
        <row r="1246">
          <cell r="C1246" t="str">
            <v>Treatment</v>
          </cell>
          <cell r="H1246">
            <v>1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P1246">
            <v>49.5</v>
          </cell>
        </row>
        <row r="1247">
          <cell r="C1247" t="str">
            <v>Treatment</v>
          </cell>
          <cell r="H1247">
            <v>1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P1247">
            <v>41.5</v>
          </cell>
        </row>
        <row r="1248">
          <cell r="C1248" t="str">
            <v>Treatment</v>
          </cell>
          <cell r="H1248">
            <v>1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P1248">
            <v>71.2</v>
          </cell>
        </row>
        <row r="1249">
          <cell r="C1249" t="str">
            <v>Treatment</v>
          </cell>
          <cell r="H1249">
            <v>1</v>
          </cell>
          <cell r="I1249">
            <v>1</v>
          </cell>
          <cell r="J1249">
            <v>1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P1249">
            <v>65.8</v>
          </cell>
        </row>
        <row r="1250">
          <cell r="C1250" t="str">
            <v>Treatment</v>
          </cell>
          <cell r="H1250">
            <v>1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1</v>
          </cell>
          <cell r="N1250">
            <v>0</v>
          </cell>
          <cell r="P1250">
            <v>55.1</v>
          </cell>
        </row>
        <row r="1251">
          <cell r="C1251" t="str">
            <v>Treatment</v>
          </cell>
          <cell r="H1251">
            <v>1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P1251">
            <v>54.6</v>
          </cell>
        </row>
        <row r="1252">
          <cell r="C1252" t="str">
            <v>Treatment</v>
          </cell>
          <cell r="H1252">
            <v>1</v>
          </cell>
          <cell r="I1252">
            <v>1</v>
          </cell>
          <cell r="J1252">
            <v>1</v>
          </cell>
          <cell r="K1252">
            <v>1</v>
          </cell>
          <cell r="L1252">
            <v>923.67</v>
          </cell>
          <cell r="M1252">
            <v>0</v>
          </cell>
          <cell r="N1252">
            <v>0</v>
          </cell>
          <cell r="O1252">
            <v>4</v>
          </cell>
          <cell r="P1252">
            <v>81.900000000000006</v>
          </cell>
        </row>
        <row r="1253">
          <cell r="C1253" t="str">
            <v>Treatment</v>
          </cell>
          <cell r="H1253">
            <v>1</v>
          </cell>
          <cell r="I1253">
            <v>1</v>
          </cell>
          <cell r="J1253">
            <v>0</v>
          </cell>
          <cell r="K1253">
            <v>0</v>
          </cell>
          <cell r="L1253">
            <v>0</v>
          </cell>
          <cell r="M1253">
            <v>3</v>
          </cell>
          <cell r="N1253">
            <v>0</v>
          </cell>
          <cell r="P1253">
            <v>63.2</v>
          </cell>
        </row>
        <row r="1254">
          <cell r="C1254" t="str">
            <v>Treatment</v>
          </cell>
          <cell r="H1254">
            <v>1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P1254">
            <v>55.4</v>
          </cell>
        </row>
        <row r="1255">
          <cell r="C1255" t="str">
            <v>Treatment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P1255">
            <v>87.5</v>
          </cell>
        </row>
        <row r="1256">
          <cell r="C1256" t="str">
            <v>Treatment</v>
          </cell>
          <cell r="H1256">
            <v>1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P1256">
            <v>48.5</v>
          </cell>
        </row>
        <row r="1257">
          <cell r="C1257" t="str">
            <v>Treatment</v>
          </cell>
          <cell r="H1257">
            <v>1</v>
          </cell>
          <cell r="I1257">
            <v>1</v>
          </cell>
          <cell r="J1257">
            <v>1</v>
          </cell>
          <cell r="K1257">
            <v>1</v>
          </cell>
          <cell r="L1257">
            <v>420.27</v>
          </cell>
          <cell r="M1257">
            <v>0</v>
          </cell>
          <cell r="N1257">
            <v>0</v>
          </cell>
          <cell r="O1257">
            <v>6</v>
          </cell>
          <cell r="P1257">
            <v>58.4</v>
          </cell>
        </row>
        <row r="1258">
          <cell r="C1258" t="str">
            <v>Treatment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P1258">
            <v>59.5</v>
          </cell>
        </row>
        <row r="1259">
          <cell r="C1259" t="str">
            <v>Treatment</v>
          </cell>
          <cell r="H1259">
            <v>1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P1259">
            <v>93.2</v>
          </cell>
        </row>
        <row r="1260">
          <cell r="C1260" t="str">
            <v>Treatment</v>
          </cell>
          <cell r="H1260">
            <v>1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P1260">
            <v>59</v>
          </cell>
        </row>
        <row r="1261">
          <cell r="C1261" t="str">
            <v>Treatment</v>
          </cell>
          <cell r="H1261">
            <v>1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P1261">
            <v>37</v>
          </cell>
        </row>
        <row r="1262">
          <cell r="C1262" t="str">
            <v>Treatment</v>
          </cell>
          <cell r="H1262">
            <v>1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P1262">
            <v>47.5</v>
          </cell>
        </row>
        <row r="1263">
          <cell r="C1263" t="str">
            <v>Treatment</v>
          </cell>
          <cell r="H1263">
            <v>1</v>
          </cell>
          <cell r="I1263">
            <v>1</v>
          </cell>
          <cell r="J1263">
            <v>1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P1263">
            <v>78.7</v>
          </cell>
        </row>
        <row r="1264">
          <cell r="C1264" t="str">
            <v>Treatment</v>
          </cell>
          <cell r="H1264">
            <v>1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P1264">
            <v>49.6</v>
          </cell>
        </row>
        <row r="1265">
          <cell r="C1265" t="str">
            <v>Treatment</v>
          </cell>
          <cell r="H1265">
            <v>1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P1265">
            <v>58</v>
          </cell>
        </row>
        <row r="1266">
          <cell r="C1266" t="str">
            <v>Treatment</v>
          </cell>
          <cell r="H1266">
            <v>1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1</v>
          </cell>
          <cell r="N1266">
            <v>0</v>
          </cell>
          <cell r="P1266">
            <v>54.4</v>
          </cell>
        </row>
        <row r="1267">
          <cell r="C1267" t="str">
            <v>Treatment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P1267">
            <v>33.700000000000003</v>
          </cell>
        </row>
        <row r="1268">
          <cell r="C1268" t="str">
            <v>Treatment</v>
          </cell>
          <cell r="H1268">
            <v>1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P1268">
            <v>72.7</v>
          </cell>
        </row>
        <row r="1269">
          <cell r="C1269" t="str">
            <v>Treatment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P1269">
            <v>64.7</v>
          </cell>
        </row>
        <row r="1270">
          <cell r="C1270" t="str">
            <v>Treatment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1</v>
          </cell>
          <cell r="N1270">
            <v>0</v>
          </cell>
          <cell r="P1270">
            <v>48.6</v>
          </cell>
        </row>
        <row r="1271">
          <cell r="C1271" t="str">
            <v>Treatment</v>
          </cell>
          <cell r="H1271">
            <v>1</v>
          </cell>
          <cell r="I1271">
            <v>1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P1271">
            <v>66.2</v>
          </cell>
        </row>
        <row r="1272">
          <cell r="C1272" t="str">
            <v>Treatment</v>
          </cell>
          <cell r="H1272">
            <v>1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1</v>
          </cell>
          <cell r="N1272">
            <v>0</v>
          </cell>
          <cell r="P1272">
            <v>60.7</v>
          </cell>
        </row>
        <row r="1273">
          <cell r="C1273" t="str">
            <v>Treatment</v>
          </cell>
          <cell r="H1273">
            <v>1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P1273">
            <v>36.5</v>
          </cell>
        </row>
        <row r="1274">
          <cell r="C1274" t="str">
            <v>Treatment</v>
          </cell>
          <cell r="H1274">
            <v>1</v>
          </cell>
          <cell r="I1274">
            <v>1</v>
          </cell>
          <cell r="J1274">
            <v>1</v>
          </cell>
          <cell r="K1274">
            <v>0</v>
          </cell>
          <cell r="L1274">
            <v>0</v>
          </cell>
          <cell r="M1274">
            <v>3</v>
          </cell>
          <cell r="N1274">
            <v>0</v>
          </cell>
          <cell r="P1274">
            <v>69.7</v>
          </cell>
        </row>
        <row r="1275">
          <cell r="C1275" t="str">
            <v>Treatment</v>
          </cell>
          <cell r="H1275">
            <v>1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P1275">
            <v>81.8</v>
          </cell>
        </row>
        <row r="1276">
          <cell r="C1276" t="str">
            <v>Treatment</v>
          </cell>
          <cell r="H1276">
            <v>1</v>
          </cell>
          <cell r="I1276">
            <v>1</v>
          </cell>
          <cell r="J1276">
            <v>1</v>
          </cell>
          <cell r="K1276">
            <v>0</v>
          </cell>
          <cell r="L1276">
            <v>0</v>
          </cell>
          <cell r="M1276">
            <v>1</v>
          </cell>
          <cell r="N1276">
            <v>0</v>
          </cell>
          <cell r="P1276">
            <v>78.3</v>
          </cell>
        </row>
        <row r="1277">
          <cell r="C1277" t="str">
            <v>Treatment</v>
          </cell>
          <cell r="H1277">
            <v>1</v>
          </cell>
          <cell r="I1277">
            <v>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P1277">
            <v>79.400000000000006</v>
          </cell>
        </row>
        <row r="1278">
          <cell r="C1278" t="str">
            <v>Treatment</v>
          </cell>
          <cell r="H1278">
            <v>1</v>
          </cell>
          <cell r="I1278">
            <v>1</v>
          </cell>
          <cell r="J1278">
            <v>1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P1278">
            <v>54.9</v>
          </cell>
        </row>
        <row r="1279">
          <cell r="C1279" t="str">
            <v>Treatment</v>
          </cell>
          <cell r="H1279">
            <v>1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P1279">
            <v>54.9</v>
          </cell>
        </row>
        <row r="1280">
          <cell r="C1280" t="str">
            <v>Treatment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P1280">
            <v>28.7</v>
          </cell>
        </row>
        <row r="1281">
          <cell r="C1281" t="str">
            <v>Treatment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P1281">
            <v>68.8</v>
          </cell>
        </row>
        <row r="1282">
          <cell r="C1282" t="str">
            <v>Treatment</v>
          </cell>
          <cell r="H1282">
            <v>1</v>
          </cell>
          <cell r="I1282">
            <v>1</v>
          </cell>
          <cell r="J1282">
            <v>1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P1282">
            <v>43.5</v>
          </cell>
        </row>
        <row r="1283">
          <cell r="C1283" t="str">
            <v>Treatment</v>
          </cell>
          <cell r="H1283">
            <v>1</v>
          </cell>
          <cell r="I1283">
            <v>1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P1283">
            <v>62.6</v>
          </cell>
        </row>
        <row r="1284">
          <cell r="C1284" t="str">
            <v>Treatment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1</v>
          </cell>
          <cell r="N1284">
            <v>0</v>
          </cell>
          <cell r="P1284">
            <v>54.1</v>
          </cell>
        </row>
        <row r="1285">
          <cell r="C1285" t="str">
            <v>Treatment</v>
          </cell>
          <cell r="H1285">
            <v>1</v>
          </cell>
          <cell r="I1285">
            <v>1</v>
          </cell>
          <cell r="J1285">
            <v>1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P1285">
            <v>80.099999999999994</v>
          </cell>
        </row>
        <row r="1286">
          <cell r="C1286" t="str">
            <v>Treatment</v>
          </cell>
          <cell r="H1286">
            <v>1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P1286">
            <v>69.5</v>
          </cell>
        </row>
        <row r="1287">
          <cell r="C1287" t="str">
            <v>Treatment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2</v>
          </cell>
          <cell r="N1287">
            <v>0</v>
          </cell>
          <cell r="P1287">
            <v>46.6</v>
          </cell>
        </row>
        <row r="1288">
          <cell r="C1288" t="str">
            <v>Treatment</v>
          </cell>
          <cell r="H1288">
            <v>1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1</v>
          </cell>
          <cell r="N1288">
            <v>0</v>
          </cell>
          <cell r="P1288">
            <v>54.9</v>
          </cell>
        </row>
        <row r="1289">
          <cell r="C1289" t="str">
            <v>Treatment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P1289">
            <v>100</v>
          </cell>
        </row>
        <row r="1290">
          <cell r="C1290" t="str">
            <v>Treatment</v>
          </cell>
          <cell r="H1290">
            <v>1</v>
          </cell>
          <cell r="I1290">
            <v>1</v>
          </cell>
          <cell r="J1290">
            <v>1</v>
          </cell>
          <cell r="K1290">
            <v>0</v>
          </cell>
          <cell r="L1290">
            <v>0</v>
          </cell>
          <cell r="M1290">
            <v>1</v>
          </cell>
          <cell r="N1290">
            <v>0</v>
          </cell>
          <cell r="P1290">
            <v>80.5</v>
          </cell>
        </row>
        <row r="1291">
          <cell r="C1291" t="str">
            <v>Treatment</v>
          </cell>
          <cell r="H1291">
            <v>1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P1291">
            <v>51.2</v>
          </cell>
        </row>
        <row r="1292">
          <cell r="C1292" t="str">
            <v>Treatment</v>
          </cell>
          <cell r="H1292">
            <v>1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P1292">
            <v>42.5</v>
          </cell>
        </row>
        <row r="1293">
          <cell r="C1293" t="str">
            <v>Treatment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P1293">
            <v>72.5</v>
          </cell>
        </row>
        <row r="1294">
          <cell r="C1294" t="str">
            <v>Treatment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P1294">
            <v>74.400000000000006</v>
          </cell>
        </row>
        <row r="1295">
          <cell r="C1295" t="str">
            <v>Treatment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P1295">
            <v>78.400000000000006</v>
          </cell>
        </row>
        <row r="1296">
          <cell r="C1296" t="str">
            <v>Treatment</v>
          </cell>
          <cell r="H1296">
            <v>1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P1296">
            <v>71.5</v>
          </cell>
        </row>
        <row r="1297">
          <cell r="C1297" t="str">
            <v>Treatment</v>
          </cell>
          <cell r="H1297">
            <v>1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P1297">
            <v>66.7</v>
          </cell>
        </row>
        <row r="1298">
          <cell r="C1298" t="str">
            <v>Treatment</v>
          </cell>
          <cell r="H1298">
            <v>1</v>
          </cell>
          <cell r="I1298">
            <v>1</v>
          </cell>
          <cell r="J1298">
            <v>1</v>
          </cell>
          <cell r="K1298">
            <v>1</v>
          </cell>
          <cell r="L1298">
            <v>1496.09</v>
          </cell>
          <cell r="M1298">
            <v>0</v>
          </cell>
          <cell r="N1298">
            <v>0</v>
          </cell>
          <cell r="O1298">
            <v>7</v>
          </cell>
          <cell r="P1298">
            <v>60.4</v>
          </cell>
        </row>
        <row r="1299">
          <cell r="C1299" t="str">
            <v>Treatment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1</v>
          </cell>
          <cell r="N1299">
            <v>0</v>
          </cell>
          <cell r="P1299">
            <v>72.900000000000006</v>
          </cell>
        </row>
        <row r="1300">
          <cell r="C1300" t="str">
            <v>Treatment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3</v>
          </cell>
          <cell r="N1300">
            <v>0</v>
          </cell>
          <cell r="P1300">
            <v>60.02</v>
          </cell>
        </row>
        <row r="1301">
          <cell r="C1301" t="str">
            <v>Treatment</v>
          </cell>
          <cell r="H1301">
            <v>1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P1301">
            <v>55.2</v>
          </cell>
        </row>
        <row r="1302">
          <cell r="C1302" t="str">
            <v>Treatment</v>
          </cell>
          <cell r="H1302">
            <v>1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P1302">
            <v>67.8</v>
          </cell>
        </row>
        <row r="1303">
          <cell r="C1303" t="str">
            <v>Treatment</v>
          </cell>
          <cell r="H1303">
            <v>1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2</v>
          </cell>
          <cell r="N1303">
            <v>0</v>
          </cell>
          <cell r="P1303">
            <v>70</v>
          </cell>
        </row>
        <row r="1304">
          <cell r="C1304" t="str">
            <v>Treatment</v>
          </cell>
          <cell r="H1304">
            <v>1</v>
          </cell>
          <cell r="I1304">
            <v>1</v>
          </cell>
          <cell r="J1304">
            <v>1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P1304">
            <v>51.1</v>
          </cell>
        </row>
        <row r="1305">
          <cell r="C1305" t="str">
            <v>Treatment</v>
          </cell>
          <cell r="H1305">
            <v>1</v>
          </cell>
          <cell r="I1305">
            <v>1</v>
          </cell>
          <cell r="J1305">
            <v>1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P1305">
            <v>57</v>
          </cell>
        </row>
        <row r="1306">
          <cell r="C1306" t="str">
            <v>Treatment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1</v>
          </cell>
          <cell r="N1306">
            <v>0</v>
          </cell>
          <cell r="P1306">
            <v>47.1</v>
          </cell>
        </row>
        <row r="1307">
          <cell r="C1307" t="str">
            <v>Treatment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P1307">
            <v>30.7</v>
          </cell>
        </row>
        <row r="1308">
          <cell r="C1308" t="str">
            <v>Treatment</v>
          </cell>
          <cell r="H1308">
            <v>1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P1308">
            <v>57.3</v>
          </cell>
        </row>
        <row r="1309">
          <cell r="C1309" t="str">
            <v>Treatment</v>
          </cell>
          <cell r="H1309">
            <v>1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P1309">
            <v>70</v>
          </cell>
        </row>
        <row r="1310">
          <cell r="C1310" t="str">
            <v>Treatment</v>
          </cell>
          <cell r="H1310">
            <v>1</v>
          </cell>
          <cell r="I1310">
            <v>1</v>
          </cell>
          <cell r="J1310">
            <v>1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P1310">
            <v>59.7</v>
          </cell>
        </row>
        <row r="1311">
          <cell r="C1311" t="str">
            <v>Treatment</v>
          </cell>
          <cell r="H1311">
            <v>1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P1311">
            <v>68.8</v>
          </cell>
        </row>
        <row r="1312">
          <cell r="C1312" t="str">
            <v>Treatment</v>
          </cell>
          <cell r="H1312">
            <v>1</v>
          </cell>
          <cell r="I1312">
            <v>1</v>
          </cell>
          <cell r="J1312">
            <v>1</v>
          </cell>
          <cell r="K1312">
            <v>1</v>
          </cell>
          <cell r="L1312">
            <v>428.37</v>
          </cell>
          <cell r="M1312">
            <v>0</v>
          </cell>
          <cell r="N1312">
            <v>0</v>
          </cell>
          <cell r="O1312">
            <v>9</v>
          </cell>
          <cell r="P1312">
            <v>88.3</v>
          </cell>
        </row>
        <row r="1313">
          <cell r="C1313" t="str">
            <v>Treatment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P1313">
            <v>83.4</v>
          </cell>
        </row>
        <row r="1314">
          <cell r="C1314" t="str">
            <v>Treatment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1</v>
          </cell>
          <cell r="N1314">
            <v>0</v>
          </cell>
          <cell r="P1314">
            <v>81.599999999999994</v>
          </cell>
        </row>
        <row r="1315">
          <cell r="C1315" t="str">
            <v>Treatment</v>
          </cell>
          <cell r="H1315">
            <v>1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P1315">
            <v>91.6</v>
          </cell>
        </row>
        <row r="1316">
          <cell r="C1316" t="str">
            <v>Treatment</v>
          </cell>
          <cell r="H1316">
            <v>1</v>
          </cell>
          <cell r="I1316">
            <v>1</v>
          </cell>
          <cell r="J1316">
            <v>1</v>
          </cell>
          <cell r="K1316">
            <v>0</v>
          </cell>
          <cell r="L1316">
            <v>0</v>
          </cell>
          <cell r="M1316">
            <v>1</v>
          </cell>
          <cell r="N1316">
            <v>0</v>
          </cell>
          <cell r="P1316">
            <v>61.5</v>
          </cell>
        </row>
        <row r="1317">
          <cell r="C1317" t="str">
            <v>Treatment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P1317">
            <v>60.02</v>
          </cell>
        </row>
        <row r="1318">
          <cell r="C1318" t="str">
            <v>Treatment</v>
          </cell>
          <cell r="H1318">
            <v>1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P1318">
            <v>32.6</v>
          </cell>
        </row>
        <row r="1319">
          <cell r="C1319" t="str">
            <v>Treatment</v>
          </cell>
          <cell r="H1319">
            <v>1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P1319">
            <v>73.900000000000006</v>
          </cell>
        </row>
        <row r="1320">
          <cell r="C1320" t="str">
            <v>Treatment</v>
          </cell>
          <cell r="H1320">
            <v>1</v>
          </cell>
          <cell r="I1320">
            <v>1</v>
          </cell>
          <cell r="J1320">
            <v>1</v>
          </cell>
          <cell r="K1320">
            <v>1</v>
          </cell>
          <cell r="L1320">
            <v>444.06</v>
          </cell>
          <cell r="M1320">
            <v>0</v>
          </cell>
          <cell r="N1320">
            <v>0</v>
          </cell>
          <cell r="O1320">
            <v>9</v>
          </cell>
          <cell r="P1320">
            <v>99.9</v>
          </cell>
        </row>
        <row r="1321">
          <cell r="C1321" t="str">
            <v>Treatment</v>
          </cell>
          <cell r="H1321">
            <v>1</v>
          </cell>
          <cell r="I1321">
            <v>1</v>
          </cell>
          <cell r="J1321">
            <v>0</v>
          </cell>
          <cell r="K1321">
            <v>0</v>
          </cell>
          <cell r="L1321">
            <v>0</v>
          </cell>
          <cell r="M1321">
            <v>1</v>
          </cell>
          <cell r="N1321">
            <v>0</v>
          </cell>
          <cell r="P1321">
            <v>62.4</v>
          </cell>
        </row>
        <row r="1322">
          <cell r="C1322" t="str">
            <v>Treatment</v>
          </cell>
          <cell r="H1322">
            <v>1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P1322">
            <v>46.1</v>
          </cell>
        </row>
        <row r="1323">
          <cell r="C1323" t="str">
            <v>Treatment</v>
          </cell>
          <cell r="H1323">
            <v>1</v>
          </cell>
          <cell r="I1323">
            <v>1</v>
          </cell>
          <cell r="J1323">
            <v>1</v>
          </cell>
          <cell r="K1323">
            <v>1</v>
          </cell>
          <cell r="L1323">
            <v>2660.21</v>
          </cell>
          <cell r="M1323">
            <v>0</v>
          </cell>
          <cell r="N1323">
            <v>0</v>
          </cell>
          <cell r="O1323">
            <v>3</v>
          </cell>
          <cell r="P1323">
            <v>73.900000000000006</v>
          </cell>
        </row>
        <row r="1324">
          <cell r="C1324" t="str">
            <v>Treatment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P1324">
            <v>90</v>
          </cell>
        </row>
        <row r="1325">
          <cell r="C1325" t="str">
            <v>Treatment</v>
          </cell>
          <cell r="H1325">
            <v>1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1</v>
          </cell>
          <cell r="N1325">
            <v>0</v>
          </cell>
          <cell r="P1325">
            <v>68.8</v>
          </cell>
        </row>
        <row r="1326">
          <cell r="C1326" t="str">
            <v>Treatment</v>
          </cell>
          <cell r="H1326">
            <v>1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P1326">
            <v>66.599999999999994</v>
          </cell>
        </row>
        <row r="1327">
          <cell r="C1327" t="str">
            <v>Treatment</v>
          </cell>
          <cell r="H1327">
            <v>1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P1327">
            <v>49.7</v>
          </cell>
        </row>
        <row r="1328">
          <cell r="C1328" t="str">
            <v>Treatment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P1328">
            <v>67.900000000000006</v>
          </cell>
        </row>
        <row r="1329">
          <cell r="C1329" t="str">
            <v>Treatment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P1329">
            <v>66.900000000000006</v>
          </cell>
        </row>
        <row r="1330">
          <cell r="C1330" t="str">
            <v>Treatment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P1330">
            <v>46.1</v>
          </cell>
        </row>
        <row r="1331">
          <cell r="C1331" t="str">
            <v>Treatment</v>
          </cell>
          <cell r="H1331">
            <v>1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P1331">
            <v>85.6</v>
          </cell>
        </row>
        <row r="1332">
          <cell r="C1332" t="str">
            <v>Treatment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P1332">
            <v>39.6</v>
          </cell>
        </row>
        <row r="1333">
          <cell r="C1333" t="str">
            <v>Treatment</v>
          </cell>
          <cell r="H1333">
            <v>1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P1333">
            <v>52.5</v>
          </cell>
        </row>
        <row r="1334">
          <cell r="C1334" t="str">
            <v>Treatment</v>
          </cell>
          <cell r="H1334">
            <v>1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P1334">
            <v>73.5</v>
          </cell>
        </row>
        <row r="1335">
          <cell r="C1335" t="str">
            <v>Treatment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P1335">
            <v>62.5</v>
          </cell>
        </row>
        <row r="1336">
          <cell r="C1336" t="str">
            <v>Treatment</v>
          </cell>
          <cell r="H1336">
            <v>1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P1336">
            <v>76.900000000000006</v>
          </cell>
        </row>
        <row r="1337">
          <cell r="C1337" t="str">
            <v>Treatment</v>
          </cell>
          <cell r="H1337">
            <v>1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P1337">
            <v>51.4</v>
          </cell>
        </row>
        <row r="1338">
          <cell r="C1338" t="str">
            <v>Treatment</v>
          </cell>
          <cell r="H1338">
            <v>1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P1338">
            <v>59.3</v>
          </cell>
        </row>
        <row r="1339">
          <cell r="C1339" t="str">
            <v>Treatment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P1339">
            <v>74.900000000000006</v>
          </cell>
        </row>
        <row r="1340">
          <cell r="C1340" t="str">
            <v>Treatment</v>
          </cell>
          <cell r="H1340">
            <v>1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P1340">
            <v>67</v>
          </cell>
        </row>
        <row r="1341">
          <cell r="C1341" t="str">
            <v>Treatment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P1341">
            <v>63.6</v>
          </cell>
        </row>
        <row r="1342">
          <cell r="C1342" t="str">
            <v>Treatment</v>
          </cell>
          <cell r="H1342">
            <v>1</v>
          </cell>
          <cell r="I1342">
            <v>1</v>
          </cell>
          <cell r="J1342">
            <v>0</v>
          </cell>
          <cell r="K1342">
            <v>0</v>
          </cell>
          <cell r="L1342">
            <v>0</v>
          </cell>
          <cell r="M1342">
            <v>1</v>
          </cell>
          <cell r="N1342">
            <v>0</v>
          </cell>
          <cell r="P1342">
            <v>58.4</v>
          </cell>
        </row>
        <row r="1343">
          <cell r="C1343" t="str">
            <v>Treatment</v>
          </cell>
          <cell r="H1343">
            <v>1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P1343">
            <v>36.799999999999997</v>
          </cell>
        </row>
        <row r="1344">
          <cell r="C1344" t="str">
            <v>Treatment</v>
          </cell>
          <cell r="H1344">
            <v>1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P1344">
            <v>71.599999999999994</v>
          </cell>
        </row>
        <row r="1345">
          <cell r="C1345" t="str">
            <v>Treatment</v>
          </cell>
          <cell r="H1345">
            <v>1</v>
          </cell>
          <cell r="I1345">
            <v>1</v>
          </cell>
          <cell r="J1345">
            <v>0</v>
          </cell>
          <cell r="K1345">
            <v>0</v>
          </cell>
          <cell r="L1345">
            <v>0</v>
          </cell>
          <cell r="M1345">
            <v>1</v>
          </cell>
          <cell r="N1345">
            <v>0</v>
          </cell>
          <cell r="P1345">
            <v>79.7</v>
          </cell>
        </row>
        <row r="1346">
          <cell r="C1346" t="str">
            <v>Treatment</v>
          </cell>
          <cell r="H1346">
            <v>1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1</v>
          </cell>
          <cell r="N1346">
            <v>0</v>
          </cell>
          <cell r="P1346">
            <v>56.5</v>
          </cell>
        </row>
        <row r="1347">
          <cell r="C1347" t="str">
            <v>Treatment</v>
          </cell>
          <cell r="H1347">
            <v>1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P1347">
            <v>44.7</v>
          </cell>
        </row>
        <row r="1348">
          <cell r="C1348" t="str">
            <v>Treatment</v>
          </cell>
          <cell r="H1348">
            <v>1</v>
          </cell>
          <cell r="I1348">
            <v>1</v>
          </cell>
          <cell r="J1348">
            <v>1</v>
          </cell>
          <cell r="K1348">
            <v>0</v>
          </cell>
          <cell r="L1348">
            <v>0</v>
          </cell>
          <cell r="M1348">
            <v>1</v>
          </cell>
          <cell r="N1348">
            <v>0</v>
          </cell>
          <cell r="P1348">
            <v>66</v>
          </cell>
        </row>
        <row r="1349">
          <cell r="C1349" t="str">
            <v>Treatment</v>
          </cell>
          <cell r="H1349">
            <v>1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P1349">
            <v>73</v>
          </cell>
        </row>
        <row r="1350">
          <cell r="C1350" t="str">
            <v>Treatment</v>
          </cell>
          <cell r="H1350">
            <v>1</v>
          </cell>
          <cell r="I1350">
            <v>1</v>
          </cell>
          <cell r="J1350">
            <v>1</v>
          </cell>
          <cell r="K1350">
            <v>0</v>
          </cell>
          <cell r="L1350">
            <v>0</v>
          </cell>
          <cell r="M1350">
            <v>1</v>
          </cell>
          <cell r="N1350">
            <v>0</v>
          </cell>
          <cell r="P1350">
            <v>72.5</v>
          </cell>
        </row>
        <row r="1351">
          <cell r="C1351" t="str">
            <v>Treatment</v>
          </cell>
          <cell r="H1351">
            <v>1</v>
          </cell>
          <cell r="I1351">
            <v>1</v>
          </cell>
          <cell r="J1351">
            <v>1</v>
          </cell>
          <cell r="K1351">
            <v>1</v>
          </cell>
          <cell r="L1351">
            <v>323.60000000000002</v>
          </cell>
          <cell r="M1351">
            <v>0</v>
          </cell>
          <cell r="N1351">
            <v>0</v>
          </cell>
          <cell r="O1351">
            <v>6</v>
          </cell>
          <cell r="P1351">
            <v>100</v>
          </cell>
        </row>
        <row r="1352">
          <cell r="C1352" t="str">
            <v>Treatment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1</v>
          </cell>
          <cell r="N1352">
            <v>0</v>
          </cell>
          <cell r="P1352">
            <v>90.5</v>
          </cell>
        </row>
        <row r="1353">
          <cell r="C1353" t="str">
            <v>Treatment</v>
          </cell>
          <cell r="H1353">
            <v>1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P1353">
            <v>70.2</v>
          </cell>
        </row>
        <row r="1354">
          <cell r="C1354" t="str">
            <v>Treatment</v>
          </cell>
          <cell r="H1354">
            <v>1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1</v>
          </cell>
          <cell r="N1354">
            <v>0</v>
          </cell>
          <cell r="P1354">
            <v>67.099999999999994</v>
          </cell>
        </row>
        <row r="1355">
          <cell r="C1355" t="str">
            <v>Treatment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P1355">
            <v>54.5</v>
          </cell>
        </row>
        <row r="1356">
          <cell r="C1356" t="str">
            <v>Treatment</v>
          </cell>
          <cell r="H1356">
            <v>1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P1356">
            <v>63.4</v>
          </cell>
        </row>
        <row r="1357">
          <cell r="C1357" t="str">
            <v>Treatment</v>
          </cell>
          <cell r="H1357">
            <v>1</v>
          </cell>
          <cell r="I1357">
            <v>1</v>
          </cell>
          <cell r="J1357">
            <v>1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P1357">
            <v>84.3</v>
          </cell>
        </row>
        <row r="1358">
          <cell r="C1358" t="str">
            <v>Treatment</v>
          </cell>
          <cell r="H1358">
            <v>1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</v>
          </cell>
          <cell r="N1358">
            <v>0</v>
          </cell>
          <cell r="P1358">
            <v>55</v>
          </cell>
        </row>
        <row r="1359">
          <cell r="C1359" t="str">
            <v>Treatment</v>
          </cell>
          <cell r="H1359">
            <v>1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P1359">
            <v>63.6</v>
          </cell>
        </row>
        <row r="1360">
          <cell r="C1360" t="str">
            <v>Treatment</v>
          </cell>
          <cell r="H1360">
            <v>1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P1360">
            <v>55.5</v>
          </cell>
        </row>
        <row r="1361">
          <cell r="C1361" t="str">
            <v>Treatment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P1361">
            <v>50.5</v>
          </cell>
        </row>
        <row r="1362">
          <cell r="C1362" t="str">
            <v>Treatment</v>
          </cell>
          <cell r="H1362">
            <v>1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P1362">
            <v>45.3</v>
          </cell>
        </row>
        <row r="1363">
          <cell r="C1363" t="str">
            <v>Treatment</v>
          </cell>
          <cell r="H1363">
            <v>1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P1363">
            <v>33.6</v>
          </cell>
        </row>
        <row r="1364">
          <cell r="C1364" t="str">
            <v>Treatment</v>
          </cell>
          <cell r="H1364">
            <v>1</v>
          </cell>
          <cell r="I1364">
            <v>1</v>
          </cell>
          <cell r="J1364">
            <v>1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P1364">
            <v>88.2</v>
          </cell>
        </row>
        <row r="1365">
          <cell r="C1365" t="str">
            <v>Treatment</v>
          </cell>
          <cell r="H1365">
            <v>1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P1365">
            <v>51.8</v>
          </cell>
        </row>
        <row r="1366">
          <cell r="C1366" t="str">
            <v>Treatment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P1366">
            <v>87.9</v>
          </cell>
        </row>
        <row r="1367">
          <cell r="C1367" t="str">
            <v>Treatment</v>
          </cell>
          <cell r="H1367">
            <v>1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2</v>
          </cell>
          <cell r="N1367">
            <v>0</v>
          </cell>
          <cell r="P1367">
            <v>70.5</v>
          </cell>
        </row>
        <row r="1368">
          <cell r="C1368" t="str">
            <v>Treatment</v>
          </cell>
          <cell r="H1368">
            <v>1</v>
          </cell>
          <cell r="I1368">
            <v>1</v>
          </cell>
          <cell r="J1368">
            <v>0</v>
          </cell>
          <cell r="K1368">
            <v>0</v>
          </cell>
          <cell r="L1368">
            <v>0</v>
          </cell>
          <cell r="M1368">
            <v>2</v>
          </cell>
          <cell r="N1368">
            <v>0</v>
          </cell>
          <cell r="P1368">
            <v>58.5</v>
          </cell>
        </row>
        <row r="1369">
          <cell r="C1369" t="str">
            <v>Treatment</v>
          </cell>
          <cell r="H1369">
            <v>1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P1369">
            <v>65.599999999999994</v>
          </cell>
        </row>
        <row r="1370">
          <cell r="C1370" t="str">
            <v>Treatment</v>
          </cell>
          <cell r="H1370">
            <v>1</v>
          </cell>
          <cell r="I1370">
            <v>1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P1370">
            <v>62.7</v>
          </cell>
        </row>
        <row r="1371">
          <cell r="C1371" t="str">
            <v>Treatment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1</v>
          </cell>
          <cell r="N1371">
            <v>0</v>
          </cell>
          <cell r="P1371">
            <v>50.9</v>
          </cell>
        </row>
        <row r="1372">
          <cell r="C1372" t="str">
            <v>Treatment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1</v>
          </cell>
          <cell r="N1372">
            <v>0</v>
          </cell>
          <cell r="P1372">
            <v>60.6</v>
          </cell>
        </row>
        <row r="1373">
          <cell r="C1373" t="str">
            <v>Treatment</v>
          </cell>
          <cell r="H1373">
            <v>1</v>
          </cell>
          <cell r="I1373">
            <v>1</v>
          </cell>
          <cell r="J1373">
            <v>1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P1373">
            <v>76.599999999999994</v>
          </cell>
        </row>
        <row r="1374">
          <cell r="C1374" t="str">
            <v>Treatment</v>
          </cell>
          <cell r="H1374">
            <v>1</v>
          </cell>
          <cell r="I1374">
            <v>1</v>
          </cell>
          <cell r="J1374">
            <v>1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P1374">
            <v>54.4</v>
          </cell>
        </row>
        <row r="1375">
          <cell r="C1375" t="str">
            <v>Treatment</v>
          </cell>
          <cell r="H1375">
            <v>1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P1375">
            <v>31.2</v>
          </cell>
        </row>
        <row r="1376">
          <cell r="C1376" t="str">
            <v>Treatment</v>
          </cell>
          <cell r="H1376">
            <v>1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P1376">
            <v>72.400000000000006</v>
          </cell>
        </row>
        <row r="1377">
          <cell r="C1377" t="str">
            <v>Treatment</v>
          </cell>
          <cell r="H1377">
            <v>1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P1377">
            <v>74.5</v>
          </cell>
        </row>
        <row r="1378">
          <cell r="C1378" t="str">
            <v>Treatment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P1378">
            <v>52.6</v>
          </cell>
        </row>
        <row r="1379">
          <cell r="C1379" t="str">
            <v>Treatment</v>
          </cell>
          <cell r="H1379">
            <v>1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P1379">
            <v>75.400000000000006</v>
          </cell>
        </row>
        <row r="1380">
          <cell r="C1380" t="str">
            <v>Treatment</v>
          </cell>
          <cell r="H1380">
            <v>1</v>
          </cell>
          <cell r="I1380">
            <v>1</v>
          </cell>
          <cell r="J1380">
            <v>1</v>
          </cell>
          <cell r="K1380">
            <v>1</v>
          </cell>
          <cell r="L1380">
            <v>751.33</v>
          </cell>
          <cell r="M1380">
            <v>0</v>
          </cell>
          <cell r="N1380">
            <v>0</v>
          </cell>
          <cell r="O1380">
            <v>9</v>
          </cell>
          <cell r="P1380">
            <v>34</v>
          </cell>
        </row>
        <row r="1381">
          <cell r="C1381" t="str">
            <v>Treatment</v>
          </cell>
          <cell r="H1381">
            <v>1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P1381">
            <v>67.099999999999994</v>
          </cell>
        </row>
        <row r="1382">
          <cell r="C1382" t="str">
            <v>Treatment</v>
          </cell>
          <cell r="H1382">
            <v>1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P1382">
            <v>37.299999999999997</v>
          </cell>
        </row>
        <row r="1383">
          <cell r="C1383" t="str">
            <v>Treatment</v>
          </cell>
          <cell r="H1383">
            <v>1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P1383">
            <v>54.7</v>
          </cell>
        </row>
        <row r="1384">
          <cell r="C1384" t="str">
            <v>Treatment</v>
          </cell>
          <cell r="H1384">
            <v>1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P1384">
            <v>51.8</v>
          </cell>
        </row>
        <row r="1385">
          <cell r="C1385" t="str">
            <v>Treatment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P1385">
            <v>49.2</v>
          </cell>
        </row>
        <row r="1386">
          <cell r="C1386" t="str">
            <v>Treatment</v>
          </cell>
          <cell r="H1386">
            <v>1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2</v>
          </cell>
          <cell r="N1386">
            <v>0</v>
          </cell>
          <cell r="P1386">
            <v>58.8</v>
          </cell>
        </row>
        <row r="1387">
          <cell r="C1387" t="str">
            <v>Treatment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1</v>
          </cell>
          <cell r="N1387">
            <v>0</v>
          </cell>
          <cell r="P1387">
            <v>59.1</v>
          </cell>
        </row>
        <row r="1388">
          <cell r="C1388" t="str">
            <v>Treatment</v>
          </cell>
          <cell r="H1388">
            <v>1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2</v>
          </cell>
          <cell r="N1388">
            <v>0</v>
          </cell>
          <cell r="P1388">
            <v>49.6</v>
          </cell>
        </row>
        <row r="1389">
          <cell r="C1389" t="str">
            <v>Treatment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P1389">
            <v>58.2</v>
          </cell>
        </row>
        <row r="1390">
          <cell r="C1390" t="str">
            <v>Treatment</v>
          </cell>
          <cell r="H1390">
            <v>1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P1390">
            <v>66.8</v>
          </cell>
        </row>
        <row r="1391">
          <cell r="C1391" t="str">
            <v>Treatment</v>
          </cell>
          <cell r="H1391">
            <v>1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3</v>
          </cell>
          <cell r="N1391">
            <v>0</v>
          </cell>
          <cell r="P1391">
            <v>58.3</v>
          </cell>
        </row>
        <row r="1392">
          <cell r="C1392" t="str">
            <v>Treatment</v>
          </cell>
          <cell r="H1392">
            <v>1</v>
          </cell>
          <cell r="I1392">
            <v>1</v>
          </cell>
          <cell r="J1392">
            <v>1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P1392">
            <v>38.5</v>
          </cell>
        </row>
        <row r="1393">
          <cell r="C1393" t="str">
            <v>Treatment</v>
          </cell>
          <cell r="H1393">
            <v>1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P1393">
            <v>76.900000000000006</v>
          </cell>
        </row>
        <row r="1394">
          <cell r="C1394" t="str">
            <v>Treatment</v>
          </cell>
          <cell r="H1394">
            <v>1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P1394">
            <v>54</v>
          </cell>
        </row>
        <row r="1395">
          <cell r="C1395" t="str">
            <v>Treatment</v>
          </cell>
          <cell r="H1395">
            <v>1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P1395">
            <v>70.599999999999994</v>
          </cell>
        </row>
        <row r="1396">
          <cell r="C1396" t="str">
            <v>Treatment</v>
          </cell>
          <cell r="H1396">
            <v>1</v>
          </cell>
          <cell r="I1396">
            <v>1</v>
          </cell>
          <cell r="J1396">
            <v>1</v>
          </cell>
          <cell r="K1396">
            <v>0</v>
          </cell>
          <cell r="L1396">
            <v>0</v>
          </cell>
          <cell r="M1396">
            <v>1</v>
          </cell>
          <cell r="N1396">
            <v>0</v>
          </cell>
          <cell r="P1396">
            <v>69.400000000000006</v>
          </cell>
        </row>
        <row r="1397">
          <cell r="C1397" t="str">
            <v>Treatment</v>
          </cell>
          <cell r="H1397">
            <v>1</v>
          </cell>
          <cell r="I1397">
            <v>1</v>
          </cell>
          <cell r="J1397">
            <v>1</v>
          </cell>
          <cell r="K1397">
            <v>1</v>
          </cell>
          <cell r="L1397">
            <v>1009.9</v>
          </cell>
          <cell r="M1397">
            <v>0</v>
          </cell>
          <cell r="N1397">
            <v>0</v>
          </cell>
          <cell r="O1397">
            <v>6</v>
          </cell>
          <cell r="P1397">
            <v>89.7</v>
          </cell>
        </row>
        <row r="1398">
          <cell r="C1398" t="str">
            <v>Treatment</v>
          </cell>
          <cell r="H1398">
            <v>1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P1398">
            <v>62.4</v>
          </cell>
        </row>
        <row r="1399">
          <cell r="C1399" t="str">
            <v>Treatment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P1399">
            <v>67.3</v>
          </cell>
        </row>
        <row r="1400">
          <cell r="C1400" t="str">
            <v>Treatment</v>
          </cell>
          <cell r="H1400">
            <v>1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P1400">
            <v>54.9</v>
          </cell>
        </row>
        <row r="1401">
          <cell r="C1401" t="str">
            <v>Treatment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P1401">
            <v>55.7</v>
          </cell>
        </row>
        <row r="1402">
          <cell r="C1402" t="str">
            <v>Treatment</v>
          </cell>
          <cell r="H1402">
            <v>1</v>
          </cell>
          <cell r="I1402">
            <v>1</v>
          </cell>
          <cell r="J1402">
            <v>1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P1402">
            <v>70.599999999999994</v>
          </cell>
        </row>
        <row r="1403">
          <cell r="C1403" t="str">
            <v>Control</v>
          </cell>
          <cell r="H1403">
            <v>1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P1403">
            <v>60.9</v>
          </cell>
        </row>
        <row r="1404">
          <cell r="C1404" t="str">
            <v>Treatment</v>
          </cell>
          <cell r="H1404">
            <v>1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P1404">
            <v>33.6</v>
          </cell>
        </row>
        <row r="1405">
          <cell r="C1405" t="str">
            <v>Control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P1405">
            <v>68</v>
          </cell>
        </row>
        <row r="1406">
          <cell r="C1406" t="str">
            <v>Treatment</v>
          </cell>
          <cell r="H1406">
            <v>1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P1406">
            <v>62</v>
          </cell>
        </row>
        <row r="1407">
          <cell r="C1407" t="str">
            <v>Treatment</v>
          </cell>
          <cell r="H1407">
            <v>1</v>
          </cell>
          <cell r="I1407">
            <v>1</v>
          </cell>
          <cell r="J1407">
            <v>1</v>
          </cell>
          <cell r="K1407">
            <v>0</v>
          </cell>
          <cell r="L1407">
            <v>0</v>
          </cell>
          <cell r="M1407">
            <v>1</v>
          </cell>
          <cell r="N1407">
            <v>0</v>
          </cell>
          <cell r="P1407">
            <v>72.5</v>
          </cell>
        </row>
        <row r="1408">
          <cell r="C1408" t="str">
            <v>Treatment</v>
          </cell>
          <cell r="H1408">
            <v>1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P1408">
            <v>70.3</v>
          </cell>
        </row>
        <row r="1409">
          <cell r="C1409" t="str">
            <v>Control</v>
          </cell>
          <cell r="H1409">
            <v>1</v>
          </cell>
          <cell r="I1409">
            <v>1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P1409">
            <v>39.9</v>
          </cell>
        </row>
      </sheetData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Richa/BITSOM/Assignments'/Assignment%206/Part%202/richadeshmukh_ba_2511416_part2_kpi_experiment/analysis/experiment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das" refreshedDate="46200.811394675926" createdVersion="8" refreshedVersion="8" minRefreshableVersion="3" recordCount="1408" xr:uid="{4184BC92-08BD-4923-8F4D-B65BCE09B54E}">
  <cacheSource type="worksheet">
    <worksheetSource ref="A1:S1409" sheet="experiment_data" r:id="rId2"/>
  </cacheSource>
  <cacheFields count="19">
    <cacheField name="user_id" numFmtId="0">
      <sharedItems/>
    </cacheField>
    <cacheField name="signup_date" numFmtId="168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emiMixedTypes="0" containsString="0" containsNumber="1" minValue="6.2" maxValue="100"/>
    </cacheField>
    <cacheField name="missing_value_handling" numFmtId="0">
      <sharedItems containsString="0" containsBlank="1" containsNumber="1" minValue="0" maxValue="1336"/>
    </cacheField>
    <cacheField name="duplicate_values" numFmtId="0">
      <sharedItems/>
    </cacheField>
    <cacheField name="helper_columns_for_binary_column_valid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x v="0"/>
    <n v="0"/>
    <n v="0"/>
    <n v="0"/>
    <n v="0"/>
    <n v="0"/>
    <n v="0"/>
    <n v="0"/>
    <m/>
    <n v="45.7"/>
    <n v="0"/>
    <s v="Unique"/>
    <s v="Valid"/>
  </r>
  <r>
    <s v="USR-100002"/>
    <d v="2025-03-08T00:00:00"/>
    <x v="0"/>
    <x v="1"/>
    <x v="1"/>
    <x v="1"/>
    <x v="1"/>
    <n v="1"/>
    <n v="0"/>
    <n v="0"/>
    <n v="0"/>
    <n v="0"/>
    <n v="0"/>
    <n v="0"/>
    <m/>
    <n v="48.6"/>
    <n v="0"/>
    <s v="Unique"/>
    <s v="Valid"/>
  </r>
  <r>
    <s v="USR-100003"/>
    <d v="2025-04-24T00:00:00"/>
    <x v="0"/>
    <x v="2"/>
    <x v="1"/>
    <x v="2"/>
    <x v="2"/>
    <n v="1"/>
    <n v="0"/>
    <n v="0"/>
    <n v="0"/>
    <n v="0"/>
    <n v="1"/>
    <n v="0"/>
    <m/>
    <n v="35.4"/>
    <n v="0"/>
    <s v="Unique"/>
    <s v="Valid"/>
  </r>
  <r>
    <s v="USR-100004"/>
    <d v="2025-05-04T00:00:00"/>
    <x v="0"/>
    <x v="3"/>
    <x v="1"/>
    <x v="0"/>
    <x v="0"/>
    <n v="1"/>
    <n v="0"/>
    <n v="0"/>
    <n v="0"/>
    <n v="0"/>
    <n v="0"/>
    <n v="0"/>
    <m/>
    <n v="64.599999999999994"/>
    <n v="0"/>
    <s v="Unique"/>
    <s v="Valid"/>
  </r>
  <r>
    <s v="USR-100005"/>
    <d v="2025-02-12T00:00:00"/>
    <x v="0"/>
    <x v="0"/>
    <x v="2"/>
    <x v="1"/>
    <x v="1"/>
    <n v="0"/>
    <n v="0"/>
    <n v="0"/>
    <n v="0"/>
    <n v="0"/>
    <n v="0"/>
    <n v="0"/>
    <m/>
    <n v="66.599999999999994"/>
    <n v="0"/>
    <s v="Unique"/>
    <s v="Valid"/>
  </r>
  <r>
    <s v="USR-100006"/>
    <d v="2025-01-28T00:00:00"/>
    <x v="0"/>
    <x v="2"/>
    <x v="1"/>
    <x v="1"/>
    <x v="2"/>
    <n v="1"/>
    <n v="0"/>
    <n v="0"/>
    <n v="0"/>
    <n v="0"/>
    <n v="0"/>
    <n v="0"/>
    <m/>
    <n v="40.799999999999997"/>
    <n v="0"/>
    <s v="Unique"/>
    <s v="Valid"/>
  </r>
  <r>
    <s v="USR-100007"/>
    <d v="2025-04-08T00:00:00"/>
    <x v="0"/>
    <x v="2"/>
    <x v="1"/>
    <x v="2"/>
    <x v="0"/>
    <n v="1"/>
    <n v="1"/>
    <n v="0"/>
    <n v="0"/>
    <n v="0"/>
    <n v="0"/>
    <n v="0"/>
    <m/>
    <n v="57.1"/>
    <n v="0"/>
    <s v="Unique"/>
    <s v="Valid"/>
  </r>
  <r>
    <s v="USR-100008"/>
    <d v="2025-05-17T00:00:00"/>
    <x v="0"/>
    <x v="3"/>
    <x v="1"/>
    <x v="2"/>
    <x v="1"/>
    <n v="0"/>
    <n v="0"/>
    <n v="0"/>
    <n v="0"/>
    <n v="0"/>
    <n v="0"/>
    <n v="0"/>
    <m/>
    <n v="36.4"/>
    <n v="0"/>
    <s v="Unique"/>
    <s v="Valid"/>
  </r>
  <r>
    <s v="USR-100009"/>
    <d v="2025-02-23T00:00:00"/>
    <x v="0"/>
    <x v="3"/>
    <x v="2"/>
    <x v="3"/>
    <x v="0"/>
    <n v="0"/>
    <n v="0"/>
    <n v="0"/>
    <n v="0"/>
    <n v="0"/>
    <n v="0"/>
    <n v="0"/>
    <m/>
    <n v="55.4"/>
    <n v="0"/>
    <s v="Unique"/>
    <s v="Valid"/>
  </r>
  <r>
    <s v="USR-100010"/>
    <d v="2025-05-29T00:00:00"/>
    <x v="0"/>
    <x v="1"/>
    <x v="0"/>
    <x v="4"/>
    <x v="1"/>
    <n v="1"/>
    <n v="0"/>
    <n v="0"/>
    <n v="0"/>
    <n v="0"/>
    <n v="0"/>
    <n v="0"/>
    <m/>
    <n v="57.3"/>
    <n v="0"/>
    <s v="Unique"/>
    <s v="Valid"/>
  </r>
  <r>
    <s v="USR-100011"/>
    <d v="2025-04-30T00:00:00"/>
    <x v="0"/>
    <x v="2"/>
    <x v="1"/>
    <x v="2"/>
    <x v="0"/>
    <n v="1"/>
    <n v="1"/>
    <n v="1"/>
    <n v="0"/>
    <n v="0"/>
    <n v="0"/>
    <n v="0"/>
    <m/>
    <n v="63.6"/>
    <n v="0"/>
    <s v="Unique"/>
    <s v="Valid"/>
  </r>
  <r>
    <s v="USR-100012"/>
    <d v="2025-03-16T00:00:00"/>
    <x v="0"/>
    <x v="2"/>
    <x v="1"/>
    <x v="4"/>
    <x v="2"/>
    <n v="1"/>
    <n v="1"/>
    <n v="1"/>
    <n v="0"/>
    <n v="0"/>
    <n v="1"/>
    <n v="0"/>
    <m/>
    <n v="80.400000000000006"/>
    <n v="0"/>
    <s v="Unique"/>
    <s v="Valid"/>
  </r>
  <r>
    <s v="USR-100013"/>
    <d v="2025-02-07T00:00:00"/>
    <x v="0"/>
    <x v="3"/>
    <x v="0"/>
    <x v="0"/>
    <x v="0"/>
    <n v="1"/>
    <n v="0"/>
    <n v="0"/>
    <n v="0"/>
    <n v="0"/>
    <n v="0"/>
    <n v="0"/>
    <m/>
    <n v="62.4"/>
    <n v="0"/>
    <s v="Unique"/>
    <s v="Valid"/>
  </r>
  <r>
    <s v="USR-100014"/>
    <d v="2025-03-02T00:00:00"/>
    <x v="0"/>
    <x v="1"/>
    <x v="1"/>
    <x v="4"/>
    <x v="0"/>
    <n v="1"/>
    <n v="0"/>
    <n v="0"/>
    <n v="0"/>
    <n v="0"/>
    <n v="0"/>
    <n v="0"/>
    <m/>
    <n v="82.4"/>
    <n v="0"/>
    <s v="Unique"/>
    <s v="Valid"/>
  </r>
  <r>
    <s v="USR-100015"/>
    <d v="2025-05-30T00:00:00"/>
    <x v="0"/>
    <x v="3"/>
    <x v="1"/>
    <x v="1"/>
    <x v="0"/>
    <n v="0"/>
    <n v="0"/>
    <n v="0"/>
    <n v="0"/>
    <n v="0"/>
    <n v="0"/>
    <n v="0"/>
    <m/>
    <n v="61.2"/>
    <n v="1336"/>
    <s v="Unique"/>
    <s v="Valid"/>
  </r>
  <r>
    <s v="USR-100016"/>
    <d v="2025-03-25T00:00:00"/>
    <x v="0"/>
    <x v="3"/>
    <x v="1"/>
    <x v="4"/>
    <x v="0"/>
    <n v="1"/>
    <n v="0"/>
    <n v="0"/>
    <n v="0"/>
    <n v="0"/>
    <n v="0"/>
    <n v="0"/>
    <m/>
    <n v="68.900000000000006"/>
    <n v="0"/>
    <s v="Unique"/>
    <s v="Valid"/>
  </r>
  <r>
    <s v="USR-100017"/>
    <d v="2025-03-27T00:00:00"/>
    <x v="0"/>
    <x v="2"/>
    <x v="0"/>
    <x v="2"/>
    <x v="1"/>
    <n v="1"/>
    <n v="1"/>
    <n v="1"/>
    <n v="0"/>
    <n v="0"/>
    <n v="0"/>
    <n v="0"/>
    <m/>
    <n v="71.900000000000006"/>
    <m/>
    <s v="Unique"/>
    <s v="Valid"/>
  </r>
  <r>
    <s v="USR-100018"/>
    <d v="2025-05-28T00:00:00"/>
    <x v="0"/>
    <x v="3"/>
    <x v="0"/>
    <x v="2"/>
    <x v="1"/>
    <n v="0"/>
    <n v="0"/>
    <n v="0"/>
    <n v="0"/>
    <n v="0"/>
    <n v="0"/>
    <n v="0"/>
    <m/>
    <n v="50.5"/>
    <n v="60.021434659090907"/>
    <s v="Unique"/>
    <s v="Valid"/>
  </r>
  <r>
    <s v="USR-100019"/>
    <d v="2025-02-15T00:00:00"/>
    <x v="0"/>
    <x v="0"/>
    <x v="0"/>
    <x v="2"/>
    <x v="0"/>
    <n v="0"/>
    <n v="0"/>
    <n v="0"/>
    <n v="0"/>
    <n v="0"/>
    <n v="0"/>
    <n v="0"/>
    <m/>
    <n v="49.3"/>
    <m/>
    <s v="Unique"/>
    <s v="Valid"/>
  </r>
  <r>
    <s v="USR-100020"/>
    <d v="2025-05-05T00:00:00"/>
    <x v="0"/>
    <x v="1"/>
    <x v="0"/>
    <x v="1"/>
    <x v="0"/>
    <n v="0"/>
    <n v="0"/>
    <n v="0"/>
    <n v="0"/>
    <n v="0"/>
    <n v="2"/>
    <n v="0"/>
    <m/>
    <n v="60.9"/>
    <m/>
    <s v="Unique"/>
    <s v="Valid"/>
  </r>
  <r>
    <s v="USR-100021"/>
    <d v="2025-04-13T00:00:00"/>
    <x v="0"/>
    <x v="2"/>
    <x v="1"/>
    <x v="4"/>
    <x v="1"/>
    <n v="1"/>
    <n v="0"/>
    <n v="0"/>
    <n v="0"/>
    <n v="0"/>
    <n v="0"/>
    <n v="0"/>
    <m/>
    <n v="62.7"/>
    <m/>
    <s v="Unique"/>
    <s v="Valid"/>
  </r>
  <r>
    <s v="USR-100022"/>
    <d v="2025-05-07T00:00:00"/>
    <x v="0"/>
    <x v="0"/>
    <x v="0"/>
    <x v="2"/>
    <x v="1"/>
    <n v="0"/>
    <n v="0"/>
    <n v="0"/>
    <n v="0"/>
    <n v="0"/>
    <n v="0"/>
    <n v="0"/>
    <m/>
    <n v="52.7"/>
    <m/>
    <s v="Unique"/>
    <s v="Valid"/>
  </r>
  <r>
    <s v="USR-100023"/>
    <d v="2025-05-25T00:00:00"/>
    <x v="0"/>
    <x v="0"/>
    <x v="0"/>
    <x v="1"/>
    <x v="1"/>
    <n v="0"/>
    <n v="0"/>
    <n v="0"/>
    <n v="0"/>
    <n v="0"/>
    <n v="0"/>
    <n v="0"/>
    <m/>
    <n v="54"/>
    <m/>
    <s v="Unique"/>
    <s v="Valid"/>
  </r>
  <r>
    <s v="USR-100024"/>
    <d v="2025-04-01T00:00:00"/>
    <x v="0"/>
    <x v="2"/>
    <x v="1"/>
    <x v="2"/>
    <x v="2"/>
    <n v="1"/>
    <n v="1"/>
    <n v="0"/>
    <n v="0"/>
    <n v="0"/>
    <n v="0"/>
    <n v="0"/>
    <m/>
    <n v="51.6"/>
    <m/>
    <s v="Unique"/>
    <s v="Valid"/>
  </r>
  <r>
    <s v="USR-100025"/>
    <d v="2025-02-22T00:00:00"/>
    <x v="0"/>
    <x v="0"/>
    <x v="1"/>
    <x v="2"/>
    <x v="2"/>
    <n v="0"/>
    <n v="0"/>
    <n v="0"/>
    <n v="0"/>
    <n v="0"/>
    <n v="2"/>
    <n v="0"/>
    <m/>
    <n v="66.900000000000006"/>
    <m/>
    <s v="Unique"/>
    <s v="Valid"/>
  </r>
  <r>
    <s v="USR-100026"/>
    <d v="2025-03-24T00:00:00"/>
    <x v="0"/>
    <x v="2"/>
    <x v="1"/>
    <x v="1"/>
    <x v="0"/>
    <n v="0"/>
    <n v="0"/>
    <n v="0"/>
    <n v="0"/>
    <n v="0"/>
    <n v="0"/>
    <n v="0"/>
    <m/>
    <n v="67.400000000000006"/>
    <m/>
    <s v="Unique"/>
    <s v="Valid"/>
  </r>
  <r>
    <s v="USR-100027"/>
    <d v="2025-02-13T00:00:00"/>
    <x v="0"/>
    <x v="0"/>
    <x v="1"/>
    <x v="1"/>
    <x v="1"/>
    <n v="0"/>
    <n v="0"/>
    <n v="0"/>
    <n v="0"/>
    <n v="0"/>
    <n v="0"/>
    <n v="0"/>
    <m/>
    <n v="58.8"/>
    <m/>
    <s v="Unique"/>
    <s v="Valid"/>
  </r>
  <r>
    <s v="USR-100028"/>
    <d v="2025-05-30T00:00:00"/>
    <x v="0"/>
    <x v="3"/>
    <x v="1"/>
    <x v="1"/>
    <x v="1"/>
    <n v="1"/>
    <n v="0"/>
    <n v="0"/>
    <n v="0"/>
    <n v="0"/>
    <n v="0"/>
    <n v="0"/>
    <m/>
    <n v="73.8"/>
    <m/>
    <s v="Unique"/>
    <s v="Valid"/>
  </r>
  <r>
    <s v="USR-100029"/>
    <d v="2025-01-20T00:00:00"/>
    <x v="0"/>
    <x v="2"/>
    <x v="2"/>
    <x v="1"/>
    <x v="0"/>
    <n v="0"/>
    <n v="0"/>
    <n v="0"/>
    <n v="0"/>
    <n v="0"/>
    <n v="0"/>
    <n v="0"/>
    <m/>
    <n v="60.1"/>
    <m/>
    <s v="Unique"/>
    <s v="Valid"/>
  </r>
  <r>
    <s v="USR-100030"/>
    <d v="2025-05-19T00:00:00"/>
    <x v="0"/>
    <x v="2"/>
    <x v="1"/>
    <x v="4"/>
    <x v="0"/>
    <n v="1"/>
    <n v="1"/>
    <n v="1"/>
    <n v="0"/>
    <n v="0"/>
    <n v="0"/>
    <n v="0"/>
    <m/>
    <n v="41"/>
    <m/>
    <s v="Unique"/>
    <s v="Valid"/>
  </r>
  <r>
    <s v="USR-100031"/>
    <d v="2025-02-18T00:00:00"/>
    <x v="0"/>
    <x v="3"/>
    <x v="1"/>
    <x v="1"/>
    <x v="0"/>
    <n v="1"/>
    <n v="0"/>
    <n v="0"/>
    <n v="0"/>
    <n v="0"/>
    <n v="0"/>
    <n v="0"/>
    <m/>
    <n v="80.3"/>
    <m/>
    <s v="Unique"/>
    <s v="Valid"/>
  </r>
  <r>
    <s v="USR-100032"/>
    <d v="2025-02-13T00:00:00"/>
    <x v="0"/>
    <x v="2"/>
    <x v="1"/>
    <x v="1"/>
    <x v="1"/>
    <n v="0"/>
    <n v="0"/>
    <n v="0"/>
    <n v="0"/>
    <n v="0"/>
    <n v="0"/>
    <n v="0"/>
    <m/>
    <n v="67.599999999999994"/>
    <m/>
    <s v="Unique"/>
    <s v="Valid"/>
  </r>
  <r>
    <s v="USR-100033"/>
    <d v="2025-03-08T00:00:00"/>
    <x v="0"/>
    <x v="2"/>
    <x v="0"/>
    <x v="3"/>
    <x v="2"/>
    <n v="0"/>
    <n v="0"/>
    <n v="0"/>
    <n v="0"/>
    <n v="0"/>
    <n v="0"/>
    <n v="0"/>
    <m/>
    <n v="64"/>
    <m/>
    <s v="Unique"/>
    <s v="Valid"/>
  </r>
  <r>
    <s v="USR-100034"/>
    <d v="2025-01-11T00:00:00"/>
    <x v="0"/>
    <x v="0"/>
    <x v="1"/>
    <x v="2"/>
    <x v="1"/>
    <n v="1"/>
    <n v="1"/>
    <n v="0"/>
    <n v="0"/>
    <n v="0"/>
    <n v="0"/>
    <n v="0"/>
    <m/>
    <n v="27.2"/>
    <m/>
    <s v="Unique"/>
    <s v="Valid"/>
  </r>
  <r>
    <s v="USR-100035"/>
    <d v="2025-02-12T00:00:00"/>
    <x v="0"/>
    <x v="0"/>
    <x v="0"/>
    <x v="1"/>
    <x v="1"/>
    <n v="1"/>
    <n v="0"/>
    <n v="0"/>
    <n v="0"/>
    <n v="0"/>
    <n v="0"/>
    <n v="0"/>
    <m/>
    <n v="85.4"/>
    <m/>
    <s v="Unique"/>
    <s v="Valid"/>
  </r>
  <r>
    <s v="USR-100036"/>
    <d v="2025-04-13T00:00:00"/>
    <x v="0"/>
    <x v="2"/>
    <x v="0"/>
    <x v="1"/>
    <x v="0"/>
    <n v="1"/>
    <n v="0"/>
    <n v="0"/>
    <n v="0"/>
    <n v="0"/>
    <n v="0"/>
    <n v="0"/>
    <m/>
    <n v="75.900000000000006"/>
    <m/>
    <s v="Unique"/>
    <s v="Valid"/>
  </r>
  <r>
    <s v="USR-100037"/>
    <d v="2025-05-09T00:00:00"/>
    <x v="0"/>
    <x v="2"/>
    <x v="1"/>
    <x v="1"/>
    <x v="2"/>
    <n v="1"/>
    <n v="0"/>
    <n v="0"/>
    <n v="0"/>
    <n v="0"/>
    <n v="1"/>
    <n v="0"/>
    <m/>
    <n v="34.799999999999997"/>
    <m/>
    <s v="Unique"/>
    <s v="Valid"/>
  </r>
  <r>
    <s v="USR-100038"/>
    <d v="2025-01-20T00:00:00"/>
    <x v="0"/>
    <x v="2"/>
    <x v="1"/>
    <x v="1"/>
    <x v="1"/>
    <n v="1"/>
    <n v="1"/>
    <n v="1"/>
    <n v="0"/>
    <n v="0"/>
    <n v="3"/>
    <n v="0"/>
    <m/>
    <n v="48.9"/>
    <m/>
    <s v="Unique"/>
    <s v="Valid"/>
  </r>
  <r>
    <s v="USR-100039"/>
    <d v="2025-05-13T00:00:00"/>
    <x v="0"/>
    <x v="2"/>
    <x v="1"/>
    <x v="0"/>
    <x v="2"/>
    <n v="1"/>
    <n v="0"/>
    <n v="0"/>
    <n v="0"/>
    <n v="0"/>
    <n v="0"/>
    <n v="0"/>
    <m/>
    <n v="41.5"/>
    <m/>
    <s v="Unique"/>
    <s v="Valid"/>
  </r>
  <r>
    <s v="USR-100040"/>
    <d v="2025-04-07T00:00:00"/>
    <x v="0"/>
    <x v="0"/>
    <x v="0"/>
    <x v="1"/>
    <x v="0"/>
    <n v="1"/>
    <n v="0"/>
    <n v="0"/>
    <n v="0"/>
    <n v="0"/>
    <n v="0"/>
    <n v="0"/>
    <m/>
    <n v="51.5"/>
    <m/>
    <s v="Unique"/>
    <s v="Valid"/>
  </r>
  <r>
    <s v="USR-100041"/>
    <d v="2025-03-31T00:00:00"/>
    <x v="0"/>
    <x v="0"/>
    <x v="0"/>
    <x v="1"/>
    <x v="1"/>
    <n v="0"/>
    <n v="0"/>
    <n v="0"/>
    <n v="0"/>
    <n v="0"/>
    <n v="0"/>
    <n v="0"/>
    <m/>
    <n v="53.2"/>
    <m/>
    <s v="Unique"/>
    <s v="Valid"/>
  </r>
  <r>
    <s v="USR-100042"/>
    <d v="2025-01-25T00:00:00"/>
    <x v="0"/>
    <x v="2"/>
    <x v="1"/>
    <x v="0"/>
    <x v="2"/>
    <n v="0"/>
    <n v="0"/>
    <n v="0"/>
    <n v="0"/>
    <n v="0"/>
    <n v="0"/>
    <n v="0"/>
    <m/>
    <n v="55.6"/>
    <m/>
    <s v="Unique"/>
    <s v="Valid"/>
  </r>
  <r>
    <s v="USR-100043"/>
    <d v="2025-02-14T00:00:00"/>
    <x v="0"/>
    <x v="3"/>
    <x v="0"/>
    <x v="1"/>
    <x v="1"/>
    <n v="0"/>
    <n v="0"/>
    <n v="0"/>
    <n v="0"/>
    <n v="0"/>
    <n v="0"/>
    <n v="0"/>
    <m/>
    <n v="73"/>
    <m/>
    <s v="Unique"/>
    <s v="Valid"/>
  </r>
  <r>
    <s v="USR-100044"/>
    <d v="2025-02-27T00:00:00"/>
    <x v="0"/>
    <x v="2"/>
    <x v="1"/>
    <x v="0"/>
    <x v="1"/>
    <n v="1"/>
    <n v="0"/>
    <n v="0"/>
    <n v="0"/>
    <n v="0"/>
    <n v="0"/>
    <n v="0"/>
    <m/>
    <n v="65"/>
    <m/>
    <s v="Unique"/>
    <s v="Valid"/>
  </r>
  <r>
    <s v="USR-100045"/>
    <d v="2025-03-28T00:00:00"/>
    <x v="0"/>
    <x v="2"/>
    <x v="1"/>
    <x v="4"/>
    <x v="1"/>
    <n v="1"/>
    <n v="0"/>
    <n v="0"/>
    <n v="0"/>
    <n v="0"/>
    <n v="4"/>
    <n v="0"/>
    <m/>
    <n v="56.3"/>
    <m/>
    <s v="Unique"/>
    <s v="Valid"/>
  </r>
  <r>
    <s v="USR-100046"/>
    <d v="2025-05-25T00:00:00"/>
    <x v="0"/>
    <x v="2"/>
    <x v="1"/>
    <x v="3"/>
    <x v="2"/>
    <n v="1"/>
    <n v="0"/>
    <n v="0"/>
    <n v="0"/>
    <n v="0"/>
    <n v="0"/>
    <n v="0"/>
    <m/>
    <n v="62.4"/>
    <m/>
    <s v="Unique"/>
    <s v="Valid"/>
  </r>
  <r>
    <s v="USR-100047"/>
    <d v="2025-05-05T00:00:00"/>
    <x v="0"/>
    <x v="1"/>
    <x v="0"/>
    <x v="1"/>
    <x v="1"/>
    <n v="1"/>
    <n v="1"/>
    <n v="1"/>
    <n v="0"/>
    <n v="0"/>
    <n v="0"/>
    <n v="0"/>
    <m/>
    <n v="58.1"/>
    <m/>
    <s v="Unique"/>
    <s v="Valid"/>
  </r>
  <r>
    <s v="USR-100048"/>
    <d v="2025-05-16T00:00:00"/>
    <x v="0"/>
    <x v="0"/>
    <x v="1"/>
    <x v="1"/>
    <x v="1"/>
    <n v="1"/>
    <n v="1"/>
    <n v="1"/>
    <n v="0"/>
    <n v="0"/>
    <n v="0"/>
    <n v="0"/>
    <m/>
    <n v="80.8"/>
    <m/>
    <s v="Unique"/>
    <s v="Valid"/>
  </r>
  <r>
    <s v="USR-100049"/>
    <d v="2025-01-08T00:00:00"/>
    <x v="0"/>
    <x v="0"/>
    <x v="1"/>
    <x v="4"/>
    <x v="1"/>
    <n v="1"/>
    <n v="1"/>
    <n v="0"/>
    <n v="0"/>
    <n v="0"/>
    <n v="0"/>
    <n v="0"/>
    <m/>
    <n v="42.9"/>
    <m/>
    <s v="Unique"/>
    <s v="Valid"/>
  </r>
  <r>
    <s v="USR-100050"/>
    <d v="2025-01-06T00:00:00"/>
    <x v="0"/>
    <x v="1"/>
    <x v="0"/>
    <x v="2"/>
    <x v="1"/>
    <n v="1"/>
    <n v="0"/>
    <n v="0"/>
    <n v="0"/>
    <n v="0"/>
    <n v="0"/>
    <n v="0"/>
    <m/>
    <n v="52.7"/>
    <m/>
    <s v="Unique"/>
    <s v="Valid"/>
  </r>
  <r>
    <s v="USR-100051"/>
    <d v="2025-01-12T00:00:00"/>
    <x v="0"/>
    <x v="0"/>
    <x v="1"/>
    <x v="4"/>
    <x v="0"/>
    <n v="0"/>
    <n v="0"/>
    <n v="0"/>
    <n v="0"/>
    <n v="0"/>
    <n v="0"/>
    <n v="0"/>
    <m/>
    <n v="46.9"/>
    <m/>
    <s v="Unique"/>
    <s v="Valid"/>
  </r>
  <r>
    <s v="USR-100052"/>
    <d v="2025-02-14T00:00:00"/>
    <x v="0"/>
    <x v="2"/>
    <x v="0"/>
    <x v="0"/>
    <x v="2"/>
    <n v="1"/>
    <n v="0"/>
    <n v="0"/>
    <n v="0"/>
    <n v="0"/>
    <n v="0"/>
    <n v="0"/>
    <m/>
    <n v="63"/>
    <m/>
    <s v="Unique"/>
    <s v="Valid"/>
  </r>
  <r>
    <s v="USR-100053"/>
    <d v="2025-03-10T00:00:00"/>
    <x v="0"/>
    <x v="3"/>
    <x v="2"/>
    <x v="1"/>
    <x v="1"/>
    <n v="0"/>
    <n v="0"/>
    <n v="0"/>
    <n v="0"/>
    <n v="0"/>
    <n v="0"/>
    <n v="0"/>
    <m/>
    <n v="53.6"/>
    <m/>
    <s v="Unique"/>
    <s v="Valid"/>
  </r>
  <r>
    <s v="USR-100054"/>
    <d v="2025-04-20T00:00:00"/>
    <x v="0"/>
    <x v="1"/>
    <x v="0"/>
    <x v="1"/>
    <x v="0"/>
    <n v="0"/>
    <n v="0"/>
    <n v="0"/>
    <n v="0"/>
    <n v="0"/>
    <n v="0"/>
    <n v="0"/>
    <m/>
    <n v="49.6"/>
    <m/>
    <s v="Unique"/>
    <s v="Valid"/>
  </r>
  <r>
    <s v="USR-100055"/>
    <d v="2025-02-19T00:00:00"/>
    <x v="0"/>
    <x v="3"/>
    <x v="1"/>
    <x v="1"/>
    <x v="1"/>
    <n v="0"/>
    <n v="0"/>
    <n v="0"/>
    <n v="0"/>
    <n v="0"/>
    <n v="0"/>
    <n v="0"/>
    <m/>
    <n v="54"/>
    <m/>
    <s v="Unique"/>
    <s v="Valid"/>
  </r>
  <r>
    <s v="USR-100056"/>
    <d v="2025-05-17T00:00:00"/>
    <x v="0"/>
    <x v="3"/>
    <x v="1"/>
    <x v="4"/>
    <x v="0"/>
    <n v="1"/>
    <n v="0"/>
    <n v="0"/>
    <n v="0"/>
    <n v="0"/>
    <n v="2"/>
    <n v="0"/>
    <m/>
    <n v="50"/>
    <m/>
    <s v="Unique"/>
    <s v="Valid"/>
  </r>
  <r>
    <s v="USR-100057"/>
    <d v="2025-04-01T00:00:00"/>
    <x v="0"/>
    <x v="2"/>
    <x v="1"/>
    <x v="4"/>
    <x v="0"/>
    <n v="0"/>
    <n v="0"/>
    <n v="0"/>
    <n v="0"/>
    <n v="0"/>
    <n v="0"/>
    <n v="0"/>
    <m/>
    <n v="48.1"/>
    <m/>
    <s v="Unique"/>
    <s v="Valid"/>
  </r>
  <r>
    <s v="USR-100058"/>
    <d v="2025-02-04T00:00:00"/>
    <x v="0"/>
    <x v="0"/>
    <x v="0"/>
    <x v="1"/>
    <x v="1"/>
    <n v="1"/>
    <n v="0"/>
    <n v="0"/>
    <n v="0"/>
    <n v="0"/>
    <n v="0"/>
    <n v="0"/>
    <m/>
    <n v="49.6"/>
    <m/>
    <s v="Unique"/>
    <s v="Valid"/>
  </r>
  <r>
    <s v="USR-100059"/>
    <d v="2025-04-14T00:00:00"/>
    <x v="0"/>
    <x v="0"/>
    <x v="1"/>
    <x v="4"/>
    <x v="1"/>
    <n v="0"/>
    <n v="0"/>
    <n v="0"/>
    <n v="0"/>
    <n v="0"/>
    <n v="2"/>
    <n v="0"/>
    <m/>
    <n v="48.9"/>
    <m/>
    <s v="Unique"/>
    <s v="Valid"/>
  </r>
  <r>
    <s v="USR-100060"/>
    <d v="2025-01-01T00:00:00"/>
    <x v="0"/>
    <x v="1"/>
    <x v="1"/>
    <x v="4"/>
    <x v="1"/>
    <n v="1"/>
    <n v="1"/>
    <n v="1"/>
    <n v="1"/>
    <n v="240.42"/>
    <n v="0"/>
    <n v="0"/>
    <n v="16"/>
    <n v="56.5"/>
    <m/>
    <s v="Unique"/>
    <s v="Valid"/>
  </r>
  <r>
    <s v="USR-100061"/>
    <d v="2025-04-02T00:00:00"/>
    <x v="0"/>
    <x v="3"/>
    <x v="1"/>
    <x v="3"/>
    <x v="1"/>
    <n v="1"/>
    <n v="0"/>
    <n v="0"/>
    <n v="0"/>
    <n v="0"/>
    <n v="0"/>
    <n v="0"/>
    <m/>
    <n v="53.7"/>
    <m/>
    <s v="Unique"/>
    <s v="Valid"/>
  </r>
  <r>
    <s v="USR-100062"/>
    <d v="2025-03-29T00:00:00"/>
    <x v="0"/>
    <x v="0"/>
    <x v="1"/>
    <x v="4"/>
    <x v="2"/>
    <n v="0"/>
    <n v="0"/>
    <n v="0"/>
    <n v="0"/>
    <n v="0"/>
    <n v="0"/>
    <n v="0"/>
    <m/>
    <n v="62.2"/>
    <m/>
    <s v="Unique"/>
    <s v="Valid"/>
  </r>
  <r>
    <s v="USR-100063"/>
    <d v="2025-05-15T00:00:00"/>
    <x v="0"/>
    <x v="3"/>
    <x v="0"/>
    <x v="1"/>
    <x v="1"/>
    <n v="1"/>
    <n v="0"/>
    <n v="0"/>
    <n v="0"/>
    <n v="0"/>
    <n v="0"/>
    <n v="0"/>
    <m/>
    <n v="50.2"/>
    <m/>
    <s v="Unique"/>
    <s v="Valid"/>
  </r>
  <r>
    <s v="USR-100064"/>
    <d v="2025-04-11T00:00:00"/>
    <x v="0"/>
    <x v="0"/>
    <x v="1"/>
    <x v="1"/>
    <x v="0"/>
    <n v="1"/>
    <n v="0"/>
    <n v="0"/>
    <n v="0"/>
    <n v="0"/>
    <n v="0"/>
    <n v="0"/>
    <m/>
    <n v="74.3"/>
    <m/>
    <s v="Unique"/>
    <s v="Valid"/>
  </r>
  <r>
    <s v="USR-100065"/>
    <d v="2025-03-07T00:00:00"/>
    <x v="0"/>
    <x v="3"/>
    <x v="0"/>
    <x v="2"/>
    <x v="1"/>
    <n v="1"/>
    <n v="0"/>
    <n v="0"/>
    <n v="0"/>
    <n v="0"/>
    <n v="0"/>
    <n v="0"/>
    <m/>
    <n v="58"/>
    <m/>
    <s v="Unique"/>
    <s v="Valid"/>
  </r>
  <r>
    <s v="USR-100066"/>
    <d v="2025-05-30T00:00:00"/>
    <x v="0"/>
    <x v="3"/>
    <x v="1"/>
    <x v="1"/>
    <x v="1"/>
    <n v="0"/>
    <n v="0"/>
    <n v="0"/>
    <n v="0"/>
    <n v="0"/>
    <n v="0"/>
    <n v="0"/>
    <m/>
    <n v="46.7"/>
    <m/>
    <s v="Unique"/>
    <s v="Valid"/>
  </r>
  <r>
    <s v="USR-100067"/>
    <d v="2025-01-07T00:00:00"/>
    <x v="0"/>
    <x v="3"/>
    <x v="0"/>
    <x v="1"/>
    <x v="2"/>
    <n v="1"/>
    <n v="0"/>
    <n v="0"/>
    <n v="0"/>
    <n v="0"/>
    <n v="1"/>
    <n v="0"/>
    <m/>
    <n v="49.6"/>
    <m/>
    <s v="Unique"/>
    <s v="Valid"/>
  </r>
  <r>
    <s v="USR-100068"/>
    <d v="2025-05-08T00:00:00"/>
    <x v="0"/>
    <x v="1"/>
    <x v="1"/>
    <x v="4"/>
    <x v="1"/>
    <n v="0"/>
    <n v="0"/>
    <n v="0"/>
    <n v="0"/>
    <n v="0"/>
    <n v="0"/>
    <n v="0"/>
    <m/>
    <n v="60.4"/>
    <m/>
    <s v="Unique"/>
    <s v="Valid"/>
  </r>
  <r>
    <s v="USR-100069"/>
    <d v="2025-03-19T00:00:00"/>
    <x v="0"/>
    <x v="2"/>
    <x v="0"/>
    <x v="0"/>
    <x v="1"/>
    <n v="1"/>
    <n v="1"/>
    <n v="1"/>
    <n v="0"/>
    <n v="0"/>
    <n v="0"/>
    <n v="0"/>
    <m/>
    <n v="55.3"/>
    <m/>
    <s v="Unique"/>
    <s v="Valid"/>
  </r>
  <r>
    <s v="USR-100070"/>
    <d v="2025-05-16T00:00:00"/>
    <x v="0"/>
    <x v="0"/>
    <x v="0"/>
    <x v="1"/>
    <x v="1"/>
    <n v="0"/>
    <n v="0"/>
    <n v="0"/>
    <n v="0"/>
    <n v="0"/>
    <n v="0"/>
    <n v="0"/>
    <m/>
    <n v="56.2"/>
    <m/>
    <s v="Unique"/>
    <s v="Valid"/>
  </r>
  <r>
    <s v="USR-100071"/>
    <d v="2025-03-08T00:00:00"/>
    <x v="0"/>
    <x v="1"/>
    <x v="1"/>
    <x v="0"/>
    <x v="1"/>
    <n v="0"/>
    <n v="0"/>
    <n v="0"/>
    <n v="0"/>
    <n v="0"/>
    <n v="0"/>
    <n v="0"/>
    <m/>
    <n v="29.4"/>
    <m/>
    <s v="Unique"/>
    <s v="Valid"/>
  </r>
  <r>
    <s v="USR-100072"/>
    <d v="2025-03-08T00:00:00"/>
    <x v="0"/>
    <x v="2"/>
    <x v="1"/>
    <x v="0"/>
    <x v="1"/>
    <n v="1"/>
    <n v="0"/>
    <n v="0"/>
    <n v="0"/>
    <n v="0"/>
    <n v="0"/>
    <n v="0"/>
    <m/>
    <n v="54.2"/>
    <m/>
    <s v="Unique"/>
    <s v="Valid"/>
  </r>
  <r>
    <s v="USR-100073"/>
    <d v="2025-01-14T00:00:00"/>
    <x v="0"/>
    <x v="2"/>
    <x v="0"/>
    <x v="2"/>
    <x v="0"/>
    <n v="0"/>
    <n v="0"/>
    <n v="0"/>
    <n v="0"/>
    <n v="0"/>
    <n v="0"/>
    <n v="0"/>
    <m/>
    <n v="46.4"/>
    <m/>
    <s v="Unique"/>
    <s v="Valid"/>
  </r>
  <r>
    <s v="USR-100074"/>
    <d v="2025-02-10T00:00:00"/>
    <x v="0"/>
    <x v="3"/>
    <x v="1"/>
    <x v="2"/>
    <x v="0"/>
    <n v="0"/>
    <n v="0"/>
    <n v="0"/>
    <n v="0"/>
    <n v="0"/>
    <n v="0"/>
    <n v="0"/>
    <m/>
    <n v="54.5"/>
    <m/>
    <s v="Unique"/>
    <s v="Valid"/>
  </r>
  <r>
    <s v="USR-100075"/>
    <d v="2025-03-17T00:00:00"/>
    <x v="0"/>
    <x v="0"/>
    <x v="1"/>
    <x v="1"/>
    <x v="1"/>
    <n v="0"/>
    <n v="0"/>
    <n v="0"/>
    <n v="0"/>
    <n v="0"/>
    <n v="0"/>
    <n v="0"/>
    <m/>
    <n v="58.5"/>
    <m/>
    <s v="Unique"/>
    <s v="Valid"/>
  </r>
  <r>
    <s v="USR-100076"/>
    <d v="2025-01-09T00:00:00"/>
    <x v="0"/>
    <x v="3"/>
    <x v="1"/>
    <x v="0"/>
    <x v="1"/>
    <n v="0"/>
    <n v="0"/>
    <n v="0"/>
    <n v="0"/>
    <n v="0"/>
    <n v="0"/>
    <n v="0"/>
    <m/>
    <n v="75.900000000000006"/>
    <m/>
    <s v="Unique"/>
    <s v="Valid"/>
  </r>
  <r>
    <s v="USR-100077"/>
    <d v="2025-04-17T00:00:00"/>
    <x v="0"/>
    <x v="0"/>
    <x v="1"/>
    <x v="3"/>
    <x v="1"/>
    <n v="0"/>
    <n v="0"/>
    <n v="0"/>
    <n v="0"/>
    <n v="0"/>
    <n v="1"/>
    <n v="0"/>
    <m/>
    <n v="84.9"/>
    <m/>
    <s v="Unique"/>
    <s v="Valid"/>
  </r>
  <r>
    <s v="USR-100078"/>
    <d v="2025-01-16T00:00:00"/>
    <x v="0"/>
    <x v="0"/>
    <x v="1"/>
    <x v="1"/>
    <x v="1"/>
    <n v="0"/>
    <n v="0"/>
    <n v="0"/>
    <n v="0"/>
    <n v="0"/>
    <n v="2"/>
    <n v="0"/>
    <m/>
    <n v="48.4"/>
    <m/>
    <s v="Unique"/>
    <s v="Valid"/>
  </r>
  <r>
    <s v="USR-100079"/>
    <d v="2025-02-20T00:00:00"/>
    <x v="0"/>
    <x v="1"/>
    <x v="0"/>
    <x v="1"/>
    <x v="1"/>
    <n v="1"/>
    <n v="1"/>
    <n v="1"/>
    <n v="1"/>
    <n v="457.51"/>
    <n v="0"/>
    <n v="0"/>
    <n v="7"/>
    <n v="38"/>
    <m/>
    <s v="Unique"/>
    <s v="Valid"/>
  </r>
  <r>
    <s v="USR-100080"/>
    <d v="2025-05-21T00:00:00"/>
    <x v="0"/>
    <x v="2"/>
    <x v="1"/>
    <x v="4"/>
    <x v="1"/>
    <n v="1"/>
    <n v="0"/>
    <n v="0"/>
    <n v="0"/>
    <n v="0"/>
    <n v="0"/>
    <n v="0"/>
    <m/>
    <n v="44.2"/>
    <m/>
    <s v="Unique"/>
    <s v="Valid"/>
  </r>
  <r>
    <s v="USR-100081"/>
    <d v="2025-05-08T00:00:00"/>
    <x v="0"/>
    <x v="3"/>
    <x v="1"/>
    <x v="1"/>
    <x v="1"/>
    <n v="1"/>
    <n v="1"/>
    <n v="1"/>
    <n v="0"/>
    <n v="0"/>
    <n v="0"/>
    <n v="0"/>
    <m/>
    <n v="81.2"/>
    <m/>
    <s v="Unique"/>
    <s v="Valid"/>
  </r>
  <r>
    <s v="USR-100082"/>
    <d v="2025-03-08T00:00:00"/>
    <x v="0"/>
    <x v="3"/>
    <x v="1"/>
    <x v="3"/>
    <x v="1"/>
    <n v="1"/>
    <n v="1"/>
    <n v="0"/>
    <n v="0"/>
    <n v="0"/>
    <n v="0"/>
    <n v="0"/>
    <m/>
    <n v="63.8"/>
    <m/>
    <s v="Unique"/>
    <s v="Valid"/>
  </r>
  <r>
    <s v="USR-100083"/>
    <d v="2025-04-01T00:00:00"/>
    <x v="0"/>
    <x v="3"/>
    <x v="0"/>
    <x v="0"/>
    <x v="1"/>
    <n v="0"/>
    <n v="0"/>
    <n v="0"/>
    <n v="0"/>
    <n v="0"/>
    <n v="0"/>
    <n v="0"/>
    <m/>
    <n v="64.7"/>
    <m/>
    <s v="Unique"/>
    <s v="Valid"/>
  </r>
  <r>
    <s v="USR-100084"/>
    <d v="2025-03-03T00:00:00"/>
    <x v="0"/>
    <x v="1"/>
    <x v="1"/>
    <x v="4"/>
    <x v="0"/>
    <n v="0"/>
    <n v="0"/>
    <n v="0"/>
    <n v="0"/>
    <n v="0"/>
    <n v="0"/>
    <n v="0"/>
    <m/>
    <n v="60.4"/>
    <m/>
    <s v="Unique"/>
    <s v="Valid"/>
  </r>
  <r>
    <s v="USR-100085"/>
    <d v="2025-04-16T00:00:00"/>
    <x v="0"/>
    <x v="3"/>
    <x v="1"/>
    <x v="2"/>
    <x v="1"/>
    <n v="0"/>
    <n v="0"/>
    <n v="0"/>
    <n v="0"/>
    <n v="0"/>
    <n v="0"/>
    <n v="0"/>
    <m/>
    <n v="66.599999999999994"/>
    <m/>
    <s v="Unique"/>
    <s v="Valid"/>
  </r>
  <r>
    <s v="USR-100086"/>
    <d v="2025-01-09T00:00:00"/>
    <x v="0"/>
    <x v="0"/>
    <x v="0"/>
    <x v="1"/>
    <x v="1"/>
    <n v="1"/>
    <n v="0"/>
    <n v="0"/>
    <n v="0"/>
    <n v="0"/>
    <n v="0"/>
    <n v="0"/>
    <m/>
    <n v="50.9"/>
    <m/>
    <s v="Unique"/>
    <s v="Valid"/>
  </r>
  <r>
    <s v="USR-100087"/>
    <d v="2025-01-22T00:00:00"/>
    <x v="0"/>
    <x v="1"/>
    <x v="0"/>
    <x v="4"/>
    <x v="0"/>
    <n v="0"/>
    <n v="0"/>
    <n v="0"/>
    <n v="0"/>
    <n v="0"/>
    <n v="0"/>
    <n v="0"/>
    <m/>
    <n v="51"/>
    <m/>
    <s v="Unique"/>
    <s v="Valid"/>
  </r>
  <r>
    <s v="USR-100088"/>
    <d v="2025-04-30T00:00:00"/>
    <x v="0"/>
    <x v="3"/>
    <x v="1"/>
    <x v="0"/>
    <x v="2"/>
    <n v="0"/>
    <n v="0"/>
    <n v="0"/>
    <n v="0"/>
    <n v="0"/>
    <n v="0"/>
    <n v="0"/>
    <m/>
    <n v="65.8"/>
    <m/>
    <s v="Unique"/>
    <s v="Valid"/>
  </r>
  <r>
    <s v="USR-100089"/>
    <d v="2025-04-25T00:00:00"/>
    <x v="0"/>
    <x v="0"/>
    <x v="1"/>
    <x v="3"/>
    <x v="0"/>
    <n v="1"/>
    <n v="0"/>
    <n v="0"/>
    <n v="0"/>
    <n v="0"/>
    <n v="0"/>
    <n v="0"/>
    <m/>
    <n v="61.8"/>
    <m/>
    <s v="Unique"/>
    <s v="Valid"/>
  </r>
  <r>
    <s v="USR-100090"/>
    <d v="2025-02-01T00:00:00"/>
    <x v="0"/>
    <x v="0"/>
    <x v="1"/>
    <x v="1"/>
    <x v="0"/>
    <n v="1"/>
    <n v="0"/>
    <n v="0"/>
    <n v="0"/>
    <n v="0"/>
    <n v="0"/>
    <n v="0"/>
    <m/>
    <n v="54.5"/>
    <m/>
    <s v="Unique"/>
    <s v="Valid"/>
  </r>
  <r>
    <s v="USR-100091"/>
    <d v="2025-04-23T00:00:00"/>
    <x v="0"/>
    <x v="3"/>
    <x v="0"/>
    <x v="1"/>
    <x v="1"/>
    <n v="1"/>
    <n v="0"/>
    <n v="0"/>
    <n v="0"/>
    <n v="0"/>
    <n v="0"/>
    <n v="0"/>
    <m/>
    <n v="72.2"/>
    <m/>
    <s v="Unique"/>
    <s v="Valid"/>
  </r>
  <r>
    <s v="USR-100092"/>
    <d v="2025-02-27T00:00:00"/>
    <x v="0"/>
    <x v="3"/>
    <x v="1"/>
    <x v="4"/>
    <x v="1"/>
    <n v="1"/>
    <n v="0"/>
    <n v="0"/>
    <n v="0"/>
    <n v="0"/>
    <n v="0"/>
    <n v="0"/>
    <m/>
    <n v="42.3"/>
    <m/>
    <s v="Unique"/>
    <s v="Valid"/>
  </r>
  <r>
    <s v="USR-100093"/>
    <d v="2025-04-09T00:00:00"/>
    <x v="0"/>
    <x v="2"/>
    <x v="0"/>
    <x v="1"/>
    <x v="0"/>
    <n v="1"/>
    <n v="0"/>
    <n v="0"/>
    <n v="0"/>
    <n v="0"/>
    <n v="0"/>
    <n v="0"/>
    <m/>
    <n v="76.2"/>
    <m/>
    <s v="Unique"/>
    <s v="Valid"/>
  </r>
  <r>
    <s v="USR-100094"/>
    <d v="2025-05-13T00:00:00"/>
    <x v="0"/>
    <x v="3"/>
    <x v="2"/>
    <x v="1"/>
    <x v="2"/>
    <n v="1"/>
    <n v="1"/>
    <n v="1"/>
    <n v="0"/>
    <n v="0"/>
    <n v="1"/>
    <n v="0"/>
    <m/>
    <n v="37.4"/>
    <m/>
    <s v="Unique"/>
    <s v="Valid"/>
  </r>
  <r>
    <s v="USR-100095"/>
    <d v="2025-04-13T00:00:00"/>
    <x v="0"/>
    <x v="2"/>
    <x v="1"/>
    <x v="1"/>
    <x v="1"/>
    <n v="0"/>
    <n v="0"/>
    <n v="0"/>
    <n v="0"/>
    <n v="0"/>
    <n v="0"/>
    <n v="0"/>
    <m/>
    <n v="84.2"/>
    <m/>
    <s v="Unique"/>
    <s v="Valid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m/>
    <s v="Duplicate"/>
    <s v="Valid"/>
  </r>
  <r>
    <s v="USR-100097"/>
    <d v="2025-02-14T00:00:00"/>
    <x v="0"/>
    <x v="1"/>
    <x v="1"/>
    <x v="1"/>
    <x v="0"/>
    <n v="1"/>
    <n v="0"/>
    <n v="0"/>
    <n v="0"/>
    <n v="0"/>
    <n v="0"/>
    <n v="0"/>
    <m/>
    <n v="53.5"/>
    <m/>
    <s v="Unique"/>
    <s v="Valid"/>
  </r>
  <r>
    <s v="USR-100098"/>
    <d v="2025-02-11T00:00:00"/>
    <x v="0"/>
    <x v="0"/>
    <x v="0"/>
    <x v="1"/>
    <x v="2"/>
    <n v="1"/>
    <n v="0"/>
    <n v="0"/>
    <n v="0"/>
    <n v="0"/>
    <n v="0"/>
    <n v="0"/>
    <m/>
    <n v="63.2"/>
    <m/>
    <s v="Unique"/>
    <s v="Valid"/>
  </r>
  <r>
    <s v="USR-100099"/>
    <d v="2025-02-11T00:00:00"/>
    <x v="0"/>
    <x v="2"/>
    <x v="0"/>
    <x v="4"/>
    <x v="1"/>
    <n v="1"/>
    <n v="1"/>
    <n v="1"/>
    <n v="1"/>
    <n v="363.32"/>
    <n v="0"/>
    <n v="0"/>
    <n v="9"/>
    <n v="55.9"/>
    <m/>
    <s v="Unique"/>
    <s v="Valid"/>
  </r>
  <r>
    <s v="USR-100100"/>
    <d v="2025-05-26T00:00:00"/>
    <x v="0"/>
    <x v="0"/>
    <x v="1"/>
    <x v="1"/>
    <x v="1"/>
    <n v="1"/>
    <n v="0"/>
    <n v="0"/>
    <n v="0"/>
    <n v="0"/>
    <n v="0"/>
    <n v="0"/>
    <m/>
    <n v="63.5"/>
    <m/>
    <s v="Unique"/>
    <s v="Valid"/>
  </r>
  <r>
    <s v="USR-100101"/>
    <d v="2025-03-22T00:00:00"/>
    <x v="0"/>
    <x v="0"/>
    <x v="1"/>
    <x v="2"/>
    <x v="0"/>
    <n v="1"/>
    <n v="0"/>
    <n v="0"/>
    <n v="0"/>
    <n v="0"/>
    <n v="0"/>
    <n v="0"/>
    <m/>
    <n v="51.5"/>
    <m/>
    <s v="Unique"/>
    <s v="Valid"/>
  </r>
  <r>
    <s v="USR-100102"/>
    <d v="2025-04-08T00:00:00"/>
    <x v="0"/>
    <x v="1"/>
    <x v="1"/>
    <x v="2"/>
    <x v="1"/>
    <n v="1"/>
    <n v="0"/>
    <n v="0"/>
    <n v="0"/>
    <n v="0"/>
    <n v="0"/>
    <n v="0"/>
    <m/>
    <n v="74.400000000000006"/>
    <m/>
    <s v="Unique"/>
    <s v="Valid"/>
  </r>
  <r>
    <s v="USR-100103"/>
    <d v="2025-04-14T00:00:00"/>
    <x v="0"/>
    <x v="0"/>
    <x v="0"/>
    <x v="4"/>
    <x v="1"/>
    <n v="1"/>
    <n v="1"/>
    <n v="1"/>
    <n v="1"/>
    <n v="3887.98"/>
    <n v="0"/>
    <n v="0"/>
    <n v="13"/>
    <n v="60.2"/>
    <m/>
    <s v="Unique"/>
    <s v="Valid"/>
  </r>
  <r>
    <s v="USR-100104"/>
    <d v="2025-03-27T00:00:00"/>
    <x v="0"/>
    <x v="3"/>
    <x v="1"/>
    <x v="0"/>
    <x v="1"/>
    <n v="1"/>
    <n v="0"/>
    <n v="0"/>
    <n v="0"/>
    <n v="0"/>
    <n v="1"/>
    <n v="0"/>
    <m/>
    <n v="67.2"/>
    <m/>
    <s v="Unique"/>
    <s v="Valid"/>
  </r>
  <r>
    <s v="USR-100105"/>
    <d v="2025-01-05T00:00:00"/>
    <x v="0"/>
    <x v="3"/>
    <x v="1"/>
    <x v="4"/>
    <x v="1"/>
    <n v="1"/>
    <n v="1"/>
    <n v="1"/>
    <n v="0"/>
    <n v="0"/>
    <n v="0"/>
    <n v="0"/>
    <m/>
    <n v="79.599999999999994"/>
    <m/>
    <s v="Unique"/>
    <s v="Valid"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6"/>
    <n v="61"/>
    <m/>
    <s v="Unique"/>
    <s v="Valid"/>
  </r>
  <r>
    <s v="USR-100107"/>
    <d v="2025-01-23T00:00:00"/>
    <x v="0"/>
    <x v="1"/>
    <x v="1"/>
    <x v="0"/>
    <x v="1"/>
    <n v="1"/>
    <n v="1"/>
    <n v="1"/>
    <n v="0"/>
    <n v="0"/>
    <n v="4"/>
    <n v="0"/>
    <m/>
    <n v="51.1"/>
    <m/>
    <s v="Unique"/>
    <s v="Valid"/>
  </r>
  <r>
    <s v="USR-100108"/>
    <d v="2025-05-25T00:00:00"/>
    <x v="0"/>
    <x v="2"/>
    <x v="0"/>
    <x v="3"/>
    <x v="1"/>
    <n v="1"/>
    <n v="0"/>
    <n v="0"/>
    <n v="0"/>
    <n v="0"/>
    <n v="0"/>
    <n v="0"/>
    <m/>
    <n v="92.1"/>
    <m/>
    <s v="Unique"/>
    <s v="Valid"/>
  </r>
  <r>
    <s v="USR-100109"/>
    <d v="2025-03-22T00:00:00"/>
    <x v="0"/>
    <x v="3"/>
    <x v="1"/>
    <x v="3"/>
    <x v="0"/>
    <n v="0"/>
    <n v="0"/>
    <n v="0"/>
    <n v="0"/>
    <n v="0"/>
    <n v="0"/>
    <n v="0"/>
    <m/>
    <n v="82.1"/>
    <m/>
    <s v="Unique"/>
    <s v="Valid"/>
  </r>
  <r>
    <s v="USR-100110"/>
    <d v="2025-02-12T00:00:00"/>
    <x v="0"/>
    <x v="1"/>
    <x v="0"/>
    <x v="2"/>
    <x v="0"/>
    <n v="1"/>
    <n v="0"/>
    <n v="0"/>
    <n v="0"/>
    <n v="0"/>
    <n v="1"/>
    <n v="0"/>
    <m/>
    <n v="74"/>
    <m/>
    <s v="Unique"/>
    <s v="Valid"/>
  </r>
  <r>
    <s v="USR-100111"/>
    <d v="2025-04-28T00:00:00"/>
    <x v="0"/>
    <x v="1"/>
    <x v="0"/>
    <x v="1"/>
    <x v="0"/>
    <n v="1"/>
    <n v="0"/>
    <n v="0"/>
    <n v="0"/>
    <n v="0"/>
    <n v="0"/>
    <n v="0"/>
    <m/>
    <n v="63.4"/>
    <m/>
    <s v="Unique"/>
    <s v="Valid"/>
  </r>
  <r>
    <s v="USR-100112"/>
    <d v="2025-01-30T00:00:00"/>
    <x v="0"/>
    <x v="0"/>
    <x v="1"/>
    <x v="1"/>
    <x v="0"/>
    <n v="1"/>
    <n v="0"/>
    <n v="0"/>
    <n v="0"/>
    <n v="0"/>
    <n v="0"/>
    <n v="0"/>
    <m/>
    <n v="53.2"/>
    <m/>
    <s v="Unique"/>
    <s v="Valid"/>
  </r>
  <r>
    <s v="USR-100113"/>
    <d v="2025-05-19T00:00:00"/>
    <x v="0"/>
    <x v="2"/>
    <x v="2"/>
    <x v="2"/>
    <x v="1"/>
    <n v="0"/>
    <n v="0"/>
    <n v="0"/>
    <n v="0"/>
    <n v="0"/>
    <n v="0"/>
    <n v="0"/>
    <m/>
    <n v="48.1"/>
    <m/>
    <s v="Unique"/>
    <s v="Valid"/>
  </r>
  <r>
    <s v="USR-100114"/>
    <d v="2025-01-23T00:00:00"/>
    <x v="0"/>
    <x v="3"/>
    <x v="1"/>
    <x v="4"/>
    <x v="1"/>
    <n v="1"/>
    <n v="1"/>
    <n v="0"/>
    <n v="0"/>
    <n v="0"/>
    <n v="0"/>
    <n v="0"/>
    <m/>
    <n v="61.5"/>
    <m/>
    <s v="Unique"/>
    <s v="Valid"/>
  </r>
  <r>
    <s v="USR-100115"/>
    <d v="2025-03-28T00:00:00"/>
    <x v="0"/>
    <x v="2"/>
    <x v="0"/>
    <x v="4"/>
    <x v="1"/>
    <n v="1"/>
    <n v="0"/>
    <n v="0"/>
    <n v="0"/>
    <n v="0"/>
    <n v="0"/>
    <n v="0"/>
    <m/>
    <n v="63.2"/>
    <m/>
    <s v="Unique"/>
    <s v="Valid"/>
  </r>
  <r>
    <s v="USR-100116"/>
    <d v="2025-01-11T00:00:00"/>
    <x v="0"/>
    <x v="1"/>
    <x v="1"/>
    <x v="1"/>
    <x v="1"/>
    <n v="0"/>
    <n v="0"/>
    <n v="0"/>
    <n v="0"/>
    <n v="0"/>
    <n v="0"/>
    <n v="0"/>
    <m/>
    <n v="71.900000000000006"/>
    <m/>
    <s v="Unique"/>
    <s v="Valid"/>
  </r>
  <r>
    <s v="USR-100117"/>
    <d v="2025-04-11T00:00:00"/>
    <x v="0"/>
    <x v="0"/>
    <x v="1"/>
    <x v="3"/>
    <x v="1"/>
    <n v="0"/>
    <n v="0"/>
    <n v="0"/>
    <n v="0"/>
    <n v="0"/>
    <n v="0"/>
    <n v="0"/>
    <m/>
    <n v="62.7"/>
    <m/>
    <s v="Unique"/>
    <s v="Valid"/>
  </r>
  <r>
    <s v="USR-100118"/>
    <d v="2025-01-02T00:00:00"/>
    <x v="0"/>
    <x v="1"/>
    <x v="1"/>
    <x v="2"/>
    <x v="1"/>
    <n v="1"/>
    <n v="0"/>
    <n v="0"/>
    <n v="0"/>
    <n v="0"/>
    <n v="0"/>
    <n v="0"/>
    <m/>
    <n v="51.5"/>
    <m/>
    <s v="Unique"/>
    <s v="Valid"/>
  </r>
  <r>
    <s v="USR-100119"/>
    <d v="2025-03-18T00:00:00"/>
    <x v="0"/>
    <x v="2"/>
    <x v="1"/>
    <x v="4"/>
    <x v="1"/>
    <n v="1"/>
    <n v="1"/>
    <n v="1"/>
    <n v="0"/>
    <n v="0"/>
    <n v="0"/>
    <n v="0"/>
    <m/>
    <n v="39.1"/>
    <m/>
    <s v="Unique"/>
    <s v="Valid"/>
  </r>
  <r>
    <s v="USR-100120"/>
    <d v="2025-03-31T00:00:00"/>
    <x v="0"/>
    <x v="0"/>
    <x v="1"/>
    <x v="0"/>
    <x v="1"/>
    <n v="1"/>
    <n v="0"/>
    <n v="0"/>
    <n v="0"/>
    <n v="0"/>
    <n v="0"/>
    <n v="0"/>
    <m/>
    <n v="43.8"/>
    <m/>
    <s v="Unique"/>
    <s v="Valid"/>
  </r>
  <r>
    <s v="USR-100121"/>
    <d v="2025-01-06T00:00:00"/>
    <x v="0"/>
    <x v="0"/>
    <x v="1"/>
    <x v="2"/>
    <x v="0"/>
    <n v="1"/>
    <n v="0"/>
    <n v="0"/>
    <n v="0"/>
    <n v="0"/>
    <n v="0"/>
    <n v="0"/>
    <m/>
    <n v="59.9"/>
    <m/>
    <s v="Unique"/>
    <s v="Valid"/>
  </r>
  <r>
    <s v="USR-100122"/>
    <d v="2025-01-26T00:00:00"/>
    <x v="0"/>
    <x v="0"/>
    <x v="1"/>
    <x v="3"/>
    <x v="1"/>
    <n v="1"/>
    <n v="1"/>
    <n v="0"/>
    <n v="0"/>
    <n v="0"/>
    <n v="0"/>
    <n v="0"/>
    <m/>
    <n v="71.400000000000006"/>
    <m/>
    <s v="Unique"/>
    <s v="Valid"/>
  </r>
  <r>
    <s v="USR-100123"/>
    <d v="2025-04-22T00:00:00"/>
    <x v="0"/>
    <x v="3"/>
    <x v="1"/>
    <x v="3"/>
    <x v="0"/>
    <n v="0"/>
    <n v="0"/>
    <n v="0"/>
    <n v="0"/>
    <n v="0"/>
    <n v="0"/>
    <n v="0"/>
    <m/>
    <n v="36.1"/>
    <m/>
    <s v="Unique"/>
    <s v="Valid"/>
  </r>
  <r>
    <s v="USR-100124"/>
    <d v="2025-05-30T00:00:00"/>
    <x v="0"/>
    <x v="1"/>
    <x v="3"/>
    <x v="0"/>
    <x v="0"/>
    <n v="1"/>
    <n v="1"/>
    <n v="0"/>
    <n v="0"/>
    <n v="0"/>
    <n v="0"/>
    <n v="0"/>
    <m/>
    <n v="47.9"/>
    <m/>
    <s v="Unique"/>
    <s v="Valid"/>
  </r>
  <r>
    <s v="USR-100125"/>
    <d v="2025-05-18T00:00:00"/>
    <x v="0"/>
    <x v="1"/>
    <x v="0"/>
    <x v="1"/>
    <x v="2"/>
    <n v="1"/>
    <n v="0"/>
    <n v="0"/>
    <n v="0"/>
    <n v="0"/>
    <n v="0"/>
    <n v="0"/>
    <m/>
    <n v="62.5"/>
    <m/>
    <s v="Unique"/>
    <s v="Valid"/>
  </r>
  <r>
    <s v="USR-100126"/>
    <d v="2025-01-13T00:00:00"/>
    <x v="0"/>
    <x v="3"/>
    <x v="0"/>
    <x v="2"/>
    <x v="2"/>
    <n v="1"/>
    <n v="0"/>
    <n v="0"/>
    <n v="0"/>
    <n v="0"/>
    <n v="0"/>
    <n v="0"/>
    <m/>
    <n v="56.9"/>
    <m/>
    <s v="Unique"/>
    <s v="Valid"/>
  </r>
  <r>
    <s v="USR-100127"/>
    <d v="2025-03-25T00:00:00"/>
    <x v="0"/>
    <x v="0"/>
    <x v="0"/>
    <x v="0"/>
    <x v="1"/>
    <n v="0"/>
    <n v="0"/>
    <n v="0"/>
    <n v="0"/>
    <n v="0"/>
    <n v="0"/>
    <n v="0"/>
    <m/>
    <n v="64.7"/>
    <m/>
    <s v="Unique"/>
    <s v="Valid"/>
  </r>
  <r>
    <s v="USR-100128"/>
    <d v="2025-04-29T00:00:00"/>
    <x v="0"/>
    <x v="3"/>
    <x v="0"/>
    <x v="1"/>
    <x v="1"/>
    <n v="1"/>
    <n v="1"/>
    <n v="1"/>
    <n v="0"/>
    <n v="0"/>
    <n v="0"/>
    <n v="0"/>
    <m/>
    <n v="64"/>
    <m/>
    <s v="Unique"/>
    <s v="Valid"/>
  </r>
  <r>
    <s v="USR-100129"/>
    <d v="2025-05-17T00:00:00"/>
    <x v="0"/>
    <x v="2"/>
    <x v="1"/>
    <x v="3"/>
    <x v="0"/>
    <n v="1"/>
    <n v="1"/>
    <n v="1"/>
    <n v="0"/>
    <n v="0"/>
    <n v="0"/>
    <n v="0"/>
    <m/>
    <n v="75.2"/>
    <m/>
    <s v="Unique"/>
    <s v="Valid"/>
  </r>
  <r>
    <s v="USR-100130"/>
    <d v="2025-01-02T00:00:00"/>
    <x v="0"/>
    <x v="0"/>
    <x v="1"/>
    <x v="2"/>
    <x v="1"/>
    <n v="1"/>
    <n v="0"/>
    <n v="0"/>
    <n v="0"/>
    <n v="0"/>
    <n v="1"/>
    <n v="0"/>
    <m/>
    <n v="79"/>
    <m/>
    <s v="Unique"/>
    <s v="Valid"/>
  </r>
  <r>
    <s v="USR-100131"/>
    <d v="2025-02-03T00:00:00"/>
    <x v="0"/>
    <x v="3"/>
    <x v="1"/>
    <x v="1"/>
    <x v="1"/>
    <n v="0"/>
    <n v="0"/>
    <n v="0"/>
    <n v="0"/>
    <n v="0"/>
    <n v="0"/>
    <n v="0"/>
    <m/>
    <n v="33"/>
    <m/>
    <s v="Unique"/>
    <s v="Valid"/>
  </r>
  <r>
    <s v="USR-100132"/>
    <d v="2025-03-04T00:00:00"/>
    <x v="0"/>
    <x v="2"/>
    <x v="1"/>
    <x v="1"/>
    <x v="1"/>
    <n v="1"/>
    <n v="0"/>
    <n v="0"/>
    <n v="0"/>
    <n v="0"/>
    <n v="0"/>
    <n v="0"/>
    <m/>
    <n v="67.900000000000006"/>
    <m/>
    <s v="Unique"/>
    <s v="Valid"/>
  </r>
  <r>
    <s v="USR-100133"/>
    <d v="2025-01-26T00:00:00"/>
    <x v="0"/>
    <x v="3"/>
    <x v="1"/>
    <x v="2"/>
    <x v="0"/>
    <n v="0"/>
    <n v="0"/>
    <n v="0"/>
    <n v="0"/>
    <n v="0"/>
    <n v="0"/>
    <n v="0"/>
    <m/>
    <n v="42.2"/>
    <m/>
    <s v="Unique"/>
    <s v="Valid"/>
  </r>
  <r>
    <s v="USR-100134"/>
    <d v="2025-05-12T00:00:00"/>
    <x v="0"/>
    <x v="1"/>
    <x v="1"/>
    <x v="2"/>
    <x v="0"/>
    <n v="1"/>
    <n v="1"/>
    <n v="1"/>
    <n v="0"/>
    <n v="0"/>
    <n v="0"/>
    <n v="0"/>
    <m/>
    <n v="43.4"/>
    <m/>
    <s v="Unique"/>
    <s v="Valid"/>
  </r>
  <r>
    <s v="USR-100135"/>
    <d v="2025-03-06T00:00:00"/>
    <x v="0"/>
    <x v="0"/>
    <x v="1"/>
    <x v="1"/>
    <x v="0"/>
    <n v="0"/>
    <n v="0"/>
    <n v="0"/>
    <n v="0"/>
    <n v="0"/>
    <n v="0"/>
    <n v="0"/>
    <m/>
    <n v="54.4"/>
    <m/>
    <s v="Unique"/>
    <s v="Valid"/>
  </r>
  <r>
    <s v="USR-100136"/>
    <d v="2025-03-10T00:00:00"/>
    <x v="0"/>
    <x v="3"/>
    <x v="0"/>
    <x v="0"/>
    <x v="2"/>
    <n v="0"/>
    <n v="0"/>
    <n v="0"/>
    <n v="0"/>
    <n v="0"/>
    <n v="0"/>
    <n v="0"/>
    <m/>
    <n v="45.7"/>
    <m/>
    <s v="Unique"/>
    <s v="Valid"/>
  </r>
  <r>
    <s v="USR-100137"/>
    <d v="2025-05-06T00:00:00"/>
    <x v="0"/>
    <x v="0"/>
    <x v="1"/>
    <x v="2"/>
    <x v="1"/>
    <n v="0"/>
    <n v="0"/>
    <n v="0"/>
    <n v="0"/>
    <n v="0"/>
    <n v="3"/>
    <n v="0"/>
    <m/>
    <n v="32"/>
    <m/>
    <s v="Unique"/>
    <s v="Valid"/>
  </r>
  <r>
    <s v="USR-100138"/>
    <d v="2025-02-23T00:00:00"/>
    <x v="0"/>
    <x v="3"/>
    <x v="0"/>
    <x v="2"/>
    <x v="1"/>
    <n v="1"/>
    <n v="0"/>
    <n v="0"/>
    <n v="0"/>
    <n v="0"/>
    <n v="0"/>
    <n v="0"/>
    <m/>
    <n v="70.900000000000006"/>
    <m/>
    <s v="Unique"/>
    <s v="Valid"/>
  </r>
  <r>
    <s v="USR-100139"/>
    <d v="2025-01-29T00:00:00"/>
    <x v="0"/>
    <x v="1"/>
    <x v="1"/>
    <x v="4"/>
    <x v="0"/>
    <n v="1"/>
    <n v="1"/>
    <n v="1"/>
    <n v="0"/>
    <n v="0"/>
    <n v="0"/>
    <n v="0"/>
    <m/>
    <n v="59.1"/>
    <m/>
    <s v="Unique"/>
    <s v="Valid"/>
  </r>
  <r>
    <s v="USR-100140"/>
    <d v="2025-01-31T00:00:00"/>
    <x v="0"/>
    <x v="0"/>
    <x v="1"/>
    <x v="1"/>
    <x v="0"/>
    <n v="0"/>
    <n v="0"/>
    <n v="0"/>
    <n v="0"/>
    <n v="0"/>
    <n v="0"/>
    <n v="0"/>
    <m/>
    <n v="62.4"/>
    <m/>
    <s v="Unique"/>
    <s v="Valid"/>
  </r>
  <r>
    <s v="USR-100141"/>
    <d v="2025-01-19T00:00:00"/>
    <x v="0"/>
    <x v="3"/>
    <x v="1"/>
    <x v="1"/>
    <x v="1"/>
    <n v="0"/>
    <n v="0"/>
    <n v="0"/>
    <n v="0"/>
    <n v="0"/>
    <n v="0"/>
    <n v="0"/>
    <m/>
    <n v="49.6"/>
    <m/>
    <s v="Unique"/>
    <s v="Valid"/>
  </r>
  <r>
    <s v="USR-100142"/>
    <d v="2025-04-03T00:00:00"/>
    <x v="0"/>
    <x v="1"/>
    <x v="0"/>
    <x v="4"/>
    <x v="1"/>
    <n v="1"/>
    <n v="1"/>
    <n v="1"/>
    <n v="1"/>
    <n v="404.4"/>
    <n v="0"/>
    <n v="0"/>
    <n v="9"/>
    <n v="80.599999999999994"/>
    <m/>
    <s v="Unique"/>
    <s v="Valid"/>
  </r>
  <r>
    <s v="USR-100143"/>
    <d v="2025-04-07T00:00:00"/>
    <x v="0"/>
    <x v="0"/>
    <x v="1"/>
    <x v="2"/>
    <x v="1"/>
    <n v="1"/>
    <n v="0"/>
    <n v="0"/>
    <n v="0"/>
    <n v="0"/>
    <n v="0"/>
    <n v="0"/>
    <m/>
    <n v="47.9"/>
    <m/>
    <s v="Unique"/>
    <s v="Valid"/>
  </r>
  <r>
    <s v="USR-100144"/>
    <d v="2025-01-06T00:00:00"/>
    <x v="0"/>
    <x v="2"/>
    <x v="1"/>
    <x v="2"/>
    <x v="0"/>
    <n v="1"/>
    <n v="1"/>
    <n v="0"/>
    <n v="0"/>
    <n v="0"/>
    <n v="0"/>
    <n v="0"/>
    <m/>
    <n v="54.8"/>
    <m/>
    <s v="Unique"/>
    <s v="Valid"/>
  </r>
  <r>
    <s v="USR-100145"/>
    <d v="2025-04-11T00:00:00"/>
    <x v="0"/>
    <x v="2"/>
    <x v="1"/>
    <x v="1"/>
    <x v="1"/>
    <n v="1"/>
    <n v="0"/>
    <n v="0"/>
    <n v="0"/>
    <n v="0"/>
    <n v="1"/>
    <n v="0"/>
    <m/>
    <n v="53.9"/>
    <m/>
    <s v="Unique"/>
    <s v="Valid"/>
  </r>
  <r>
    <s v="USR-100146"/>
    <d v="2025-04-23T00:00:00"/>
    <x v="0"/>
    <x v="2"/>
    <x v="1"/>
    <x v="2"/>
    <x v="1"/>
    <n v="1"/>
    <n v="0"/>
    <n v="0"/>
    <n v="0"/>
    <n v="0"/>
    <n v="0"/>
    <n v="0"/>
    <m/>
    <n v="41.3"/>
    <m/>
    <s v="Unique"/>
    <s v="Valid"/>
  </r>
  <r>
    <s v="USR-100147"/>
    <d v="2025-03-25T00:00:00"/>
    <x v="0"/>
    <x v="1"/>
    <x v="1"/>
    <x v="1"/>
    <x v="0"/>
    <n v="1"/>
    <n v="1"/>
    <n v="0"/>
    <n v="0"/>
    <n v="0"/>
    <n v="0"/>
    <n v="0"/>
    <m/>
    <n v="38.9"/>
    <m/>
    <s v="Unique"/>
    <s v="Valid"/>
  </r>
  <r>
    <s v="USR-100148"/>
    <d v="2025-05-25T00:00:00"/>
    <x v="0"/>
    <x v="3"/>
    <x v="0"/>
    <x v="1"/>
    <x v="0"/>
    <n v="1"/>
    <n v="0"/>
    <n v="0"/>
    <n v="0"/>
    <n v="0"/>
    <n v="0"/>
    <n v="0"/>
    <m/>
    <n v="63.6"/>
    <m/>
    <s v="Unique"/>
    <s v="Valid"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  <m/>
    <s v="Unique"/>
    <s v="Valid"/>
  </r>
  <r>
    <s v="USR-100150"/>
    <d v="2025-02-12T00:00:00"/>
    <x v="0"/>
    <x v="1"/>
    <x v="1"/>
    <x v="2"/>
    <x v="2"/>
    <n v="0"/>
    <n v="0"/>
    <n v="0"/>
    <n v="0"/>
    <n v="0"/>
    <n v="1"/>
    <n v="0"/>
    <m/>
    <n v="67.599999999999994"/>
    <m/>
    <s v="Unique"/>
    <s v="Valid"/>
  </r>
  <r>
    <s v="USR-100151"/>
    <d v="2025-04-29T00:00:00"/>
    <x v="0"/>
    <x v="0"/>
    <x v="1"/>
    <x v="4"/>
    <x v="2"/>
    <n v="1"/>
    <n v="0"/>
    <n v="0"/>
    <n v="0"/>
    <n v="0"/>
    <n v="0"/>
    <n v="0"/>
    <m/>
    <n v="43.1"/>
    <m/>
    <s v="Unique"/>
    <s v="Valid"/>
  </r>
  <r>
    <s v="USR-100152"/>
    <d v="2025-03-13T00:00:00"/>
    <x v="0"/>
    <x v="3"/>
    <x v="1"/>
    <x v="0"/>
    <x v="1"/>
    <n v="1"/>
    <n v="0"/>
    <n v="0"/>
    <n v="0"/>
    <n v="0"/>
    <n v="0"/>
    <n v="0"/>
    <m/>
    <n v="58.3"/>
    <m/>
    <s v="Unique"/>
    <s v="Valid"/>
  </r>
  <r>
    <s v="USR-100153"/>
    <d v="2025-02-04T00:00:00"/>
    <x v="0"/>
    <x v="2"/>
    <x v="0"/>
    <x v="2"/>
    <x v="1"/>
    <n v="1"/>
    <n v="0"/>
    <n v="0"/>
    <n v="0"/>
    <n v="0"/>
    <n v="0"/>
    <n v="0"/>
    <m/>
    <n v="69.8"/>
    <m/>
    <s v="Unique"/>
    <s v="Valid"/>
  </r>
  <r>
    <s v="USR-100154"/>
    <d v="2025-03-04T00:00:00"/>
    <x v="0"/>
    <x v="3"/>
    <x v="1"/>
    <x v="3"/>
    <x v="1"/>
    <n v="1"/>
    <n v="1"/>
    <n v="0"/>
    <n v="0"/>
    <n v="0"/>
    <n v="0"/>
    <n v="0"/>
    <m/>
    <n v="60.02"/>
    <m/>
    <s v="Unique"/>
    <s v="Valid"/>
  </r>
  <r>
    <s v="USR-100155"/>
    <d v="2025-02-04T00:00:00"/>
    <x v="0"/>
    <x v="1"/>
    <x v="1"/>
    <x v="2"/>
    <x v="0"/>
    <n v="1"/>
    <n v="1"/>
    <n v="0"/>
    <n v="0"/>
    <n v="0"/>
    <n v="0"/>
    <n v="0"/>
    <m/>
    <n v="41.9"/>
    <m/>
    <s v="Unique"/>
    <s v="Valid"/>
  </r>
  <r>
    <s v="USR-100156"/>
    <d v="2025-03-11T00:00:00"/>
    <x v="0"/>
    <x v="0"/>
    <x v="0"/>
    <x v="1"/>
    <x v="1"/>
    <n v="0"/>
    <n v="0"/>
    <n v="0"/>
    <n v="0"/>
    <n v="0"/>
    <n v="0"/>
    <n v="0"/>
    <m/>
    <n v="33.1"/>
    <m/>
    <s v="Unique"/>
    <s v="Valid"/>
  </r>
  <r>
    <s v="USR-100157"/>
    <d v="2025-04-22T00:00:00"/>
    <x v="0"/>
    <x v="1"/>
    <x v="1"/>
    <x v="1"/>
    <x v="1"/>
    <n v="0"/>
    <n v="0"/>
    <n v="0"/>
    <n v="0"/>
    <n v="0"/>
    <n v="0"/>
    <n v="0"/>
    <m/>
    <n v="58.6"/>
    <m/>
    <s v="Unique"/>
    <s v="Valid"/>
  </r>
  <r>
    <s v="USR-100158"/>
    <d v="2025-03-08T00:00:00"/>
    <x v="0"/>
    <x v="0"/>
    <x v="0"/>
    <x v="2"/>
    <x v="1"/>
    <n v="0"/>
    <n v="0"/>
    <n v="0"/>
    <n v="0"/>
    <n v="0"/>
    <n v="0"/>
    <n v="0"/>
    <m/>
    <n v="55.7"/>
    <m/>
    <s v="Unique"/>
    <s v="Valid"/>
  </r>
  <r>
    <s v="USR-100159"/>
    <d v="2025-03-10T00:00:00"/>
    <x v="0"/>
    <x v="2"/>
    <x v="1"/>
    <x v="1"/>
    <x v="1"/>
    <n v="0"/>
    <n v="0"/>
    <n v="0"/>
    <n v="0"/>
    <n v="0"/>
    <n v="2"/>
    <n v="0"/>
    <m/>
    <n v="64.900000000000006"/>
    <m/>
    <s v="Unique"/>
    <s v="Valid"/>
  </r>
  <r>
    <s v="USR-100160"/>
    <d v="2025-05-18T00:00:00"/>
    <x v="0"/>
    <x v="0"/>
    <x v="0"/>
    <x v="2"/>
    <x v="0"/>
    <n v="0"/>
    <n v="0"/>
    <n v="0"/>
    <n v="0"/>
    <n v="0"/>
    <n v="0"/>
    <n v="0"/>
    <m/>
    <n v="72.3"/>
    <m/>
    <s v="Unique"/>
    <s v="Valid"/>
  </r>
  <r>
    <s v="USR-100161"/>
    <d v="2025-05-14T00:00:00"/>
    <x v="0"/>
    <x v="0"/>
    <x v="1"/>
    <x v="4"/>
    <x v="0"/>
    <n v="0"/>
    <n v="0"/>
    <n v="0"/>
    <n v="0"/>
    <n v="0"/>
    <n v="0"/>
    <n v="0"/>
    <m/>
    <n v="42.1"/>
    <m/>
    <s v="Unique"/>
    <s v="Valid"/>
  </r>
  <r>
    <s v="USR-100162"/>
    <d v="2025-02-01T00:00:00"/>
    <x v="0"/>
    <x v="0"/>
    <x v="1"/>
    <x v="1"/>
    <x v="1"/>
    <n v="0"/>
    <n v="0"/>
    <n v="0"/>
    <n v="0"/>
    <n v="0"/>
    <n v="0"/>
    <n v="0"/>
    <m/>
    <n v="60.02"/>
    <m/>
    <s v="Unique"/>
    <s v="Valid"/>
  </r>
  <r>
    <s v="USR-100163"/>
    <d v="2025-04-11T00:00:00"/>
    <x v="0"/>
    <x v="3"/>
    <x v="1"/>
    <x v="1"/>
    <x v="0"/>
    <n v="0"/>
    <n v="0"/>
    <n v="0"/>
    <n v="0"/>
    <n v="0"/>
    <n v="1"/>
    <n v="0"/>
    <m/>
    <n v="64.8"/>
    <m/>
    <s v="Unique"/>
    <s v="Valid"/>
  </r>
  <r>
    <s v="USR-100164"/>
    <d v="2025-02-14T00:00:00"/>
    <x v="0"/>
    <x v="2"/>
    <x v="1"/>
    <x v="1"/>
    <x v="1"/>
    <n v="0"/>
    <n v="0"/>
    <n v="0"/>
    <n v="0"/>
    <n v="0"/>
    <n v="0"/>
    <n v="0"/>
    <m/>
    <n v="72.099999999999994"/>
    <m/>
    <s v="Unique"/>
    <s v="Valid"/>
  </r>
  <r>
    <s v="USR-100165"/>
    <d v="2025-05-19T00:00:00"/>
    <x v="0"/>
    <x v="2"/>
    <x v="1"/>
    <x v="4"/>
    <x v="1"/>
    <n v="1"/>
    <n v="0"/>
    <n v="0"/>
    <n v="0"/>
    <n v="0"/>
    <n v="0"/>
    <n v="0"/>
    <m/>
    <n v="50.6"/>
    <m/>
    <s v="Unique"/>
    <s v="Valid"/>
  </r>
  <r>
    <s v="USR-100166"/>
    <d v="2025-04-26T00:00:00"/>
    <x v="0"/>
    <x v="0"/>
    <x v="0"/>
    <x v="2"/>
    <x v="0"/>
    <n v="1"/>
    <n v="1"/>
    <n v="1"/>
    <n v="1"/>
    <n v="1281.25"/>
    <n v="1"/>
    <n v="0"/>
    <n v="9"/>
    <n v="43.4"/>
    <m/>
    <s v="Unique"/>
    <s v="Valid"/>
  </r>
  <r>
    <s v="USR-100167"/>
    <d v="2025-04-06T00:00:00"/>
    <x v="0"/>
    <x v="3"/>
    <x v="1"/>
    <x v="4"/>
    <x v="1"/>
    <n v="1"/>
    <n v="0"/>
    <n v="0"/>
    <n v="0"/>
    <n v="0"/>
    <n v="0"/>
    <n v="0"/>
    <m/>
    <n v="59.7"/>
    <m/>
    <s v="Unique"/>
    <s v="Valid"/>
  </r>
  <r>
    <s v="USR-100168"/>
    <d v="2025-03-06T00:00:00"/>
    <x v="0"/>
    <x v="3"/>
    <x v="1"/>
    <x v="2"/>
    <x v="1"/>
    <n v="1"/>
    <n v="0"/>
    <n v="0"/>
    <n v="0"/>
    <n v="0"/>
    <n v="1"/>
    <n v="0"/>
    <m/>
    <n v="60.02"/>
    <m/>
    <s v="Unique"/>
    <s v="Valid"/>
  </r>
  <r>
    <s v="USR-100169"/>
    <d v="2025-03-10T00:00:00"/>
    <x v="0"/>
    <x v="1"/>
    <x v="1"/>
    <x v="4"/>
    <x v="0"/>
    <n v="0"/>
    <n v="0"/>
    <n v="0"/>
    <n v="0"/>
    <n v="0"/>
    <n v="0"/>
    <n v="0"/>
    <m/>
    <n v="54.5"/>
    <m/>
    <s v="Unique"/>
    <s v="Valid"/>
  </r>
  <r>
    <s v="USR-100170"/>
    <d v="2025-03-30T00:00:00"/>
    <x v="0"/>
    <x v="0"/>
    <x v="1"/>
    <x v="1"/>
    <x v="1"/>
    <n v="1"/>
    <n v="0"/>
    <n v="0"/>
    <n v="0"/>
    <n v="0"/>
    <n v="0"/>
    <n v="0"/>
    <m/>
    <n v="71.099999999999994"/>
    <m/>
    <s v="Unique"/>
    <s v="Valid"/>
  </r>
  <r>
    <s v="USR-100171"/>
    <d v="2025-05-29T00:00:00"/>
    <x v="0"/>
    <x v="2"/>
    <x v="3"/>
    <x v="2"/>
    <x v="1"/>
    <n v="1"/>
    <n v="1"/>
    <n v="1"/>
    <n v="0"/>
    <n v="0"/>
    <n v="0"/>
    <n v="0"/>
    <m/>
    <n v="44.4"/>
    <m/>
    <s v="Unique"/>
    <s v="Valid"/>
  </r>
  <r>
    <s v="USR-100172"/>
    <d v="2025-03-23T00:00:00"/>
    <x v="0"/>
    <x v="0"/>
    <x v="1"/>
    <x v="1"/>
    <x v="1"/>
    <n v="1"/>
    <n v="0"/>
    <n v="0"/>
    <n v="0"/>
    <n v="0"/>
    <n v="0"/>
    <n v="0"/>
    <m/>
    <n v="61.7"/>
    <m/>
    <s v="Unique"/>
    <s v="Valid"/>
  </r>
  <r>
    <s v="USR-100173"/>
    <d v="2025-02-18T00:00:00"/>
    <x v="0"/>
    <x v="0"/>
    <x v="2"/>
    <x v="1"/>
    <x v="0"/>
    <n v="0"/>
    <n v="0"/>
    <n v="0"/>
    <n v="0"/>
    <n v="0"/>
    <n v="1"/>
    <n v="0"/>
    <m/>
    <n v="81.3"/>
    <m/>
    <s v="Unique"/>
    <s v="Valid"/>
  </r>
  <r>
    <s v="USR-100174"/>
    <d v="2025-01-26T00:00:00"/>
    <x v="0"/>
    <x v="0"/>
    <x v="0"/>
    <x v="0"/>
    <x v="1"/>
    <n v="1"/>
    <n v="0"/>
    <n v="0"/>
    <n v="0"/>
    <n v="0"/>
    <n v="2"/>
    <n v="0"/>
    <m/>
    <n v="28.7"/>
    <m/>
    <s v="Unique"/>
    <s v="Valid"/>
  </r>
  <r>
    <s v="USR-100175"/>
    <d v="2025-04-23T00:00:00"/>
    <x v="0"/>
    <x v="2"/>
    <x v="1"/>
    <x v="4"/>
    <x v="0"/>
    <n v="0"/>
    <n v="0"/>
    <n v="0"/>
    <n v="0"/>
    <n v="0"/>
    <n v="0"/>
    <n v="0"/>
    <m/>
    <n v="53"/>
    <m/>
    <s v="Unique"/>
    <s v="Valid"/>
  </r>
  <r>
    <s v="USR-100176"/>
    <d v="2025-03-16T00:00:00"/>
    <x v="0"/>
    <x v="3"/>
    <x v="2"/>
    <x v="3"/>
    <x v="0"/>
    <n v="1"/>
    <n v="0"/>
    <n v="0"/>
    <n v="0"/>
    <n v="0"/>
    <n v="0"/>
    <n v="0"/>
    <m/>
    <n v="54.9"/>
    <m/>
    <s v="Unique"/>
    <s v="Valid"/>
  </r>
  <r>
    <s v="USR-100177"/>
    <d v="2025-04-29T00:00:00"/>
    <x v="0"/>
    <x v="1"/>
    <x v="1"/>
    <x v="1"/>
    <x v="0"/>
    <n v="1"/>
    <n v="0"/>
    <n v="0"/>
    <n v="0"/>
    <n v="0"/>
    <n v="0"/>
    <n v="0"/>
    <m/>
    <n v="58.2"/>
    <m/>
    <s v="Unique"/>
    <s v="Valid"/>
  </r>
  <r>
    <s v="USR-100178"/>
    <d v="2025-04-06T00:00:00"/>
    <x v="0"/>
    <x v="0"/>
    <x v="1"/>
    <x v="1"/>
    <x v="1"/>
    <n v="0"/>
    <n v="0"/>
    <n v="0"/>
    <n v="0"/>
    <n v="0"/>
    <n v="0"/>
    <n v="0"/>
    <m/>
    <n v="80.599999999999994"/>
    <m/>
    <s v="Unique"/>
    <s v="Valid"/>
  </r>
  <r>
    <s v="USR-100179"/>
    <d v="2025-04-17T00:00:00"/>
    <x v="0"/>
    <x v="0"/>
    <x v="0"/>
    <x v="3"/>
    <x v="2"/>
    <n v="1"/>
    <n v="1"/>
    <n v="1"/>
    <n v="0"/>
    <n v="0"/>
    <n v="0"/>
    <n v="0"/>
    <m/>
    <n v="38.4"/>
    <m/>
    <s v="Unique"/>
    <s v="Valid"/>
  </r>
  <r>
    <s v="USR-100180"/>
    <d v="2025-04-03T00:00:00"/>
    <x v="0"/>
    <x v="3"/>
    <x v="1"/>
    <x v="2"/>
    <x v="1"/>
    <n v="1"/>
    <n v="0"/>
    <n v="0"/>
    <n v="0"/>
    <n v="0"/>
    <n v="0"/>
    <n v="0"/>
    <m/>
    <n v="56.1"/>
    <m/>
    <s v="Unique"/>
    <s v="Valid"/>
  </r>
  <r>
    <s v="USR-100181"/>
    <d v="2025-04-25T00:00:00"/>
    <x v="0"/>
    <x v="1"/>
    <x v="1"/>
    <x v="2"/>
    <x v="1"/>
    <n v="0"/>
    <n v="0"/>
    <n v="0"/>
    <n v="0"/>
    <n v="0"/>
    <n v="0"/>
    <n v="0"/>
    <m/>
    <n v="62.6"/>
    <m/>
    <s v="Unique"/>
    <s v="Valid"/>
  </r>
  <r>
    <s v="USR-100182"/>
    <d v="2025-04-30T00:00:00"/>
    <x v="0"/>
    <x v="3"/>
    <x v="1"/>
    <x v="1"/>
    <x v="2"/>
    <n v="0"/>
    <n v="0"/>
    <n v="0"/>
    <n v="0"/>
    <n v="0"/>
    <n v="0"/>
    <n v="0"/>
    <m/>
    <n v="36.299999999999997"/>
    <m/>
    <s v="Unique"/>
    <s v="Valid"/>
  </r>
  <r>
    <s v="USR-100183"/>
    <d v="2025-03-12T00:00:00"/>
    <x v="0"/>
    <x v="3"/>
    <x v="1"/>
    <x v="2"/>
    <x v="1"/>
    <n v="1"/>
    <n v="0"/>
    <n v="0"/>
    <n v="0"/>
    <n v="0"/>
    <n v="0"/>
    <n v="0"/>
    <m/>
    <n v="52.1"/>
    <m/>
    <s v="Unique"/>
    <s v="Valid"/>
  </r>
  <r>
    <s v="USR-100184"/>
    <d v="2025-05-04T00:00:00"/>
    <x v="0"/>
    <x v="3"/>
    <x v="1"/>
    <x v="1"/>
    <x v="1"/>
    <n v="1"/>
    <n v="0"/>
    <n v="0"/>
    <n v="0"/>
    <n v="0"/>
    <n v="0"/>
    <n v="0"/>
    <m/>
    <n v="45.1"/>
    <m/>
    <s v="Unique"/>
    <s v="Valid"/>
  </r>
  <r>
    <s v="USR-100185"/>
    <d v="2025-02-07T00:00:00"/>
    <x v="0"/>
    <x v="3"/>
    <x v="2"/>
    <x v="2"/>
    <x v="2"/>
    <n v="0"/>
    <n v="0"/>
    <n v="0"/>
    <n v="0"/>
    <n v="0"/>
    <n v="0"/>
    <n v="0"/>
    <m/>
    <n v="67.5"/>
    <m/>
    <s v="Unique"/>
    <s v="Valid"/>
  </r>
  <r>
    <s v="USR-100186"/>
    <d v="2025-04-28T00:00:00"/>
    <x v="0"/>
    <x v="2"/>
    <x v="2"/>
    <x v="0"/>
    <x v="0"/>
    <n v="1"/>
    <n v="1"/>
    <n v="1"/>
    <n v="0"/>
    <n v="0"/>
    <n v="0"/>
    <n v="0"/>
    <m/>
    <n v="80"/>
    <m/>
    <s v="Unique"/>
    <s v="Valid"/>
  </r>
  <r>
    <s v="USR-100187"/>
    <d v="2025-05-15T00:00:00"/>
    <x v="0"/>
    <x v="2"/>
    <x v="0"/>
    <x v="3"/>
    <x v="1"/>
    <n v="0"/>
    <n v="0"/>
    <n v="0"/>
    <n v="0"/>
    <n v="0"/>
    <n v="0"/>
    <n v="0"/>
    <m/>
    <n v="56.4"/>
    <m/>
    <s v="Unique"/>
    <s v="Valid"/>
  </r>
  <r>
    <s v="USR-100188"/>
    <d v="2025-01-18T00:00:00"/>
    <x v="0"/>
    <x v="1"/>
    <x v="1"/>
    <x v="2"/>
    <x v="0"/>
    <n v="0"/>
    <n v="0"/>
    <n v="0"/>
    <n v="0"/>
    <n v="0"/>
    <n v="0"/>
    <n v="0"/>
    <m/>
    <n v="55.4"/>
    <m/>
    <s v="Unique"/>
    <s v="Valid"/>
  </r>
  <r>
    <s v="USR-100189"/>
    <d v="2025-02-15T00:00:00"/>
    <x v="0"/>
    <x v="3"/>
    <x v="1"/>
    <x v="4"/>
    <x v="0"/>
    <n v="1"/>
    <n v="0"/>
    <n v="0"/>
    <n v="0"/>
    <n v="0"/>
    <n v="0"/>
    <n v="0"/>
    <m/>
    <n v="67.900000000000006"/>
    <m/>
    <s v="Unique"/>
    <s v="Valid"/>
  </r>
  <r>
    <s v="USR-100190"/>
    <d v="2025-02-18T00:00:00"/>
    <x v="0"/>
    <x v="0"/>
    <x v="2"/>
    <x v="0"/>
    <x v="1"/>
    <n v="1"/>
    <n v="0"/>
    <n v="0"/>
    <n v="0"/>
    <n v="0"/>
    <n v="0"/>
    <n v="0"/>
    <m/>
    <n v="62.5"/>
    <m/>
    <s v="Unique"/>
    <s v="Valid"/>
  </r>
  <r>
    <s v="USR-100191"/>
    <d v="2025-01-30T00:00:00"/>
    <x v="0"/>
    <x v="3"/>
    <x v="0"/>
    <x v="0"/>
    <x v="0"/>
    <n v="1"/>
    <n v="1"/>
    <n v="1"/>
    <n v="0"/>
    <n v="0"/>
    <n v="0"/>
    <n v="0"/>
    <m/>
    <n v="54.3"/>
    <m/>
    <s v="Unique"/>
    <s v="Valid"/>
  </r>
  <r>
    <s v="USR-100192"/>
    <d v="2025-02-09T00:00:00"/>
    <x v="0"/>
    <x v="3"/>
    <x v="0"/>
    <x v="1"/>
    <x v="0"/>
    <n v="1"/>
    <n v="0"/>
    <n v="0"/>
    <n v="0"/>
    <n v="0"/>
    <n v="0"/>
    <n v="0"/>
    <m/>
    <n v="37.5"/>
    <m/>
    <s v="Unique"/>
    <s v="Valid"/>
  </r>
  <r>
    <s v="USR-100193"/>
    <d v="2025-03-16T00:00:00"/>
    <x v="0"/>
    <x v="1"/>
    <x v="1"/>
    <x v="2"/>
    <x v="0"/>
    <n v="1"/>
    <n v="0"/>
    <n v="0"/>
    <n v="0"/>
    <n v="0"/>
    <n v="0"/>
    <n v="0"/>
    <m/>
    <n v="52.6"/>
    <m/>
    <s v="Unique"/>
    <s v="Valid"/>
  </r>
  <r>
    <s v="USR-100194"/>
    <d v="2025-05-19T00:00:00"/>
    <x v="0"/>
    <x v="0"/>
    <x v="1"/>
    <x v="2"/>
    <x v="1"/>
    <n v="1"/>
    <n v="0"/>
    <n v="0"/>
    <n v="0"/>
    <n v="0"/>
    <n v="0"/>
    <n v="0"/>
    <m/>
    <n v="46.1"/>
    <m/>
    <s v="Unique"/>
    <s v="Valid"/>
  </r>
  <r>
    <s v="USR-100195"/>
    <d v="2025-05-16T00:00:00"/>
    <x v="0"/>
    <x v="3"/>
    <x v="0"/>
    <x v="1"/>
    <x v="0"/>
    <n v="1"/>
    <n v="0"/>
    <n v="0"/>
    <n v="0"/>
    <n v="0"/>
    <n v="0"/>
    <n v="0"/>
    <m/>
    <n v="54.7"/>
    <m/>
    <s v="Unique"/>
    <s v="Valid"/>
  </r>
  <r>
    <s v="USR-100196"/>
    <d v="2025-04-25T00:00:00"/>
    <x v="0"/>
    <x v="1"/>
    <x v="0"/>
    <x v="3"/>
    <x v="0"/>
    <n v="0"/>
    <n v="0"/>
    <n v="0"/>
    <n v="0"/>
    <n v="0"/>
    <n v="0"/>
    <n v="0"/>
    <m/>
    <n v="74.2"/>
    <m/>
    <s v="Unique"/>
    <s v="Valid"/>
  </r>
  <r>
    <s v="USR-100197"/>
    <d v="2025-02-27T00:00:00"/>
    <x v="0"/>
    <x v="0"/>
    <x v="1"/>
    <x v="4"/>
    <x v="0"/>
    <n v="1"/>
    <n v="1"/>
    <n v="1"/>
    <n v="1"/>
    <n v="1052.8"/>
    <n v="2"/>
    <n v="0"/>
    <n v="6"/>
    <n v="64.7"/>
    <m/>
    <s v="Unique"/>
    <s v="Valid"/>
  </r>
  <r>
    <s v="USR-100198"/>
    <d v="2025-04-26T00:00:00"/>
    <x v="0"/>
    <x v="3"/>
    <x v="1"/>
    <x v="2"/>
    <x v="0"/>
    <n v="0"/>
    <n v="0"/>
    <n v="0"/>
    <n v="0"/>
    <n v="0"/>
    <n v="0"/>
    <n v="0"/>
    <m/>
    <n v="65.900000000000006"/>
    <m/>
    <s v="Unique"/>
    <s v="Valid"/>
  </r>
  <r>
    <s v="USR-100199"/>
    <d v="2025-05-14T00:00:00"/>
    <x v="0"/>
    <x v="0"/>
    <x v="1"/>
    <x v="1"/>
    <x v="0"/>
    <n v="1"/>
    <n v="0"/>
    <n v="0"/>
    <n v="0"/>
    <n v="0"/>
    <n v="0"/>
    <n v="0"/>
    <m/>
    <n v="64"/>
    <m/>
    <s v="Unique"/>
    <s v="Valid"/>
  </r>
  <r>
    <s v="USR-100200"/>
    <d v="2025-03-05T00:00:00"/>
    <x v="0"/>
    <x v="0"/>
    <x v="1"/>
    <x v="1"/>
    <x v="2"/>
    <n v="1"/>
    <n v="0"/>
    <n v="0"/>
    <n v="0"/>
    <n v="0"/>
    <n v="0"/>
    <n v="0"/>
    <m/>
    <n v="57.2"/>
    <m/>
    <s v="Unique"/>
    <s v="Valid"/>
  </r>
  <r>
    <s v="USR-100201"/>
    <d v="2025-04-02T00:00:00"/>
    <x v="0"/>
    <x v="1"/>
    <x v="0"/>
    <x v="1"/>
    <x v="1"/>
    <n v="1"/>
    <n v="0"/>
    <n v="0"/>
    <n v="0"/>
    <n v="0"/>
    <n v="0"/>
    <n v="0"/>
    <m/>
    <n v="80.5"/>
    <m/>
    <s v="Unique"/>
    <s v="Valid"/>
  </r>
  <r>
    <s v="USR-100202"/>
    <d v="2025-05-14T00:00:00"/>
    <x v="0"/>
    <x v="3"/>
    <x v="2"/>
    <x v="1"/>
    <x v="1"/>
    <n v="0"/>
    <n v="0"/>
    <n v="0"/>
    <n v="0"/>
    <n v="0"/>
    <n v="0"/>
    <n v="0"/>
    <m/>
    <n v="53.9"/>
    <m/>
    <s v="Unique"/>
    <s v="Valid"/>
  </r>
  <r>
    <s v="USR-100203"/>
    <d v="2025-05-21T00:00:00"/>
    <x v="0"/>
    <x v="0"/>
    <x v="1"/>
    <x v="2"/>
    <x v="1"/>
    <n v="1"/>
    <n v="1"/>
    <n v="0"/>
    <n v="0"/>
    <n v="0"/>
    <n v="0"/>
    <n v="0"/>
    <m/>
    <n v="77.5"/>
    <m/>
    <s v="Unique"/>
    <s v="Valid"/>
  </r>
  <r>
    <s v="USR-100204"/>
    <d v="2025-01-27T00:00:00"/>
    <x v="0"/>
    <x v="2"/>
    <x v="1"/>
    <x v="4"/>
    <x v="0"/>
    <n v="0"/>
    <n v="0"/>
    <n v="0"/>
    <n v="0"/>
    <n v="0"/>
    <n v="0"/>
    <n v="0"/>
    <m/>
    <n v="84.2"/>
    <m/>
    <s v="Unique"/>
    <s v="Valid"/>
  </r>
  <r>
    <s v="USR-100205"/>
    <d v="2025-05-22T00:00:00"/>
    <x v="0"/>
    <x v="1"/>
    <x v="0"/>
    <x v="1"/>
    <x v="1"/>
    <n v="1"/>
    <n v="1"/>
    <n v="0"/>
    <n v="0"/>
    <n v="0"/>
    <n v="0"/>
    <n v="0"/>
    <m/>
    <n v="54.9"/>
    <m/>
    <s v="Unique"/>
    <s v="Valid"/>
  </r>
  <r>
    <s v="USR-100206"/>
    <d v="2025-05-19T00:00:00"/>
    <x v="0"/>
    <x v="3"/>
    <x v="1"/>
    <x v="2"/>
    <x v="1"/>
    <n v="0"/>
    <n v="0"/>
    <n v="0"/>
    <n v="0"/>
    <n v="0"/>
    <n v="0"/>
    <n v="0"/>
    <m/>
    <n v="69.3"/>
    <m/>
    <s v="Unique"/>
    <s v="Valid"/>
  </r>
  <r>
    <s v="USR-100207"/>
    <d v="2025-01-14T00:00:00"/>
    <x v="0"/>
    <x v="3"/>
    <x v="0"/>
    <x v="2"/>
    <x v="1"/>
    <n v="1"/>
    <n v="0"/>
    <n v="0"/>
    <n v="0"/>
    <n v="0"/>
    <n v="2"/>
    <n v="0"/>
    <m/>
    <n v="42.3"/>
    <m/>
    <s v="Unique"/>
    <s v="Valid"/>
  </r>
  <r>
    <s v="USR-100208"/>
    <d v="2025-01-21T00:00:00"/>
    <x v="0"/>
    <x v="0"/>
    <x v="0"/>
    <x v="3"/>
    <x v="2"/>
    <n v="1"/>
    <n v="0"/>
    <n v="0"/>
    <n v="0"/>
    <n v="0"/>
    <n v="1"/>
    <n v="0"/>
    <m/>
    <n v="69.599999999999994"/>
    <m/>
    <s v="Unique"/>
    <s v="Valid"/>
  </r>
  <r>
    <s v="USR-100209"/>
    <d v="2025-05-16T00:00:00"/>
    <x v="0"/>
    <x v="2"/>
    <x v="1"/>
    <x v="1"/>
    <x v="1"/>
    <n v="0"/>
    <n v="0"/>
    <n v="0"/>
    <n v="0"/>
    <n v="0"/>
    <n v="0"/>
    <n v="0"/>
    <m/>
    <n v="40.700000000000003"/>
    <m/>
    <s v="Unique"/>
    <s v="Valid"/>
  </r>
  <r>
    <s v="USR-100210"/>
    <d v="2025-02-02T00:00:00"/>
    <x v="0"/>
    <x v="0"/>
    <x v="1"/>
    <x v="0"/>
    <x v="1"/>
    <n v="1"/>
    <n v="0"/>
    <n v="0"/>
    <n v="0"/>
    <n v="0"/>
    <n v="0"/>
    <n v="0"/>
    <m/>
    <n v="54"/>
    <m/>
    <s v="Unique"/>
    <s v="Valid"/>
  </r>
  <r>
    <s v="USR-100211"/>
    <d v="2025-03-23T00:00:00"/>
    <x v="0"/>
    <x v="2"/>
    <x v="3"/>
    <x v="3"/>
    <x v="1"/>
    <n v="1"/>
    <n v="1"/>
    <n v="1"/>
    <n v="1"/>
    <n v="553.37"/>
    <n v="0"/>
    <n v="0"/>
    <n v="5"/>
    <n v="46.3"/>
    <m/>
    <s v="Unique"/>
    <s v="Valid"/>
  </r>
  <r>
    <s v="USR-100212"/>
    <d v="2025-01-24T00:00:00"/>
    <x v="0"/>
    <x v="2"/>
    <x v="1"/>
    <x v="1"/>
    <x v="1"/>
    <n v="1"/>
    <n v="0"/>
    <n v="0"/>
    <n v="0"/>
    <n v="0"/>
    <n v="0"/>
    <n v="0"/>
    <m/>
    <n v="64.2"/>
    <m/>
    <s v="Unique"/>
    <s v="Valid"/>
  </r>
  <r>
    <s v="USR-100213"/>
    <d v="2025-04-12T00:00:00"/>
    <x v="0"/>
    <x v="0"/>
    <x v="0"/>
    <x v="1"/>
    <x v="1"/>
    <n v="1"/>
    <n v="0"/>
    <n v="0"/>
    <n v="0"/>
    <n v="0"/>
    <n v="0"/>
    <n v="0"/>
    <m/>
    <n v="75.2"/>
    <m/>
    <s v="Unique"/>
    <s v="Valid"/>
  </r>
  <r>
    <s v="USR-100214"/>
    <d v="2025-02-18T00:00:00"/>
    <x v="0"/>
    <x v="2"/>
    <x v="0"/>
    <x v="2"/>
    <x v="1"/>
    <n v="1"/>
    <n v="1"/>
    <n v="0"/>
    <n v="0"/>
    <n v="0"/>
    <n v="0"/>
    <n v="0"/>
    <m/>
    <n v="60.9"/>
    <m/>
    <s v="Unique"/>
    <s v="Valid"/>
  </r>
  <r>
    <s v="USR-100215"/>
    <d v="2025-05-28T00:00:00"/>
    <x v="0"/>
    <x v="3"/>
    <x v="1"/>
    <x v="0"/>
    <x v="0"/>
    <n v="1"/>
    <n v="1"/>
    <n v="1"/>
    <n v="0"/>
    <n v="0"/>
    <n v="0"/>
    <n v="0"/>
    <m/>
    <n v="62.1"/>
    <m/>
    <s v="Unique"/>
    <s v="Valid"/>
  </r>
  <r>
    <s v="USR-100216"/>
    <d v="2025-04-18T00:00:00"/>
    <x v="0"/>
    <x v="3"/>
    <x v="1"/>
    <x v="4"/>
    <x v="0"/>
    <n v="0"/>
    <n v="0"/>
    <n v="0"/>
    <n v="0"/>
    <n v="0"/>
    <n v="0"/>
    <n v="0"/>
    <m/>
    <n v="45.4"/>
    <m/>
    <s v="Unique"/>
    <s v="Valid"/>
  </r>
  <r>
    <s v="USR-100217"/>
    <d v="2025-03-27T00:00:00"/>
    <x v="0"/>
    <x v="0"/>
    <x v="1"/>
    <x v="2"/>
    <x v="0"/>
    <n v="1"/>
    <n v="0"/>
    <n v="0"/>
    <n v="0"/>
    <n v="0"/>
    <n v="0"/>
    <n v="0"/>
    <m/>
    <n v="53.3"/>
    <m/>
    <s v="Unique"/>
    <s v="Valid"/>
  </r>
  <r>
    <s v="USR-100218"/>
    <d v="2025-02-25T00:00:00"/>
    <x v="0"/>
    <x v="0"/>
    <x v="2"/>
    <x v="4"/>
    <x v="1"/>
    <n v="1"/>
    <n v="0"/>
    <n v="0"/>
    <n v="0"/>
    <n v="0"/>
    <n v="0"/>
    <n v="0"/>
    <m/>
    <n v="60.02"/>
    <m/>
    <s v="Unique"/>
    <s v="Valid"/>
  </r>
  <r>
    <s v="USR-100219"/>
    <d v="2025-02-19T00:00:00"/>
    <x v="0"/>
    <x v="2"/>
    <x v="1"/>
    <x v="2"/>
    <x v="1"/>
    <n v="0"/>
    <n v="0"/>
    <n v="0"/>
    <n v="0"/>
    <n v="0"/>
    <n v="1"/>
    <n v="0"/>
    <m/>
    <n v="38.200000000000003"/>
    <m/>
    <s v="Unique"/>
    <s v="Valid"/>
  </r>
  <r>
    <s v="USR-100220"/>
    <d v="2025-04-11T00:00:00"/>
    <x v="0"/>
    <x v="1"/>
    <x v="1"/>
    <x v="2"/>
    <x v="1"/>
    <n v="1"/>
    <n v="1"/>
    <n v="0"/>
    <n v="0"/>
    <n v="0"/>
    <n v="3"/>
    <n v="0"/>
    <m/>
    <n v="59"/>
    <m/>
    <s v="Unique"/>
    <s v="Valid"/>
  </r>
  <r>
    <s v="USR-100221"/>
    <d v="2025-01-22T00:00:00"/>
    <x v="0"/>
    <x v="2"/>
    <x v="2"/>
    <x v="3"/>
    <x v="2"/>
    <n v="1"/>
    <n v="1"/>
    <n v="1"/>
    <n v="0"/>
    <n v="0"/>
    <n v="0"/>
    <n v="0"/>
    <m/>
    <n v="80.599999999999994"/>
    <m/>
    <s v="Unique"/>
    <s v="Valid"/>
  </r>
  <r>
    <s v="USR-100222"/>
    <d v="2025-01-12T00:00:00"/>
    <x v="0"/>
    <x v="3"/>
    <x v="1"/>
    <x v="4"/>
    <x v="1"/>
    <n v="1"/>
    <n v="0"/>
    <n v="0"/>
    <n v="0"/>
    <n v="0"/>
    <n v="0"/>
    <n v="0"/>
    <m/>
    <n v="67"/>
    <m/>
    <s v="Unique"/>
    <s v="Valid"/>
  </r>
  <r>
    <s v="USR-100223"/>
    <d v="2025-02-17T00:00:00"/>
    <x v="0"/>
    <x v="1"/>
    <x v="1"/>
    <x v="0"/>
    <x v="1"/>
    <n v="1"/>
    <n v="0"/>
    <n v="0"/>
    <n v="0"/>
    <n v="0"/>
    <n v="1"/>
    <n v="0"/>
    <m/>
    <n v="72.099999999999994"/>
    <m/>
    <s v="Unique"/>
    <s v="Valid"/>
  </r>
  <r>
    <s v="USR-100224"/>
    <d v="2025-04-11T00:00:00"/>
    <x v="0"/>
    <x v="1"/>
    <x v="0"/>
    <x v="1"/>
    <x v="1"/>
    <n v="0"/>
    <n v="0"/>
    <n v="0"/>
    <n v="0"/>
    <n v="0"/>
    <n v="0"/>
    <n v="0"/>
    <m/>
    <n v="74.099999999999994"/>
    <m/>
    <s v="Unique"/>
    <s v="Valid"/>
  </r>
  <r>
    <s v="USR-100225"/>
    <d v="2025-05-25T00:00:00"/>
    <x v="0"/>
    <x v="3"/>
    <x v="1"/>
    <x v="3"/>
    <x v="2"/>
    <n v="0"/>
    <n v="0"/>
    <n v="0"/>
    <n v="0"/>
    <n v="0"/>
    <n v="0"/>
    <n v="0"/>
    <m/>
    <n v="84.8"/>
    <m/>
    <s v="Unique"/>
    <s v="Valid"/>
  </r>
  <r>
    <s v="USR-100226"/>
    <d v="2025-03-12T00:00:00"/>
    <x v="0"/>
    <x v="3"/>
    <x v="1"/>
    <x v="1"/>
    <x v="0"/>
    <n v="1"/>
    <n v="0"/>
    <n v="0"/>
    <n v="0"/>
    <n v="0"/>
    <n v="0"/>
    <n v="0"/>
    <m/>
    <n v="33"/>
    <m/>
    <s v="Unique"/>
    <s v="Valid"/>
  </r>
  <r>
    <s v="USR-100227"/>
    <d v="2025-04-20T00:00:00"/>
    <x v="0"/>
    <x v="0"/>
    <x v="2"/>
    <x v="0"/>
    <x v="1"/>
    <n v="0"/>
    <n v="0"/>
    <n v="0"/>
    <n v="0"/>
    <n v="0"/>
    <n v="0"/>
    <n v="0"/>
    <m/>
    <n v="52.5"/>
    <m/>
    <s v="Unique"/>
    <s v="Valid"/>
  </r>
  <r>
    <s v="USR-100228"/>
    <d v="2025-02-23T00:00:00"/>
    <x v="0"/>
    <x v="0"/>
    <x v="2"/>
    <x v="1"/>
    <x v="1"/>
    <n v="0"/>
    <n v="0"/>
    <n v="0"/>
    <n v="0"/>
    <n v="0"/>
    <n v="0"/>
    <n v="0"/>
    <m/>
    <n v="66.900000000000006"/>
    <m/>
    <s v="Unique"/>
    <s v="Valid"/>
  </r>
  <r>
    <s v="USR-100229"/>
    <d v="2025-01-24T00:00:00"/>
    <x v="0"/>
    <x v="0"/>
    <x v="1"/>
    <x v="1"/>
    <x v="0"/>
    <n v="1"/>
    <n v="1"/>
    <n v="1"/>
    <n v="0"/>
    <n v="0"/>
    <n v="1"/>
    <n v="0"/>
    <m/>
    <n v="32.700000000000003"/>
    <m/>
    <s v="Unique"/>
    <s v="Valid"/>
  </r>
  <r>
    <s v="USR-100230"/>
    <d v="2025-01-16T00:00:00"/>
    <x v="0"/>
    <x v="1"/>
    <x v="1"/>
    <x v="1"/>
    <x v="2"/>
    <n v="1"/>
    <n v="1"/>
    <n v="1"/>
    <n v="0"/>
    <n v="0"/>
    <n v="1"/>
    <n v="0"/>
    <m/>
    <n v="70.599999999999994"/>
    <m/>
    <s v="Unique"/>
    <s v="Valid"/>
  </r>
  <r>
    <s v="USR-100231"/>
    <d v="2025-02-17T00:00:00"/>
    <x v="0"/>
    <x v="0"/>
    <x v="1"/>
    <x v="4"/>
    <x v="1"/>
    <n v="0"/>
    <n v="0"/>
    <n v="0"/>
    <n v="0"/>
    <n v="0"/>
    <n v="0"/>
    <n v="0"/>
    <m/>
    <n v="69.400000000000006"/>
    <m/>
    <s v="Unique"/>
    <s v="Valid"/>
  </r>
  <r>
    <s v="USR-100232"/>
    <d v="2025-05-04T00:00:00"/>
    <x v="0"/>
    <x v="0"/>
    <x v="0"/>
    <x v="1"/>
    <x v="0"/>
    <n v="1"/>
    <n v="0"/>
    <n v="0"/>
    <n v="0"/>
    <n v="0"/>
    <n v="0"/>
    <n v="0"/>
    <m/>
    <n v="56.1"/>
    <m/>
    <s v="Unique"/>
    <s v="Valid"/>
  </r>
  <r>
    <s v="USR-100233"/>
    <d v="2025-01-12T00:00:00"/>
    <x v="0"/>
    <x v="1"/>
    <x v="1"/>
    <x v="1"/>
    <x v="0"/>
    <n v="0"/>
    <n v="0"/>
    <n v="0"/>
    <n v="0"/>
    <n v="0"/>
    <n v="0"/>
    <n v="0"/>
    <m/>
    <n v="55.8"/>
    <m/>
    <s v="Unique"/>
    <s v="Valid"/>
  </r>
  <r>
    <s v="USR-100234"/>
    <d v="2025-04-28T00:00:00"/>
    <x v="0"/>
    <x v="0"/>
    <x v="2"/>
    <x v="1"/>
    <x v="1"/>
    <n v="0"/>
    <n v="0"/>
    <n v="0"/>
    <n v="0"/>
    <n v="0"/>
    <n v="0"/>
    <n v="0"/>
    <m/>
    <n v="49.3"/>
    <m/>
    <s v="Unique"/>
    <s v="Valid"/>
  </r>
  <r>
    <s v="USR-100235"/>
    <d v="2025-02-26T00:00:00"/>
    <x v="0"/>
    <x v="0"/>
    <x v="1"/>
    <x v="1"/>
    <x v="1"/>
    <n v="0"/>
    <n v="0"/>
    <n v="0"/>
    <n v="0"/>
    <n v="0"/>
    <n v="0"/>
    <n v="0"/>
    <m/>
    <n v="71.8"/>
    <m/>
    <s v="Unique"/>
    <s v="Valid"/>
  </r>
  <r>
    <s v="USR-100236"/>
    <d v="2025-03-18T00:00:00"/>
    <x v="0"/>
    <x v="1"/>
    <x v="1"/>
    <x v="4"/>
    <x v="1"/>
    <n v="1"/>
    <n v="0"/>
    <n v="0"/>
    <n v="0"/>
    <n v="0"/>
    <n v="3"/>
    <n v="0"/>
    <m/>
    <n v="39.700000000000003"/>
    <m/>
    <s v="Unique"/>
    <s v="Valid"/>
  </r>
  <r>
    <s v="USR-100237"/>
    <d v="2025-03-01T00:00:00"/>
    <x v="0"/>
    <x v="3"/>
    <x v="0"/>
    <x v="1"/>
    <x v="2"/>
    <n v="1"/>
    <n v="0"/>
    <n v="0"/>
    <n v="0"/>
    <n v="0"/>
    <n v="0"/>
    <n v="0"/>
    <m/>
    <n v="45.4"/>
    <m/>
    <s v="Unique"/>
    <s v="Valid"/>
  </r>
  <r>
    <s v="USR-100238"/>
    <d v="2025-04-05T00:00:00"/>
    <x v="0"/>
    <x v="0"/>
    <x v="0"/>
    <x v="4"/>
    <x v="2"/>
    <n v="1"/>
    <n v="0"/>
    <n v="0"/>
    <n v="0"/>
    <n v="0"/>
    <n v="0"/>
    <n v="0"/>
    <m/>
    <n v="69.900000000000006"/>
    <m/>
    <s v="Unique"/>
    <s v="Valid"/>
  </r>
  <r>
    <s v="USR-100239"/>
    <d v="2025-03-12T00:00:00"/>
    <x v="0"/>
    <x v="0"/>
    <x v="0"/>
    <x v="4"/>
    <x v="1"/>
    <n v="1"/>
    <n v="1"/>
    <n v="1"/>
    <n v="0"/>
    <n v="0"/>
    <n v="0"/>
    <n v="0"/>
    <m/>
    <n v="56.1"/>
    <m/>
    <s v="Unique"/>
    <s v="Valid"/>
  </r>
  <r>
    <s v="USR-100240"/>
    <d v="2025-03-15T00:00:00"/>
    <x v="0"/>
    <x v="1"/>
    <x v="1"/>
    <x v="3"/>
    <x v="0"/>
    <n v="1"/>
    <n v="1"/>
    <n v="0"/>
    <n v="0"/>
    <n v="0"/>
    <n v="0"/>
    <n v="0"/>
    <m/>
    <n v="45.9"/>
    <m/>
    <s v="Unique"/>
    <s v="Valid"/>
  </r>
  <r>
    <s v="USR-100241"/>
    <d v="2025-02-23T00:00:00"/>
    <x v="0"/>
    <x v="1"/>
    <x v="1"/>
    <x v="0"/>
    <x v="1"/>
    <n v="0"/>
    <n v="0"/>
    <n v="0"/>
    <n v="0"/>
    <n v="0"/>
    <n v="0"/>
    <n v="0"/>
    <m/>
    <n v="65.8"/>
    <m/>
    <s v="Unique"/>
    <s v="Valid"/>
  </r>
  <r>
    <s v="USR-100242"/>
    <d v="2025-04-22T00:00:00"/>
    <x v="0"/>
    <x v="0"/>
    <x v="1"/>
    <x v="1"/>
    <x v="0"/>
    <n v="1"/>
    <n v="0"/>
    <n v="0"/>
    <n v="0"/>
    <n v="0"/>
    <n v="0"/>
    <n v="0"/>
    <m/>
    <n v="48.2"/>
    <m/>
    <s v="Unique"/>
    <s v="Valid"/>
  </r>
  <r>
    <s v="USR-100243"/>
    <d v="2025-01-09T00:00:00"/>
    <x v="0"/>
    <x v="2"/>
    <x v="1"/>
    <x v="1"/>
    <x v="0"/>
    <n v="1"/>
    <n v="1"/>
    <n v="1"/>
    <n v="0"/>
    <n v="0"/>
    <n v="0"/>
    <n v="0"/>
    <m/>
    <n v="81.099999999999994"/>
    <m/>
    <s v="Unique"/>
    <s v="Valid"/>
  </r>
  <r>
    <s v="USR-100244"/>
    <d v="2025-03-05T00:00:00"/>
    <x v="0"/>
    <x v="2"/>
    <x v="2"/>
    <x v="4"/>
    <x v="2"/>
    <n v="1"/>
    <n v="1"/>
    <n v="0"/>
    <n v="0"/>
    <n v="0"/>
    <n v="0"/>
    <n v="0"/>
    <m/>
    <n v="53.2"/>
    <m/>
    <s v="Unique"/>
    <s v="Valid"/>
  </r>
  <r>
    <s v="USR-100245"/>
    <d v="2025-01-28T00:00:00"/>
    <x v="0"/>
    <x v="0"/>
    <x v="1"/>
    <x v="4"/>
    <x v="1"/>
    <n v="1"/>
    <n v="1"/>
    <n v="1"/>
    <n v="0"/>
    <n v="0"/>
    <n v="0"/>
    <n v="0"/>
    <m/>
    <n v="57.7"/>
    <m/>
    <s v="Unique"/>
    <s v="Valid"/>
  </r>
  <r>
    <s v="USR-100246"/>
    <d v="2025-01-21T00:00:00"/>
    <x v="0"/>
    <x v="1"/>
    <x v="1"/>
    <x v="2"/>
    <x v="2"/>
    <n v="1"/>
    <n v="1"/>
    <n v="0"/>
    <n v="0"/>
    <n v="0"/>
    <n v="0"/>
    <n v="0"/>
    <m/>
    <n v="78.900000000000006"/>
    <m/>
    <s v="Unique"/>
    <s v="Valid"/>
  </r>
  <r>
    <s v="USR-100247"/>
    <d v="2025-03-14T00:00:00"/>
    <x v="0"/>
    <x v="3"/>
    <x v="1"/>
    <x v="3"/>
    <x v="0"/>
    <n v="0"/>
    <n v="0"/>
    <n v="0"/>
    <n v="0"/>
    <n v="0"/>
    <n v="0"/>
    <n v="0"/>
    <m/>
    <n v="55.7"/>
    <m/>
    <s v="Unique"/>
    <s v="Valid"/>
  </r>
  <r>
    <s v="USR-100248"/>
    <d v="2025-02-03T00:00:00"/>
    <x v="0"/>
    <x v="1"/>
    <x v="1"/>
    <x v="2"/>
    <x v="1"/>
    <n v="0"/>
    <n v="0"/>
    <n v="0"/>
    <n v="0"/>
    <n v="0"/>
    <n v="0"/>
    <n v="0"/>
    <m/>
    <n v="52.3"/>
    <m/>
    <s v="Unique"/>
    <s v="Valid"/>
  </r>
  <r>
    <s v="USR-100249"/>
    <d v="2025-05-22T00:00:00"/>
    <x v="0"/>
    <x v="0"/>
    <x v="1"/>
    <x v="4"/>
    <x v="1"/>
    <n v="1"/>
    <n v="0"/>
    <n v="0"/>
    <n v="0"/>
    <n v="0"/>
    <n v="0"/>
    <n v="0"/>
    <m/>
    <n v="51.5"/>
    <m/>
    <s v="Unique"/>
    <s v="Valid"/>
  </r>
  <r>
    <s v="USR-100250"/>
    <d v="2025-04-25T00:00:00"/>
    <x v="0"/>
    <x v="0"/>
    <x v="0"/>
    <x v="0"/>
    <x v="1"/>
    <n v="1"/>
    <n v="0"/>
    <n v="0"/>
    <n v="0"/>
    <n v="0"/>
    <n v="0"/>
    <n v="0"/>
    <m/>
    <n v="70.8"/>
    <m/>
    <s v="Unique"/>
    <s v="Valid"/>
  </r>
  <r>
    <s v="USR-100251"/>
    <d v="2025-01-30T00:00:00"/>
    <x v="0"/>
    <x v="0"/>
    <x v="0"/>
    <x v="0"/>
    <x v="0"/>
    <n v="1"/>
    <n v="1"/>
    <n v="1"/>
    <n v="1"/>
    <n v="1250.78"/>
    <n v="0"/>
    <n v="0"/>
    <n v="10"/>
    <n v="39"/>
    <m/>
    <s v="Unique"/>
    <s v="Valid"/>
  </r>
  <r>
    <s v="USR-100252"/>
    <d v="2025-05-23T00:00:00"/>
    <x v="0"/>
    <x v="1"/>
    <x v="1"/>
    <x v="1"/>
    <x v="1"/>
    <n v="1"/>
    <n v="0"/>
    <n v="0"/>
    <n v="0"/>
    <n v="0"/>
    <n v="0"/>
    <n v="0"/>
    <m/>
    <n v="61.6"/>
    <m/>
    <s v="Unique"/>
    <s v="Valid"/>
  </r>
  <r>
    <s v="USR-100253"/>
    <d v="2025-02-14T00:00:00"/>
    <x v="0"/>
    <x v="2"/>
    <x v="0"/>
    <x v="1"/>
    <x v="1"/>
    <n v="1"/>
    <n v="1"/>
    <n v="1"/>
    <n v="0"/>
    <n v="0"/>
    <n v="0"/>
    <n v="0"/>
    <m/>
    <n v="46.8"/>
    <m/>
    <s v="Unique"/>
    <s v="Valid"/>
  </r>
  <r>
    <s v="USR-100254"/>
    <d v="2025-03-05T00:00:00"/>
    <x v="0"/>
    <x v="0"/>
    <x v="1"/>
    <x v="2"/>
    <x v="2"/>
    <n v="0"/>
    <n v="0"/>
    <n v="0"/>
    <n v="0"/>
    <n v="0"/>
    <n v="1"/>
    <n v="0"/>
    <m/>
    <n v="58.5"/>
    <m/>
    <s v="Unique"/>
    <s v="Valid"/>
  </r>
  <r>
    <s v="USR-100255"/>
    <d v="2025-05-27T00:00:00"/>
    <x v="0"/>
    <x v="0"/>
    <x v="1"/>
    <x v="2"/>
    <x v="0"/>
    <n v="0"/>
    <n v="0"/>
    <n v="0"/>
    <n v="0"/>
    <n v="0"/>
    <n v="0"/>
    <n v="0"/>
    <m/>
    <n v="70.900000000000006"/>
    <m/>
    <s v="Unique"/>
    <s v="Valid"/>
  </r>
  <r>
    <s v="USR-100256"/>
    <d v="2025-01-07T00:00:00"/>
    <x v="0"/>
    <x v="3"/>
    <x v="1"/>
    <x v="2"/>
    <x v="1"/>
    <n v="1"/>
    <n v="0"/>
    <n v="0"/>
    <n v="0"/>
    <n v="0"/>
    <n v="0"/>
    <n v="0"/>
    <m/>
    <n v="48.4"/>
    <m/>
    <s v="Unique"/>
    <s v="Valid"/>
  </r>
  <r>
    <s v="USR-100257"/>
    <d v="2025-04-21T00:00:00"/>
    <x v="0"/>
    <x v="0"/>
    <x v="1"/>
    <x v="0"/>
    <x v="1"/>
    <n v="1"/>
    <n v="0"/>
    <n v="0"/>
    <n v="0"/>
    <n v="0"/>
    <n v="0"/>
    <n v="0"/>
    <m/>
    <n v="58"/>
    <m/>
    <s v="Unique"/>
    <s v="Valid"/>
  </r>
  <r>
    <s v="USR-100258"/>
    <d v="2025-05-13T00:00:00"/>
    <x v="0"/>
    <x v="0"/>
    <x v="1"/>
    <x v="2"/>
    <x v="1"/>
    <n v="0"/>
    <n v="0"/>
    <n v="0"/>
    <n v="0"/>
    <n v="0"/>
    <n v="0"/>
    <n v="0"/>
    <m/>
    <n v="61.6"/>
    <m/>
    <s v="Unique"/>
    <s v="Valid"/>
  </r>
  <r>
    <s v="USR-100259"/>
    <d v="2025-01-28T00:00:00"/>
    <x v="0"/>
    <x v="2"/>
    <x v="0"/>
    <x v="1"/>
    <x v="1"/>
    <n v="1"/>
    <n v="0"/>
    <n v="0"/>
    <n v="0"/>
    <n v="0"/>
    <n v="0"/>
    <n v="0"/>
    <m/>
    <n v="43.2"/>
    <m/>
    <s v="Unique"/>
    <s v="Valid"/>
  </r>
  <r>
    <s v="USR-100260"/>
    <d v="2025-03-16T00:00:00"/>
    <x v="0"/>
    <x v="2"/>
    <x v="0"/>
    <x v="2"/>
    <x v="0"/>
    <n v="1"/>
    <n v="0"/>
    <n v="0"/>
    <n v="0"/>
    <n v="0"/>
    <n v="1"/>
    <n v="0"/>
    <m/>
    <n v="53.3"/>
    <m/>
    <s v="Unique"/>
    <s v="Valid"/>
  </r>
  <r>
    <s v="USR-100261"/>
    <d v="2025-04-10T00:00:00"/>
    <x v="0"/>
    <x v="2"/>
    <x v="0"/>
    <x v="4"/>
    <x v="0"/>
    <n v="0"/>
    <n v="0"/>
    <n v="0"/>
    <n v="0"/>
    <n v="0"/>
    <n v="0"/>
    <n v="0"/>
    <m/>
    <n v="33.9"/>
    <m/>
    <s v="Unique"/>
    <s v="Valid"/>
  </r>
  <r>
    <s v="USR-100262"/>
    <d v="2025-03-15T00:00:00"/>
    <x v="0"/>
    <x v="2"/>
    <x v="0"/>
    <x v="3"/>
    <x v="1"/>
    <n v="1"/>
    <n v="1"/>
    <n v="1"/>
    <n v="0"/>
    <n v="0"/>
    <n v="0"/>
    <n v="0"/>
    <m/>
    <n v="35.4"/>
    <m/>
    <s v="Unique"/>
    <s v="Valid"/>
  </r>
  <r>
    <s v="USR-100263"/>
    <d v="2025-04-07T00:00:00"/>
    <x v="0"/>
    <x v="1"/>
    <x v="0"/>
    <x v="1"/>
    <x v="0"/>
    <n v="1"/>
    <n v="0"/>
    <n v="0"/>
    <n v="0"/>
    <n v="0"/>
    <n v="0"/>
    <n v="0"/>
    <m/>
    <n v="45"/>
    <m/>
    <s v="Unique"/>
    <s v="Valid"/>
  </r>
  <r>
    <s v="USR-100264"/>
    <d v="2025-02-12T00:00:00"/>
    <x v="0"/>
    <x v="3"/>
    <x v="1"/>
    <x v="1"/>
    <x v="1"/>
    <n v="1"/>
    <n v="1"/>
    <n v="0"/>
    <n v="0"/>
    <n v="0"/>
    <n v="0"/>
    <n v="0"/>
    <m/>
    <n v="86.5"/>
    <m/>
    <s v="Unique"/>
    <s v="Valid"/>
  </r>
  <r>
    <s v="USR-100265"/>
    <d v="2025-05-05T00:00:00"/>
    <x v="0"/>
    <x v="1"/>
    <x v="1"/>
    <x v="4"/>
    <x v="1"/>
    <n v="0"/>
    <n v="0"/>
    <n v="0"/>
    <n v="0"/>
    <n v="0"/>
    <n v="0"/>
    <n v="0"/>
    <m/>
    <n v="58.1"/>
    <m/>
    <s v="Unique"/>
    <s v="Valid"/>
  </r>
  <r>
    <s v="USR-100266"/>
    <d v="2025-03-11T00:00:00"/>
    <x v="0"/>
    <x v="1"/>
    <x v="1"/>
    <x v="3"/>
    <x v="1"/>
    <n v="1"/>
    <n v="0"/>
    <n v="0"/>
    <n v="0"/>
    <n v="0"/>
    <n v="0"/>
    <n v="0"/>
    <m/>
    <n v="36.1"/>
    <m/>
    <s v="Unique"/>
    <s v="Valid"/>
  </r>
  <r>
    <s v="USR-100267"/>
    <d v="2025-02-10T00:00:00"/>
    <x v="0"/>
    <x v="2"/>
    <x v="1"/>
    <x v="4"/>
    <x v="1"/>
    <n v="0"/>
    <n v="0"/>
    <n v="0"/>
    <n v="0"/>
    <n v="0"/>
    <n v="0"/>
    <n v="0"/>
    <m/>
    <n v="62.8"/>
    <m/>
    <s v="Unique"/>
    <s v="Valid"/>
  </r>
  <r>
    <s v="USR-100268"/>
    <d v="2025-04-06T00:00:00"/>
    <x v="0"/>
    <x v="3"/>
    <x v="1"/>
    <x v="1"/>
    <x v="1"/>
    <n v="0"/>
    <n v="0"/>
    <n v="0"/>
    <n v="0"/>
    <n v="0"/>
    <n v="0"/>
    <n v="0"/>
    <m/>
    <n v="54.2"/>
    <m/>
    <s v="Unique"/>
    <s v="Valid"/>
  </r>
  <r>
    <s v="USR-100269"/>
    <d v="2025-01-06T00:00:00"/>
    <x v="0"/>
    <x v="2"/>
    <x v="1"/>
    <x v="3"/>
    <x v="1"/>
    <n v="0"/>
    <n v="0"/>
    <n v="0"/>
    <n v="0"/>
    <n v="0"/>
    <n v="0"/>
    <n v="0"/>
    <m/>
    <n v="50"/>
    <m/>
    <s v="Unique"/>
    <s v="Valid"/>
  </r>
  <r>
    <s v="USR-100270"/>
    <d v="2025-03-25T00:00:00"/>
    <x v="0"/>
    <x v="2"/>
    <x v="2"/>
    <x v="2"/>
    <x v="0"/>
    <n v="1"/>
    <n v="0"/>
    <n v="0"/>
    <n v="0"/>
    <n v="0"/>
    <n v="0"/>
    <n v="0"/>
    <m/>
    <n v="62"/>
    <m/>
    <s v="Unique"/>
    <s v="Valid"/>
  </r>
  <r>
    <s v="USR-100271"/>
    <d v="2025-02-13T00:00:00"/>
    <x v="0"/>
    <x v="2"/>
    <x v="0"/>
    <x v="3"/>
    <x v="1"/>
    <n v="1"/>
    <n v="0"/>
    <n v="0"/>
    <n v="0"/>
    <n v="0"/>
    <n v="0"/>
    <n v="0"/>
    <m/>
    <n v="29.3"/>
    <m/>
    <s v="Unique"/>
    <s v="Valid"/>
  </r>
  <r>
    <s v="USR-100272"/>
    <d v="2025-03-17T00:00:00"/>
    <x v="0"/>
    <x v="1"/>
    <x v="0"/>
    <x v="1"/>
    <x v="1"/>
    <n v="1"/>
    <n v="0"/>
    <n v="0"/>
    <n v="0"/>
    <n v="0"/>
    <n v="0"/>
    <n v="0"/>
    <m/>
    <n v="67.900000000000006"/>
    <m/>
    <s v="Unique"/>
    <s v="Valid"/>
  </r>
  <r>
    <s v="USR-100273"/>
    <d v="2025-05-10T00:00:00"/>
    <x v="0"/>
    <x v="0"/>
    <x v="1"/>
    <x v="3"/>
    <x v="1"/>
    <n v="1"/>
    <n v="1"/>
    <n v="1"/>
    <n v="0"/>
    <n v="0"/>
    <n v="0"/>
    <n v="0"/>
    <m/>
    <n v="67.599999999999994"/>
    <m/>
    <s v="Unique"/>
    <s v="Valid"/>
  </r>
  <r>
    <s v="USR-100274"/>
    <d v="2025-05-07T00:00:00"/>
    <x v="0"/>
    <x v="3"/>
    <x v="1"/>
    <x v="2"/>
    <x v="0"/>
    <n v="0"/>
    <n v="0"/>
    <n v="0"/>
    <n v="0"/>
    <n v="0"/>
    <n v="0"/>
    <n v="0"/>
    <m/>
    <n v="67.400000000000006"/>
    <m/>
    <s v="Unique"/>
    <s v="Valid"/>
  </r>
  <r>
    <s v="USR-100275"/>
    <d v="2025-02-26T00:00:00"/>
    <x v="0"/>
    <x v="1"/>
    <x v="0"/>
    <x v="2"/>
    <x v="2"/>
    <n v="0"/>
    <n v="0"/>
    <n v="0"/>
    <n v="0"/>
    <n v="0"/>
    <n v="2"/>
    <n v="0"/>
    <m/>
    <n v="53"/>
    <m/>
    <s v="Unique"/>
    <s v="Valid"/>
  </r>
  <r>
    <s v="USR-100276"/>
    <d v="2025-05-11T00:00:00"/>
    <x v="0"/>
    <x v="0"/>
    <x v="1"/>
    <x v="1"/>
    <x v="0"/>
    <n v="0"/>
    <n v="0"/>
    <n v="0"/>
    <n v="0"/>
    <n v="0"/>
    <n v="0"/>
    <n v="0"/>
    <m/>
    <n v="65.5"/>
    <m/>
    <s v="Unique"/>
    <s v="Valid"/>
  </r>
  <r>
    <s v="USR-100277"/>
    <d v="2025-03-20T00:00:00"/>
    <x v="0"/>
    <x v="3"/>
    <x v="1"/>
    <x v="1"/>
    <x v="0"/>
    <n v="1"/>
    <n v="1"/>
    <n v="0"/>
    <n v="0"/>
    <n v="0"/>
    <n v="0"/>
    <n v="0"/>
    <m/>
    <n v="49.6"/>
    <m/>
    <s v="Unique"/>
    <s v="Valid"/>
  </r>
  <r>
    <s v="USR-100278"/>
    <d v="2025-01-19T00:00:00"/>
    <x v="0"/>
    <x v="0"/>
    <x v="1"/>
    <x v="0"/>
    <x v="1"/>
    <n v="1"/>
    <n v="1"/>
    <n v="0"/>
    <n v="0"/>
    <n v="0"/>
    <n v="0"/>
    <n v="0"/>
    <m/>
    <n v="74.5"/>
    <m/>
    <s v="Unique"/>
    <s v="Valid"/>
  </r>
  <r>
    <s v="USR-100279"/>
    <d v="2025-03-08T00:00:00"/>
    <x v="0"/>
    <x v="0"/>
    <x v="2"/>
    <x v="2"/>
    <x v="2"/>
    <n v="1"/>
    <n v="0"/>
    <n v="0"/>
    <n v="0"/>
    <n v="0"/>
    <n v="1"/>
    <n v="0"/>
    <m/>
    <n v="46.9"/>
    <m/>
    <s v="Unique"/>
    <s v="Valid"/>
  </r>
  <r>
    <s v="USR-100280"/>
    <d v="2025-04-25T00:00:00"/>
    <x v="0"/>
    <x v="0"/>
    <x v="1"/>
    <x v="1"/>
    <x v="1"/>
    <n v="0"/>
    <n v="0"/>
    <n v="0"/>
    <n v="0"/>
    <n v="0"/>
    <n v="0"/>
    <n v="0"/>
    <m/>
    <n v="87.1"/>
    <m/>
    <s v="Unique"/>
    <s v="Valid"/>
  </r>
  <r>
    <s v="USR-100281"/>
    <d v="2025-04-04T00:00:00"/>
    <x v="0"/>
    <x v="0"/>
    <x v="0"/>
    <x v="1"/>
    <x v="1"/>
    <n v="1"/>
    <n v="0"/>
    <n v="0"/>
    <n v="0"/>
    <n v="0"/>
    <n v="0"/>
    <n v="0"/>
    <m/>
    <n v="56"/>
    <m/>
    <s v="Unique"/>
    <s v="Valid"/>
  </r>
  <r>
    <s v="USR-100282"/>
    <d v="2025-05-01T00:00:00"/>
    <x v="0"/>
    <x v="2"/>
    <x v="1"/>
    <x v="2"/>
    <x v="2"/>
    <n v="1"/>
    <n v="0"/>
    <n v="0"/>
    <n v="0"/>
    <n v="0"/>
    <n v="1"/>
    <n v="0"/>
    <m/>
    <n v="61.7"/>
    <m/>
    <s v="Unique"/>
    <s v="Valid"/>
  </r>
  <r>
    <s v="USR-100283"/>
    <d v="2025-01-21T00:00:00"/>
    <x v="0"/>
    <x v="3"/>
    <x v="1"/>
    <x v="4"/>
    <x v="1"/>
    <n v="1"/>
    <n v="0"/>
    <n v="0"/>
    <n v="0"/>
    <n v="0"/>
    <n v="1"/>
    <n v="0"/>
    <m/>
    <n v="70.5"/>
    <m/>
    <s v="Unique"/>
    <s v="Valid"/>
  </r>
  <r>
    <s v="USR-100284"/>
    <d v="2025-02-10T00:00:00"/>
    <x v="0"/>
    <x v="0"/>
    <x v="0"/>
    <x v="3"/>
    <x v="0"/>
    <n v="1"/>
    <n v="0"/>
    <n v="0"/>
    <n v="0"/>
    <n v="0"/>
    <n v="0"/>
    <n v="0"/>
    <m/>
    <n v="33.4"/>
    <m/>
    <s v="Unique"/>
    <s v="Valid"/>
  </r>
  <r>
    <s v="USR-100285"/>
    <d v="2025-05-06T00:00:00"/>
    <x v="0"/>
    <x v="3"/>
    <x v="0"/>
    <x v="1"/>
    <x v="1"/>
    <n v="1"/>
    <n v="0"/>
    <n v="0"/>
    <n v="0"/>
    <n v="0"/>
    <n v="0"/>
    <n v="0"/>
    <m/>
    <n v="57.5"/>
    <m/>
    <s v="Unique"/>
    <s v="Valid"/>
  </r>
  <r>
    <s v="USR-100286"/>
    <d v="2025-02-08T00:00:00"/>
    <x v="0"/>
    <x v="0"/>
    <x v="0"/>
    <x v="2"/>
    <x v="0"/>
    <n v="1"/>
    <n v="1"/>
    <n v="0"/>
    <n v="0"/>
    <n v="0"/>
    <n v="0"/>
    <n v="0"/>
    <m/>
    <n v="85.7"/>
    <m/>
    <s v="Unique"/>
    <s v="Valid"/>
  </r>
  <r>
    <s v="USR-100287"/>
    <d v="2025-05-31T00:00:00"/>
    <x v="0"/>
    <x v="2"/>
    <x v="1"/>
    <x v="4"/>
    <x v="1"/>
    <n v="1"/>
    <n v="0"/>
    <n v="0"/>
    <n v="0"/>
    <n v="0"/>
    <n v="0"/>
    <n v="0"/>
    <m/>
    <n v="41.9"/>
    <m/>
    <s v="Unique"/>
    <s v="Valid"/>
  </r>
  <r>
    <s v="USR-100288"/>
    <d v="2025-02-07T00:00:00"/>
    <x v="0"/>
    <x v="1"/>
    <x v="1"/>
    <x v="0"/>
    <x v="0"/>
    <n v="1"/>
    <n v="0"/>
    <n v="0"/>
    <n v="0"/>
    <n v="0"/>
    <n v="0"/>
    <n v="0"/>
    <m/>
    <n v="70.2"/>
    <m/>
    <s v="Unique"/>
    <s v="Valid"/>
  </r>
  <r>
    <s v="USR-100289"/>
    <d v="2025-02-10T00:00:00"/>
    <x v="0"/>
    <x v="0"/>
    <x v="1"/>
    <x v="4"/>
    <x v="1"/>
    <n v="1"/>
    <n v="0"/>
    <n v="0"/>
    <n v="0"/>
    <n v="0"/>
    <n v="0"/>
    <n v="0"/>
    <m/>
    <n v="42.6"/>
    <m/>
    <s v="Unique"/>
    <s v="Valid"/>
  </r>
  <r>
    <s v="USR-100290"/>
    <d v="2025-01-31T00:00:00"/>
    <x v="0"/>
    <x v="1"/>
    <x v="1"/>
    <x v="4"/>
    <x v="0"/>
    <n v="0"/>
    <n v="0"/>
    <n v="0"/>
    <n v="0"/>
    <n v="0"/>
    <n v="2"/>
    <n v="0"/>
    <m/>
    <n v="30.4"/>
    <m/>
    <s v="Unique"/>
    <s v="Valid"/>
  </r>
  <r>
    <s v="USR-100291"/>
    <d v="2025-03-16T00:00:00"/>
    <x v="0"/>
    <x v="2"/>
    <x v="1"/>
    <x v="2"/>
    <x v="0"/>
    <n v="1"/>
    <n v="0"/>
    <n v="0"/>
    <n v="0"/>
    <n v="0"/>
    <n v="0"/>
    <n v="0"/>
    <m/>
    <n v="63.7"/>
    <m/>
    <s v="Unique"/>
    <s v="Valid"/>
  </r>
  <r>
    <s v="USR-100292"/>
    <d v="2025-04-24T00:00:00"/>
    <x v="0"/>
    <x v="3"/>
    <x v="1"/>
    <x v="4"/>
    <x v="0"/>
    <n v="0"/>
    <n v="0"/>
    <n v="0"/>
    <n v="0"/>
    <n v="0"/>
    <n v="0"/>
    <n v="0"/>
    <m/>
    <n v="42.7"/>
    <m/>
    <s v="Unique"/>
    <s v="Valid"/>
  </r>
  <r>
    <s v="USR-100293"/>
    <d v="2025-01-28T00:00:00"/>
    <x v="0"/>
    <x v="0"/>
    <x v="1"/>
    <x v="1"/>
    <x v="1"/>
    <n v="0"/>
    <n v="0"/>
    <n v="0"/>
    <n v="0"/>
    <n v="0"/>
    <n v="0"/>
    <n v="0"/>
    <m/>
    <n v="74.3"/>
    <m/>
    <s v="Unique"/>
    <s v="Valid"/>
  </r>
  <r>
    <s v="USR-100294"/>
    <d v="2025-02-16T00:00:00"/>
    <x v="0"/>
    <x v="1"/>
    <x v="0"/>
    <x v="0"/>
    <x v="1"/>
    <n v="1"/>
    <n v="0"/>
    <n v="0"/>
    <n v="0"/>
    <n v="0"/>
    <n v="0"/>
    <n v="0"/>
    <m/>
    <n v="40.6"/>
    <m/>
    <s v="Unique"/>
    <s v="Valid"/>
  </r>
  <r>
    <s v="USR-100295"/>
    <d v="2025-03-23T00:00:00"/>
    <x v="0"/>
    <x v="2"/>
    <x v="1"/>
    <x v="1"/>
    <x v="2"/>
    <n v="0"/>
    <n v="0"/>
    <n v="0"/>
    <n v="0"/>
    <n v="0"/>
    <n v="0"/>
    <n v="0"/>
    <m/>
    <n v="67"/>
    <m/>
    <s v="Unique"/>
    <s v="Valid"/>
  </r>
  <r>
    <s v="USR-100296"/>
    <d v="2025-05-31T00:00:00"/>
    <x v="0"/>
    <x v="2"/>
    <x v="1"/>
    <x v="2"/>
    <x v="2"/>
    <n v="0"/>
    <n v="0"/>
    <n v="0"/>
    <n v="0"/>
    <n v="0"/>
    <n v="0"/>
    <n v="0"/>
    <m/>
    <n v="51"/>
    <m/>
    <s v="Unique"/>
    <s v="Valid"/>
  </r>
  <r>
    <s v="USR-100297"/>
    <d v="2025-04-13T00:00:00"/>
    <x v="0"/>
    <x v="1"/>
    <x v="1"/>
    <x v="4"/>
    <x v="0"/>
    <n v="1"/>
    <n v="1"/>
    <n v="0"/>
    <n v="0"/>
    <n v="0"/>
    <n v="1"/>
    <n v="0"/>
    <m/>
    <n v="54.8"/>
    <m/>
    <s v="Unique"/>
    <s v="Valid"/>
  </r>
  <r>
    <s v="USR-100298"/>
    <d v="2025-05-14T00:00:00"/>
    <x v="0"/>
    <x v="0"/>
    <x v="2"/>
    <x v="0"/>
    <x v="0"/>
    <n v="0"/>
    <n v="0"/>
    <n v="0"/>
    <n v="0"/>
    <n v="0"/>
    <n v="0"/>
    <n v="0"/>
    <m/>
    <n v="40.799999999999997"/>
    <m/>
    <s v="Unique"/>
    <s v="Valid"/>
  </r>
  <r>
    <s v="USR-100299"/>
    <d v="2025-02-19T00:00:00"/>
    <x v="0"/>
    <x v="2"/>
    <x v="1"/>
    <x v="2"/>
    <x v="1"/>
    <n v="0"/>
    <n v="0"/>
    <n v="0"/>
    <n v="0"/>
    <n v="0"/>
    <n v="0"/>
    <n v="0"/>
    <m/>
    <n v="48.8"/>
    <m/>
    <s v="Unique"/>
    <s v="Valid"/>
  </r>
  <r>
    <s v="USR-100300"/>
    <d v="2025-01-24T00:00:00"/>
    <x v="0"/>
    <x v="3"/>
    <x v="1"/>
    <x v="5"/>
    <x v="0"/>
    <n v="1"/>
    <n v="1"/>
    <n v="1"/>
    <n v="1"/>
    <n v="1198.69"/>
    <n v="1"/>
    <n v="0"/>
    <n v="6"/>
    <n v="88.9"/>
    <m/>
    <s v="Unique"/>
    <s v="Valid"/>
  </r>
  <r>
    <s v="USR-100301"/>
    <d v="2025-05-09T00:00:00"/>
    <x v="0"/>
    <x v="0"/>
    <x v="1"/>
    <x v="0"/>
    <x v="0"/>
    <n v="1"/>
    <n v="1"/>
    <n v="1"/>
    <n v="0"/>
    <n v="0"/>
    <n v="1"/>
    <n v="0"/>
    <m/>
    <n v="60.5"/>
    <m/>
    <s v="Unique"/>
    <s v="Valid"/>
  </r>
  <r>
    <s v="USR-100302"/>
    <d v="2025-02-11T00:00:00"/>
    <x v="0"/>
    <x v="0"/>
    <x v="1"/>
    <x v="1"/>
    <x v="0"/>
    <n v="1"/>
    <n v="0"/>
    <n v="0"/>
    <n v="0"/>
    <n v="0"/>
    <n v="0"/>
    <n v="0"/>
    <m/>
    <n v="63.6"/>
    <m/>
    <s v="Unique"/>
    <s v="Valid"/>
  </r>
  <r>
    <s v="USR-100303"/>
    <d v="2025-02-26T00:00:00"/>
    <x v="0"/>
    <x v="0"/>
    <x v="0"/>
    <x v="1"/>
    <x v="0"/>
    <n v="1"/>
    <n v="1"/>
    <n v="1"/>
    <n v="1"/>
    <n v="6788.95"/>
    <n v="0"/>
    <n v="0"/>
    <n v="17"/>
    <n v="58.4"/>
    <m/>
    <s v="Unique"/>
    <s v="Valid"/>
  </r>
  <r>
    <s v="USR-100304"/>
    <d v="2025-02-12T00:00:00"/>
    <x v="0"/>
    <x v="3"/>
    <x v="1"/>
    <x v="4"/>
    <x v="2"/>
    <n v="0"/>
    <n v="0"/>
    <n v="0"/>
    <n v="0"/>
    <n v="0"/>
    <n v="0"/>
    <n v="0"/>
    <m/>
    <n v="52.7"/>
    <m/>
    <s v="Unique"/>
    <s v="Valid"/>
  </r>
  <r>
    <s v="USR-100305"/>
    <d v="2025-01-05T00:00:00"/>
    <x v="0"/>
    <x v="3"/>
    <x v="2"/>
    <x v="4"/>
    <x v="2"/>
    <n v="1"/>
    <n v="1"/>
    <n v="1"/>
    <n v="0"/>
    <n v="0"/>
    <n v="2"/>
    <n v="0"/>
    <m/>
    <n v="48.9"/>
    <m/>
    <s v="Unique"/>
    <s v="Valid"/>
  </r>
  <r>
    <s v="USR-100306"/>
    <d v="2025-05-19T00:00:00"/>
    <x v="0"/>
    <x v="1"/>
    <x v="1"/>
    <x v="1"/>
    <x v="2"/>
    <n v="0"/>
    <n v="0"/>
    <n v="0"/>
    <n v="0"/>
    <n v="0"/>
    <n v="0"/>
    <n v="0"/>
    <m/>
    <n v="79.7"/>
    <m/>
    <s v="Unique"/>
    <s v="Valid"/>
  </r>
  <r>
    <s v="USR-100307"/>
    <d v="2025-02-02T00:00:00"/>
    <x v="0"/>
    <x v="0"/>
    <x v="1"/>
    <x v="4"/>
    <x v="1"/>
    <n v="1"/>
    <n v="0"/>
    <n v="0"/>
    <n v="0"/>
    <n v="0"/>
    <n v="0"/>
    <n v="0"/>
    <m/>
    <n v="44.9"/>
    <m/>
    <s v="Unique"/>
    <s v="Valid"/>
  </r>
  <r>
    <s v="USR-100308"/>
    <d v="2025-01-30T00:00:00"/>
    <x v="0"/>
    <x v="1"/>
    <x v="2"/>
    <x v="2"/>
    <x v="1"/>
    <n v="1"/>
    <n v="1"/>
    <n v="1"/>
    <n v="1"/>
    <n v="409.39"/>
    <n v="0"/>
    <n v="0"/>
    <n v="10"/>
    <n v="38.799999999999997"/>
    <m/>
    <s v="Unique"/>
    <s v="Valid"/>
  </r>
  <r>
    <s v="USR-100309"/>
    <d v="2025-05-01T00:00:00"/>
    <x v="0"/>
    <x v="3"/>
    <x v="0"/>
    <x v="0"/>
    <x v="1"/>
    <n v="0"/>
    <n v="0"/>
    <n v="0"/>
    <n v="0"/>
    <n v="0"/>
    <n v="0"/>
    <n v="0"/>
    <m/>
    <n v="70"/>
    <m/>
    <s v="Unique"/>
    <s v="Valid"/>
  </r>
  <r>
    <s v="USR-100310"/>
    <d v="2025-05-16T00:00:00"/>
    <x v="0"/>
    <x v="3"/>
    <x v="0"/>
    <x v="3"/>
    <x v="0"/>
    <n v="1"/>
    <n v="0"/>
    <n v="0"/>
    <n v="0"/>
    <n v="0"/>
    <n v="0"/>
    <n v="0"/>
    <m/>
    <n v="77.7"/>
    <m/>
    <s v="Unique"/>
    <s v="Valid"/>
  </r>
  <r>
    <s v="USR-100311"/>
    <d v="2025-03-08T00:00:00"/>
    <x v="0"/>
    <x v="1"/>
    <x v="1"/>
    <x v="1"/>
    <x v="1"/>
    <n v="0"/>
    <n v="0"/>
    <n v="0"/>
    <n v="0"/>
    <n v="0"/>
    <n v="0"/>
    <n v="0"/>
    <m/>
    <n v="71.2"/>
    <m/>
    <s v="Unique"/>
    <s v="Valid"/>
  </r>
  <r>
    <s v="USR-100312"/>
    <d v="2025-04-04T00:00:00"/>
    <x v="0"/>
    <x v="0"/>
    <x v="1"/>
    <x v="1"/>
    <x v="0"/>
    <n v="1"/>
    <n v="0"/>
    <n v="0"/>
    <n v="0"/>
    <n v="0"/>
    <n v="0"/>
    <n v="0"/>
    <m/>
    <n v="43.8"/>
    <m/>
    <s v="Unique"/>
    <s v="Valid"/>
  </r>
  <r>
    <s v="USR-100313"/>
    <d v="2025-05-30T00:00:00"/>
    <x v="0"/>
    <x v="3"/>
    <x v="2"/>
    <x v="1"/>
    <x v="1"/>
    <n v="1"/>
    <n v="0"/>
    <n v="0"/>
    <n v="0"/>
    <n v="0"/>
    <n v="0"/>
    <n v="0"/>
    <m/>
    <n v="50.9"/>
    <m/>
    <s v="Unique"/>
    <s v="Valid"/>
  </r>
  <r>
    <s v="USR-100314"/>
    <d v="2025-01-05T00:00:00"/>
    <x v="0"/>
    <x v="1"/>
    <x v="1"/>
    <x v="1"/>
    <x v="2"/>
    <n v="0"/>
    <n v="0"/>
    <n v="0"/>
    <n v="0"/>
    <n v="0"/>
    <n v="0"/>
    <n v="0"/>
    <m/>
    <n v="58.5"/>
    <m/>
    <s v="Unique"/>
    <s v="Valid"/>
  </r>
  <r>
    <s v="USR-100315"/>
    <d v="2025-01-20T00:00:00"/>
    <x v="0"/>
    <x v="2"/>
    <x v="1"/>
    <x v="1"/>
    <x v="1"/>
    <n v="1"/>
    <n v="1"/>
    <n v="1"/>
    <n v="0"/>
    <n v="0"/>
    <n v="0"/>
    <n v="0"/>
    <m/>
    <n v="53.6"/>
    <m/>
    <s v="Unique"/>
    <s v="Valid"/>
  </r>
  <r>
    <s v="USR-100316"/>
    <d v="2025-05-01T00:00:00"/>
    <x v="0"/>
    <x v="2"/>
    <x v="1"/>
    <x v="0"/>
    <x v="1"/>
    <n v="0"/>
    <n v="0"/>
    <n v="0"/>
    <n v="0"/>
    <n v="0"/>
    <n v="0"/>
    <n v="0"/>
    <m/>
    <n v="54.9"/>
    <m/>
    <s v="Unique"/>
    <s v="Valid"/>
  </r>
  <r>
    <s v="USR-100317"/>
    <d v="2025-03-05T00:00:00"/>
    <x v="0"/>
    <x v="0"/>
    <x v="0"/>
    <x v="1"/>
    <x v="2"/>
    <n v="0"/>
    <n v="0"/>
    <n v="0"/>
    <n v="0"/>
    <n v="0"/>
    <n v="0"/>
    <n v="0"/>
    <m/>
    <n v="57.3"/>
    <m/>
    <s v="Unique"/>
    <s v="Valid"/>
  </r>
  <r>
    <s v="USR-100318"/>
    <d v="2025-04-01T00:00:00"/>
    <x v="0"/>
    <x v="2"/>
    <x v="0"/>
    <x v="3"/>
    <x v="1"/>
    <n v="1"/>
    <n v="0"/>
    <n v="0"/>
    <n v="0"/>
    <n v="0"/>
    <n v="0"/>
    <n v="0"/>
    <m/>
    <n v="52.1"/>
    <m/>
    <s v="Unique"/>
    <s v="Valid"/>
  </r>
  <r>
    <s v="USR-100319"/>
    <d v="2025-05-03T00:00:00"/>
    <x v="0"/>
    <x v="0"/>
    <x v="1"/>
    <x v="1"/>
    <x v="1"/>
    <n v="1"/>
    <n v="0"/>
    <n v="0"/>
    <n v="0"/>
    <n v="0"/>
    <n v="0"/>
    <n v="0"/>
    <m/>
    <n v="80"/>
    <m/>
    <s v="Unique"/>
    <s v="Valid"/>
  </r>
  <r>
    <s v="USR-100320"/>
    <d v="2025-03-06T00:00:00"/>
    <x v="0"/>
    <x v="3"/>
    <x v="0"/>
    <x v="2"/>
    <x v="2"/>
    <n v="1"/>
    <n v="0"/>
    <n v="0"/>
    <n v="0"/>
    <n v="0"/>
    <n v="0"/>
    <n v="0"/>
    <m/>
    <n v="39.299999999999997"/>
    <m/>
    <s v="Unique"/>
    <s v="Valid"/>
  </r>
  <r>
    <s v="USR-100321"/>
    <d v="2025-04-01T00:00:00"/>
    <x v="0"/>
    <x v="0"/>
    <x v="0"/>
    <x v="3"/>
    <x v="2"/>
    <n v="0"/>
    <n v="0"/>
    <n v="0"/>
    <n v="0"/>
    <n v="0"/>
    <n v="0"/>
    <n v="0"/>
    <m/>
    <n v="45.7"/>
    <m/>
    <s v="Unique"/>
    <s v="Valid"/>
  </r>
  <r>
    <s v="USR-100322"/>
    <d v="2025-02-09T00:00:00"/>
    <x v="0"/>
    <x v="0"/>
    <x v="0"/>
    <x v="4"/>
    <x v="0"/>
    <n v="1"/>
    <n v="0"/>
    <n v="0"/>
    <n v="0"/>
    <n v="0"/>
    <n v="2"/>
    <n v="0"/>
    <m/>
    <n v="61.2"/>
    <m/>
    <s v="Unique"/>
    <s v="Valid"/>
  </r>
  <r>
    <s v="USR-100323"/>
    <d v="2025-04-12T00:00:00"/>
    <x v="0"/>
    <x v="1"/>
    <x v="1"/>
    <x v="1"/>
    <x v="0"/>
    <n v="1"/>
    <n v="1"/>
    <n v="0"/>
    <n v="0"/>
    <n v="0"/>
    <n v="0"/>
    <n v="0"/>
    <m/>
    <n v="66.2"/>
    <m/>
    <s v="Unique"/>
    <s v="Valid"/>
  </r>
  <r>
    <s v="USR-100324"/>
    <d v="2025-03-18T00:00:00"/>
    <x v="0"/>
    <x v="2"/>
    <x v="1"/>
    <x v="4"/>
    <x v="1"/>
    <n v="1"/>
    <n v="1"/>
    <n v="1"/>
    <n v="0"/>
    <n v="0"/>
    <n v="0"/>
    <n v="0"/>
    <m/>
    <n v="61.3"/>
    <m/>
    <s v="Unique"/>
    <s v="Valid"/>
  </r>
  <r>
    <s v="USR-100325"/>
    <d v="2025-04-03T00:00:00"/>
    <x v="0"/>
    <x v="2"/>
    <x v="1"/>
    <x v="2"/>
    <x v="1"/>
    <n v="1"/>
    <n v="0"/>
    <n v="0"/>
    <n v="0"/>
    <n v="0"/>
    <n v="0"/>
    <n v="0"/>
    <m/>
    <n v="72.2"/>
    <m/>
    <s v="Unique"/>
    <s v="Valid"/>
  </r>
  <r>
    <s v="USR-100326"/>
    <d v="2025-04-02T00:00:00"/>
    <x v="0"/>
    <x v="1"/>
    <x v="1"/>
    <x v="0"/>
    <x v="2"/>
    <n v="1"/>
    <n v="1"/>
    <n v="1"/>
    <n v="0"/>
    <n v="0"/>
    <n v="0"/>
    <n v="0"/>
    <m/>
    <n v="84"/>
    <m/>
    <s v="Unique"/>
    <s v="Valid"/>
  </r>
  <r>
    <s v="USR-100327"/>
    <d v="2025-05-10T00:00:00"/>
    <x v="0"/>
    <x v="1"/>
    <x v="0"/>
    <x v="0"/>
    <x v="0"/>
    <n v="0"/>
    <n v="0"/>
    <n v="0"/>
    <n v="0"/>
    <n v="0"/>
    <n v="0"/>
    <n v="0"/>
    <m/>
    <n v="59.8"/>
    <m/>
    <s v="Unique"/>
    <s v="Valid"/>
  </r>
  <r>
    <s v="USR-100328"/>
    <d v="2025-04-29T00:00:00"/>
    <x v="0"/>
    <x v="1"/>
    <x v="0"/>
    <x v="2"/>
    <x v="1"/>
    <n v="1"/>
    <n v="0"/>
    <n v="0"/>
    <n v="0"/>
    <n v="0"/>
    <n v="0"/>
    <n v="0"/>
    <m/>
    <n v="64.900000000000006"/>
    <m/>
    <s v="Unique"/>
    <s v="Valid"/>
  </r>
  <r>
    <s v="USR-100329"/>
    <d v="2025-02-27T00:00:00"/>
    <x v="0"/>
    <x v="3"/>
    <x v="1"/>
    <x v="2"/>
    <x v="1"/>
    <n v="1"/>
    <n v="0"/>
    <n v="0"/>
    <n v="0"/>
    <n v="0"/>
    <n v="0"/>
    <n v="0"/>
    <m/>
    <n v="66.8"/>
    <m/>
    <s v="Unique"/>
    <s v="Valid"/>
  </r>
  <r>
    <s v="USR-100330"/>
    <d v="2025-04-10T00:00:00"/>
    <x v="0"/>
    <x v="0"/>
    <x v="0"/>
    <x v="1"/>
    <x v="2"/>
    <n v="0"/>
    <n v="0"/>
    <n v="0"/>
    <n v="0"/>
    <n v="0"/>
    <n v="0"/>
    <n v="0"/>
    <m/>
    <n v="70.900000000000006"/>
    <m/>
    <s v="Unique"/>
    <s v="Valid"/>
  </r>
  <r>
    <s v="USR-100331"/>
    <d v="2025-02-13T00:00:00"/>
    <x v="0"/>
    <x v="2"/>
    <x v="1"/>
    <x v="1"/>
    <x v="1"/>
    <n v="1"/>
    <n v="1"/>
    <n v="1"/>
    <n v="1"/>
    <n v="426.82"/>
    <n v="1"/>
    <n v="0"/>
    <n v="14"/>
    <n v="68.8"/>
    <m/>
    <s v="Unique"/>
    <s v="Valid"/>
  </r>
  <r>
    <s v="USR-100332"/>
    <d v="2025-05-03T00:00:00"/>
    <x v="0"/>
    <x v="0"/>
    <x v="1"/>
    <x v="1"/>
    <x v="0"/>
    <n v="1"/>
    <n v="0"/>
    <n v="0"/>
    <n v="0"/>
    <n v="0"/>
    <n v="0"/>
    <n v="0"/>
    <m/>
    <n v="72.400000000000006"/>
    <m/>
    <s v="Unique"/>
    <s v="Valid"/>
  </r>
  <r>
    <s v="USR-100333"/>
    <d v="2025-03-10T00:00:00"/>
    <x v="0"/>
    <x v="2"/>
    <x v="1"/>
    <x v="1"/>
    <x v="0"/>
    <n v="0"/>
    <n v="0"/>
    <n v="0"/>
    <n v="0"/>
    <n v="0"/>
    <n v="0"/>
    <n v="0"/>
    <m/>
    <n v="63.3"/>
    <m/>
    <s v="Unique"/>
    <s v="Valid"/>
  </r>
  <r>
    <s v="USR-100334"/>
    <d v="2025-01-10T00:00:00"/>
    <x v="0"/>
    <x v="1"/>
    <x v="2"/>
    <x v="4"/>
    <x v="1"/>
    <n v="1"/>
    <n v="0"/>
    <n v="0"/>
    <n v="0"/>
    <n v="0"/>
    <n v="0"/>
    <n v="0"/>
    <m/>
    <n v="30.8"/>
    <m/>
    <s v="Unique"/>
    <s v="Valid"/>
  </r>
  <r>
    <s v="USR-100335"/>
    <d v="2025-01-16T00:00:00"/>
    <x v="0"/>
    <x v="3"/>
    <x v="1"/>
    <x v="0"/>
    <x v="0"/>
    <n v="1"/>
    <n v="1"/>
    <n v="1"/>
    <n v="1"/>
    <n v="874.55"/>
    <n v="0"/>
    <n v="0"/>
    <n v="9"/>
    <n v="44.2"/>
    <m/>
    <s v="Unique"/>
    <s v="Valid"/>
  </r>
  <r>
    <s v="USR-100336"/>
    <d v="2025-02-11T00:00:00"/>
    <x v="0"/>
    <x v="3"/>
    <x v="0"/>
    <x v="1"/>
    <x v="2"/>
    <n v="1"/>
    <n v="1"/>
    <n v="1"/>
    <n v="1"/>
    <n v="2206.88"/>
    <n v="0"/>
    <n v="0"/>
    <n v="10"/>
    <n v="56.2"/>
    <m/>
    <s v="Unique"/>
    <s v="Valid"/>
  </r>
  <r>
    <s v="USR-100337"/>
    <d v="2025-04-13T00:00:00"/>
    <x v="0"/>
    <x v="1"/>
    <x v="1"/>
    <x v="1"/>
    <x v="1"/>
    <n v="0"/>
    <n v="0"/>
    <n v="0"/>
    <n v="0"/>
    <n v="0"/>
    <n v="0"/>
    <n v="0"/>
    <m/>
    <n v="40.4"/>
    <m/>
    <s v="Unique"/>
    <s v="Valid"/>
  </r>
  <r>
    <s v="USR-100338"/>
    <d v="2025-02-08T00:00:00"/>
    <x v="0"/>
    <x v="2"/>
    <x v="1"/>
    <x v="2"/>
    <x v="1"/>
    <n v="1"/>
    <n v="1"/>
    <n v="1"/>
    <n v="0"/>
    <n v="0"/>
    <n v="0"/>
    <n v="0"/>
    <m/>
    <n v="68.099999999999994"/>
    <m/>
    <s v="Unique"/>
    <s v="Valid"/>
  </r>
  <r>
    <s v="USR-100339"/>
    <d v="2025-03-31T00:00:00"/>
    <x v="0"/>
    <x v="1"/>
    <x v="0"/>
    <x v="3"/>
    <x v="1"/>
    <n v="1"/>
    <n v="0"/>
    <n v="0"/>
    <n v="0"/>
    <n v="0"/>
    <n v="0"/>
    <n v="0"/>
    <m/>
    <n v="86.3"/>
    <m/>
    <s v="Unique"/>
    <s v="Valid"/>
  </r>
  <r>
    <s v="USR-100340"/>
    <d v="2025-01-31T00:00:00"/>
    <x v="0"/>
    <x v="1"/>
    <x v="0"/>
    <x v="3"/>
    <x v="1"/>
    <n v="1"/>
    <n v="1"/>
    <n v="0"/>
    <n v="0"/>
    <n v="0"/>
    <n v="0"/>
    <n v="0"/>
    <m/>
    <n v="42.9"/>
    <m/>
    <s v="Unique"/>
    <s v="Valid"/>
  </r>
  <r>
    <s v="USR-100341"/>
    <d v="2025-05-08T00:00:00"/>
    <x v="0"/>
    <x v="1"/>
    <x v="2"/>
    <x v="1"/>
    <x v="1"/>
    <n v="0"/>
    <n v="0"/>
    <n v="0"/>
    <n v="0"/>
    <n v="0"/>
    <n v="0"/>
    <n v="0"/>
    <m/>
    <n v="61.4"/>
    <m/>
    <s v="Unique"/>
    <s v="Valid"/>
  </r>
  <r>
    <s v="USR-100342"/>
    <d v="2025-03-15T00:00:00"/>
    <x v="0"/>
    <x v="0"/>
    <x v="1"/>
    <x v="2"/>
    <x v="1"/>
    <n v="1"/>
    <n v="0"/>
    <n v="0"/>
    <n v="0"/>
    <n v="0"/>
    <n v="1"/>
    <n v="0"/>
    <m/>
    <n v="73.3"/>
    <m/>
    <s v="Unique"/>
    <s v="Valid"/>
  </r>
  <r>
    <s v="USR-100343"/>
    <d v="2025-01-13T00:00:00"/>
    <x v="0"/>
    <x v="3"/>
    <x v="1"/>
    <x v="3"/>
    <x v="0"/>
    <n v="1"/>
    <n v="0"/>
    <n v="0"/>
    <n v="0"/>
    <n v="0"/>
    <n v="0"/>
    <n v="0"/>
    <m/>
    <n v="59.4"/>
    <m/>
    <s v="Unique"/>
    <s v="Valid"/>
  </r>
  <r>
    <s v="USR-100344"/>
    <d v="2025-03-07T00:00:00"/>
    <x v="0"/>
    <x v="3"/>
    <x v="2"/>
    <x v="1"/>
    <x v="0"/>
    <n v="1"/>
    <n v="0"/>
    <n v="0"/>
    <n v="0"/>
    <n v="0"/>
    <n v="0"/>
    <n v="0"/>
    <m/>
    <n v="35.200000000000003"/>
    <m/>
    <s v="Unique"/>
    <s v="Valid"/>
  </r>
  <r>
    <s v="USR-100345"/>
    <d v="2025-02-10T00:00:00"/>
    <x v="0"/>
    <x v="3"/>
    <x v="1"/>
    <x v="4"/>
    <x v="2"/>
    <n v="1"/>
    <n v="1"/>
    <n v="0"/>
    <n v="0"/>
    <n v="0"/>
    <n v="0"/>
    <n v="0"/>
    <m/>
    <n v="55.3"/>
    <m/>
    <s v="Unique"/>
    <s v="Valid"/>
  </r>
  <r>
    <s v="USR-100346"/>
    <d v="2025-03-12T00:00:00"/>
    <x v="0"/>
    <x v="2"/>
    <x v="1"/>
    <x v="2"/>
    <x v="1"/>
    <n v="0"/>
    <n v="0"/>
    <n v="0"/>
    <n v="0"/>
    <n v="0"/>
    <n v="0"/>
    <n v="0"/>
    <m/>
    <n v="37.5"/>
    <m/>
    <s v="Unique"/>
    <s v="Valid"/>
  </r>
  <r>
    <s v="USR-100347"/>
    <d v="2025-01-03T00:00:00"/>
    <x v="0"/>
    <x v="3"/>
    <x v="0"/>
    <x v="2"/>
    <x v="1"/>
    <n v="0"/>
    <n v="0"/>
    <n v="0"/>
    <n v="0"/>
    <n v="0"/>
    <n v="1"/>
    <n v="0"/>
    <m/>
    <n v="66.400000000000006"/>
    <m/>
    <s v="Unique"/>
    <s v="Valid"/>
  </r>
  <r>
    <s v="USR-100348"/>
    <d v="2025-04-28T00:00:00"/>
    <x v="0"/>
    <x v="0"/>
    <x v="2"/>
    <x v="4"/>
    <x v="0"/>
    <n v="1"/>
    <n v="0"/>
    <n v="0"/>
    <n v="0"/>
    <n v="0"/>
    <n v="0"/>
    <n v="0"/>
    <m/>
    <n v="61.9"/>
    <m/>
    <s v="Unique"/>
    <s v="Valid"/>
  </r>
  <r>
    <s v="USR-100349"/>
    <d v="2025-04-17T00:00:00"/>
    <x v="0"/>
    <x v="2"/>
    <x v="1"/>
    <x v="1"/>
    <x v="1"/>
    <n v="0"/>
    <n v="0"/>
    <n v="0"/>
    <n v="0"/>
    <n v="0"/>
    <n v="0"/>
    <n v="0"/>
    <m/>
    <n v="56"/>
    <m/>
    <s v="Unique"/>
    <s v="Valid"/>
  </r>
  <r>
    <s v="USR-100350"/>
    <d v="2025-05-23T00:00:00"/>
    <x v="0"/>
    <x v="3"/>
    <x v="0"/>
    <x v="4"/>
    <x v="0"/>
    <n v="1"/>
    <n v="0"/>
    <n v="0"/>
    <n v="0"/>
    <n v="0"/>
    <n v="0"/>
    <n v="0"/>
    <m/>
    <n v="55.5"/>
    <m/>
    <s v="Unique"/>
    <s v="Valid"/>
  </r>
  <r>
    <s v="USR-100351"/>
    <d v="2025-02-19T00:00:00"/>
    <x v="0"/>
    <x v="1"/>
    <x v="2"/>
    <x v="3"/>
    <x v="0"/>
    <n v="1"/>
    <n v="0"/>
    <n v="0"/>
    <n v="0"/>
    <n v="0"/>
    <n v="0"/>
    <n v="0"/>
    <m/>
    <n v="37.200000000000003"/>
    <m/>
    <s v="Unique"/>
    <s v="Valid"/>
  </r>
  <r>
    <s v="USR-100352"/>
    <d v="2025-01-18T00:00:00"/>
    <x v="0"/>
    <x v="3"/>
    <x v="0"/>
    <x v="1"/>
    <x v="1"/>
    <n v="1"/>
    <n v="1"/>
    <n v="0"/>
    <n v="0"/>
    <n v="0"/>
    <n v="1"/>
    <n v="0"/>
    <m/>
    <n v="70.5"/>
    <m/>
    <s v="Unique"/>
    <s v="Valid"/>
  </r>
  <r>
    <s v="USR-100353"/>
    <d v="2025-04-17T00:00:00"/>
    <x v="0"/>
    <x v="0"/>
    <x v="1"/>
    <x v="1"/>
    <x v="1"/>
    <n v="0"/>
    <n v="0"/>
    <n v="0"/>
    <n v="0"/>
    <n v="0"/>
    <n v="0"/>
    <n v="0"/>
    <m/>
    <n v="61.2"/>
    <m/>
    <s v="Unique"/>
    <s v="Valid"/>
  </r>
  <r>
    <s v="USR-100354"/>
    <d v="2025-04-12T00:00:00"/>
    <x v="0"/>
    <x v="2"/>
    <x v="2"/>
    <x v="4"/>
    <x v="1"/>
    <n v="1"/>
    <n v="1"/>
    <n v="1"/>
    <n v="0"/>
    <n v="0"/>
    <n v="0"/>
    <n v="0"/>
    <m/>
    <n v="64.599999999999994"/>
    <m/>
    <s v="Unique"/>
    <s v="Valid"/>
  </r>
  <r>
    <s v="USR-100355"/>
    <d v="2025-05-16T00:00:00"/>
    <x v="0"/>
    <x v="2"/>
    <x v="1"/>
    <x v="0"/>
    <x v="1"/>
    <n v="1"/>
    <n v="1"/>
    <n v="0"/>
    <n v="0"/>
    <n v="0"/>
    <n v="0"/>
    <n v="0"/>
    <m/>
    <n v="91.7"/>
    <m/>
    <s v="Unique"/>
    <s v="Valid"/>
  </r>
  <r>
    <s v="USR-100356"/>
    <d v="2025-03-24T00:00:00"/>
    <x v="0"/>
    <x v="1"/>
    <x v="1"/>
    <x v="4"/>
    <x v="1"/>
    <n v="0"/>
    <n v="0"/>
    <n v="0"/>
    <n v="0"/>
    <n v="0"/>
    <n v="0"/>
    <n v="0"/>
    <m/>
    <n v="46"/>
    <m/>
    <s v="Unique"/>
    <s v="Valid"/>
  </r>
  <r>
    <s v="USR-100357"/>
    <d v="2025-02-16T00:00:00"/>
    <x v="0"/>
    <x v="1"/>
    <x v="1"/>
    <x v="1"/>
    <x v="0"/>
    <n v="0"/>
    <n v="0"/>
    <n v="0"/>
    <n v="0"/>
    <n v="0"/>
    <n v="0"/>
    <n v="0"/>
    <m/>
    <n v="50.8"/>
    <m/>
    <s v="Unique"/>
    <s v="Valid"/>
  </r>
  <r>
    <s v="USR-100358"/>
    <d v="2025-03-19T00:00:00"/>
    <x v="0"/>
    <x v="0"/>
    <x v="2"/>
    <x v="1"/>
    <x v="1"/>
    <n v="1"/>
    <n v="1"/>
    <n v="1"/>
    <n v="0"/>
    <n v="0"/>
    <n v="0"/>
    <n v="0"/>
    <m/>
    <n v="52.8"/>
    <m/>
    <s v="Unique"/>
    <s v="Valid"/>
  </r>
  <r>
    <s v="USR-100359"/>
    <d v="2025-04-21T00:00:00"/>
    <x v="0"/>
    <x v="3"/>
    <x v="1"/>
    <x v="1"/>
    <x v="0"/>
    <n v="1"/>
    <n v="1"/>
    <n v="1"/>
    <n v="0"/>
    <n v="0"/>
    <n v="0"/>
    <n v="0"/>
    <m/>
    <n v="63"/>
    <m/>
    <s v="Unique"/>
    <s v="Valid"/>
  </r>
  <r>
    <s v="USR-100360"/>
    <d v="2025-01-11T00:00:00"/>
    <x v="0"/>
    <x v="1"/>
    <x v="1"/>
    <x v="1"/>
    <x v="1"/>
    <n v="0"/>
    <n v="0"/>
    <n v="0"/>
    <n v="0"/>
    <n v="0"/>
    <n v="0"/>
    <n v="0"/>
    <m/>
    <n v="28.4"/>
    <m/>
    <s v="Unique"/>
    <s v="Valid"/>
  </r>
  <r>
    <s v="USR-100361"/>
    <d v="2025-04-24T00:00:00"/>
    <x v="0"/>
    <x v="1"/>
    <x v="0"/>
    <x v="1"/>
    <x v="1"/>
    <n v="1"/>
    <n v="1"/>
    <n v="0"/>
    <n v="0"/>
    <n v="0"/>
    <n v="0"/>
    <n v="0"/>
    <m/>
    <n v="65.599999999999994"/>
    <m/>
    <s v="Unique"/>
    <s v="Valid"/>
  </r>
  <r>
    <s v="USR-100362"/>
    <d v="2025-03-13T00:00:00"/>
    <x v="0"/>
    <x v="0"/>
    <x v="1"/>
    <x v="4"/>
    <x v="2"/>
    <n v="1"/>
    <n v="1"/>
    <n v="1"/>
    <n v="0"/>
    <n v="0"/>
    <n v="0"/>
    <n v="0"/>
    <m/>
    <n v="54.7"/>
    <m/>
    <s v="Unique"/>
    <s v="Valid"/>
  </r>
  <r>
    <s v="USR-100363"/>
    <d v="2025-01-30T00:00:00"/>
    <x v="0"/>
    <x v="0"/>
    <x v="1"/>
    <x v="4"/>
    <x v="0"/>
    <n v="0"/>
    <n v="0"/>
    <n v="0"/>
    <n v="0"/>
    <n v="0"/>
    <n v="0"/>
    <n v="0"/>
    <m/>
    <n v="36.1"/>
    <m/>
    <s v="Unique"/>
    <s v="Valid"/>
  </r>
  <r>
    <s v="USR-100364"/>
    <d v="2025-05-08T00:00:00"/>
    <x v="0"/>
    <x v="3"/>
    <x v="1"/>
    <x v="4"/>
    <x v="0"/>
    <n v="1"/>
    <n v="1"/>
    <n v="1"/>
    <n v="0"/>
    <n v="0"/>
    <n v="0"/>
    <n v="0"/>
    <m/>
    <n v="70.400000000000006"/>
    <m/>
    <s v="Unique"/>
    <s v="Valid"/>
  </r>
  <r>
    <s v="USR-100365"/>
    <d v="2025-01-08T00:00:00"/>
    <x v="0"/>
    <x v="2"/>
    <x v="0"/>
    <x v="4"/>
    <x v="1"/>
    <n v="1"/>
    <n v="0"/>
    <n v="0"/>
    <n v="0"/>
    <n v="0"/>
    <n v="0"/>
    <n v="0"/>
    <m/>
    <n v="56.4"/>
    <m/>
    <s v="Unique"/>
    <s v="Valid"/>
  </r>
  <r>
    <s v="USR-100366"/>
    <d v="2025-05-03T00:00:00"/>
    <x v="0"/>
    <x v="3"/>
    <x v="1"/>
    <x v="1"/>
    <x v="1"/>
    <n v="1"/>
    <n v="0"/>
    <n v="0"/>
    <n v="0"/>
    <n v="0"/>
    <n v="0"/>
    <n v="0"/>
    <m/>
    <n v="79.2"/>
    <m/>
    <s v="Unique"/>
    <s v="Valid"/>
  </r>
  <r>
    <s v="USR-100367"/>
    <d v="2025-02-12T00:00:00"/>
    <x v="0"/>
    <x v="2"/>
    <x v="1"/>
    <x v="2"/>
    <x v="1"/>
    <n v="1"/>
    <n v="1"/>
    <n v="1"/>
    <n v="0"/>
    <n v="0"/>
    <n v="0"/>
    <n v="0"/>
    <m/>
    <n v="60.1"/>
    <m/>
    <s v="Unique"/>
    <s v="Valid"/>
  </r>
  <r>
    <s v="USR-100368"/>
    <d v="2025-02-25T00:00:00"/>
    <x v="0"/>
    <x v="3"/>
    <x v="2"/>
    <x v="1"/>
    <x v="1"/>
    <n v="0"/>
    <n v="0"/>
    <n v="0"/>
    <n v="0"/>
    <n v="0"/>
    <n v="0"/>
    <n v="0"/>
    <m/>
    <n v="58"/>
    <m/>
    <s v="Unique"/>
    <s v="Valid"/>
  </r>
  <r>
    <s v="USR-100369"/>
    <d v="2025-04-14T00:00:00"/>
    <x v="0"/>
    <x v="3"/>
    <x v="1"/>
    <x v="3"/>
    <x v="1"/>
    <n v="1"/>
    <n v="1"/>
    <n v="1"/>
    <n v="0"/>
    <n v="0"/>
    <n v="0"/>
    <n v="0"/>
    <m/>
    <n v="69"/>
    <m/>
    <s v="Unique"/>
    <s v="Valid"/>
  </r>
  <r>
    <s v="USR-100370"/>
    <d v="2025-01-08T00:00:00"/>
    <x v="0"/>
    <x v="0"/>
    <x v="1"/>
    <x v="3"/>
    <x v="2"/>
    <n v="1"/>
    <n v="1"/>
    <n v="1"/>
    <n v="0"/>
    <n v="0"/>
    <n v="1"/>
    <n v="0"/>
    <m/>
    <n v="80.8"/>
    <m/>
    <s v="Unique"/>
    <s v="Valid"/>
  </r>
  <r>
    <s v="USR-100371"/>
    <d v="2025-03-14T00:00:00"/>
    <x v="0"/>
    <x v="2"/>
    <x v="1"/>
    <x v="0"/>
    <x v="1"/>
    <n v="0"/>
    <n v="0"/>
    <n v="0"/>
    <n v="0"/>
    <n v="0"/>
    <n v="0"/>
    <n v="0"/>
    <m/>
    <n v="32.799999999999997"/>
    <m/>
    <s v="Unique"/>
    <s v="Valid"/>
  </r>
  <r>
    <s v="USR-100372"/>
    <d v="2025-04-29T00:00:00"/>
    <x v="0"/>
    <x v="0"/>
    <x v="0"/>
    <x v="2"/>
    <x v="2"/>
    <n v="1"/>
    <n v="0"/>
    <n v="0"/>
    <n v="0"/>
    <n v="0"/>
    <n v="0"/>
    <n v="0"/>
    <m/>
    <n v="56"/>
    <m/>
    <s v="Unique"/>
    <s v="Valid"/>
  </r>
  <r>
    <s v="USR-100373"/>
    <d v="2025-05-01T00:00:00"/>
    <x v="0"/>
    <x v="2"/>
    <x v="0"/>
    <x v="4"/>
    <x v="1"/>
    <n v="1"/>
    <n v="0"/>
    <n v="0"/>
    <n v="0"/>
    <n v="0"/>
    <n v="0"/>
    <n v="0"/>
    <m/>
    <n v="76.400000000000006"/>
    <m/>
    <s v="Unique"/>
    <s v="Valid"/>
  </r>
  <r>
    <s v="USR-100374"/>
    <d v="2025-03-19T00:00:00"/>
    <x v="0"/>
    <x v="0"/>
    <x v="1"/>
    <x v="3"/>
    <x v="1"/>
    <n v="1"/>
    <n v="0"/>
    <n v="0"/>
    <n v="0"/>
    <n v="0"/>
    <n v="0"/>
    <n v="0"/>
    <m/>
    <n v="28.5"/>
    <m/>
    <s v="Unique"/>
    <s v="Valid"/>
  </r>
  <r>
    <s v="USR-100375"/>
    <d v="2025-05-01T00:00:00"/>
    <x v="0"/>
    <x v="3"/>
    <x v="0"/>
    <x v="4"/>
    <x v="0"/>
    <n v="1"/>
    <n v="1"/>
    <n v="1"/>
    <n v="0"/>
    <n v="0"/>
    <n v="0"/>
    <n v="0"/>
    <m/>
    <n v="48.3"/>
    <m/>
    <s v="Unique"/>
    <s v="Valid"/>
  </r>
  <r>
    <s v="USR-100376"/>
    <d v="2025-03-14T00:00:00"/>
    <x v="0"/>
    <x v="1"/>
    <x v="1"/>
    <x v="1"/>
    <x v="1"/>
    <n v="1"/>
    <n v="1"/>
    <n v="0"/>
    <n v="0"/>
    <n v="0"/>
    <n v="0"/>
    <n v="0"/>
    <m/>
    <n v="43.4"/>
    <m/>
    <s v="Unique"/>
    <s v="Valid"/>
  </r>
  <r>
    <s v="USR-100377"/>
    <d v="2025-03-23T00:00:00"/>
    <x v="0"/>
    <x v="0"/>
    <x v="1"/>
    <x v="2"/>
    <x v="1"/>
    <n v="0"/>
    <n v="0"/>
    <n v="0"/>
    <n v="0"/>
    <n v="0"/>
    <n v="0"/>
    <n v="0"/>
    <m/>
    <n v="43"/>
    <m/>
    <s v="Unique"/>
    <s v="Valid"/>
  </r>
  <r>
    <s v="USR-100378"/>
    <d v="2025-02-08T00:00:00"/>
    <x v="0"/>
    <x v="2"/>
    <x v="1"/>
    <x v="3"/>
    <x v="0"/>
    <n v="1"/>
    <n v="1"/>
    <n v="1"/>
    <n v="0"/>
    <n v="0"/>
    <n v="0"/>
    <n v="0"/>
    <m/>
    <n v="91.8"/>
    <m/>
    <s v="Unique"/>
    <s v="Valid"/>
  </r>
  <r>
    <s v="USR-100379"/>
    <d v="2025-04-15T00:00:00"/>
    <x v="0"/>
    <x v="1"/>
    <x v="2"/>
    <x v="2"/>
    <x v="0"/>
    <n v="1"/>
    <n v="0"/>
    <n v="0"/>
    <n v="0"/>
    <n v="0"/>
    <n v="1"/>
    <n v="0"/>
    <m/>
    <n v="69.3"/>
    <m/>
    <s v="Unique"/>
    <s v="Valid"/>
  </r>
  <r>
    <s v="USR-100380"/>
    <d v="2025-01-03T00:00:00"/>
    <x v="0"/>
    <x v="3"/>
    <x v="0"/>
    <x v="2"/>
    <x v="0"/>
    <n v="1"/>
    <n v="0"/>
    <n v="0"/>
    <n v="0"/>
    <n v="0"/>
    <n v="0"/>
    <n v="0"/>
    <m/>
    <n v="58.9"/>
    <m/>
    <s v="Unique"/>
    <s v="Valid"/>
  </r>
  <r>
    <s v="USR-100381"/>
    <d v="2025-03-23T00:00:00"/>
    <x v="0"/>
    <x v="1"/>
    <x v="1"/>
    <x v="4"/>
    <x v="1"/>
    <n v="1"/>
    <n v="1"/>
    <n v="1"/>
    <n v="0"/>
    <n v="0"/>
    <n v="0"/>
    <n v="0"/>
    <m/>
    <n v="76"/>
    <m/>
    <s v="Unique"/>
    <s v="Valid"/>
  </r>
  <r>
    <s v="USR-100382"/>
    <d v="2025-05-27T00:00:00"/>
    <x v="0"/>
    <x v="3"/>
    <x v="1"/>
    <x v="3"/>
    <x v="2"/>
    <n v="1"/>
    <n v="0"/>
    <n v="0"/>
    <n v="0"/>
    <n v="0"/>
    <n v="0"/>
    <n v="0"/>
    <m/>
    <n v="46"/>
    <m/>
    <s v="Unique"/>
    <s v="Valid"/>
  </r>
  <r>
    <s v="USR-100383"/>
    <d v="2025-04-30T00:00:00"/>
    <x v="0"/>
    <x v="2"/>
    <x v="1"/>
    <x v="1"/>
    <x v="1"/>
    <n v="1"/>
    <n v="0"/>
    <n v="0"/>
    <n v="0"/>
    <n v="0"/>
    <n v="0"/>
    <n v="0"/>
    <m/>
    <n v="54.1"/>
    <m/>
    <s v="Unique"/>
    <s v="Valid"/>
  </r>
  <r>
    <s v="USR-100384"/>
    <d v="2025-03-07T00:00:00"/>
    <x v="0"/>
    <x v="1"/>
    <x v="1"/>
    <x v="4"/>
    <x v="0"/>
    <n v="1"/>
    <n v="0"/>
    <n v="0"/>
    <n v="0"/>
    <n v="0"/>
    <n v="0"/>
    <n v="0"/>
    <m/>
    <n v="82.4"/>
    <m/>
    <s v="Unique"/>
    <s v="Valid"/>
  </r>
  <r>
    <s v="USR-100385"/>
    <d v="2025-05-10T00:00:00"/>
    <x v="0"/>
    <x v="3"/>
    <x v="1"/>
    <x v="1"/>
    <x v="0"/>
    <n v="1"/>
    <n v="1"/>
    <n v="1"/>
    <n v="0"/>
    <n v="0"/>
    <n v="0"/>
    <n v="0"/>
    <m/>
    <n v="71.900000000000006"/>
    <m/>
    <s v="Unique"/>
    <s v="Valid"/>
  </r>
  <r>
    <s v="USR-100386"/>
    <d v="2025-05-22T00:00:00"/>
    <x v="0"/>
    <x v="2"/>
    <x v="1"/>
    <x v="1"/>
    <x v="1"/>
    <n v="0"/>
    <n v="0"/>
    <n v="0"/>
    <n v="0"/>
    <n v="0"/>
    <n v="2"/>
    <n v="0"/>
    <m/>
    <n v="38"/>
    <m/>
    <s v="Unique"/>
    <s v="Valid"/>
  </r>
  <r>
    <s v="USR-100387"/>
    <d v="2025-02-09T00:00:00"/>
    <x v="0"/>
    <x v="2"/>
    <x v="1"/>
    <x v="2"/>
    <x v="1"/>
    <n v="1"/>
    <n v="1"/>
    <n v="0"/>
    <n v="0"/>
    <n v="0"/>
    <n v="0"/>
    <n v="0"/>
    <m/>
    <n v="43.7"/>
    <m/>
    <s v="Unique"/>
    <s v="Valid"/>
  </r>
  <r>
    <s v="USR-100388"/>
    <d v="2025-05-30T00:00:00"/>
    <x v="0"/>
    <x v="1"/>
    <x v="0"/>
    <x v="1"/>
    <x v="2"/>
    <n v="1"/>
    <n v="0"/>
    <n v="0"/>
    <n v="0"/>
    <n v="0"/>
    <n v="1"/>
    <n v="0"/>
    <m/>
    <n v="32.200000000000003"/>
    <m/>
    <s v="Unique"/>
    <s v="Valid"/>
  </r>
  <r>
    <s v="USR-100389"/>
    <d v="2025-05-01T00:00:00"/>
    <x v="0"/>
    <x v="3"/>
    <x v="1"/>
    <x v="1"/>
    <x v="2"/>
    <n v="1"/>
    <n v="0"/>
    <n v="0"/>
    <n v="0"/>
    <n v="0"/>
    <n v="0"/>
    <n v="0"/>
    <m/>
    <n v="61"/>
    <m/>
    <s v="Unique"/>
    <s v="Valid"/>
  </r>
  <r>
    <s v="USR-100390"/>
    <d v="2025-01-03T00:00:00"/>
    <x v="0"/>
    <x v="3"/>
    <x v="1"/>
    <x v="2"/>
    <x v="1"/>
    <n v="1"/>
    <n v="0"/>
    <n v="0"/>
    <n v="0"/>
    <n v="0"/>
    <n v="0"/>
    <n v="0"/>
    <m/>
    <n v="49"/>
    <m/>
    <s v="Unique"/>
    <s v="Valid"/>
  </r>
  <r>
    <s v="USR-100391"/>
    <d v="2025-02-13T00:00:00"/>
    <x v="0"/>
    <x v="2"/>
    <x v="1"/>
    <x v="1"/>
    <x v="1"/>
    <n v="0"/>
    <n v="0"/>
    <n v="0"/>
    <n v="0"/>
    <n v="0"/>
    <n v="0"/>
    <n v="0"/>
    <m/>
    <n v="48.1"/>
    <m/>
    <s v="Unique"/>
    <s v="Valid"/>
  </r>
  <r>
    <s v="USR-100392"/>
    <d v="2025-01-14T00:00:00"/>
    <x v="0"/>
    <x v="3"/>
    <x v="0"/>
    <x v="1"/>
    <x v="1"/>
    <n v="0"/>
    <n v="0"/>
    <n v="0"/>
    <n v="0"/>
    <n v="0"/>
    <n v="2"/>
    <n v="0"/>
    <m/>
    <n v="46.3"/>
    <m/>
    <s v="Unique"/>
    <s v="Valid"/>
  </r>
  <r>
    <s v="USR-100393"/>
    <d v="2025-02-24T00:00:00"/>
    <x v="0"/>
    <x v="0"/>
    <x v="1"/>
    <x v="3"/>
    <x v="1"/>
    <n v="0"/>
    <n v="0"/>
    <n v="0"/>
    <n v="0"/>
    <n v="0"/>
    <n v="0"/>
    <n v="0"/>
    <m/>
    <n v="64"/>
    <m/>
    <s v="Unique"/>
    <s v="Valid"/>
  </r>
  <r>
    <s v="USR-100394"/>
    <d v="2025-05-16T00:00:00"/>
    <x v="0"/>
    <x v="1"/>
    <x v="0"/>
    <x v="1"/>
    <x v="0"/>
    <n v="1"/>
    <n v="1"/>
    <n v="0"/>
    <n v="0"/>
    <n v="0"/>
    <n v="0"/>
    <n v="0"/>
    <m/>
    <n v="56.2"/>
    <m/>
    <s v="Unique"/>
    <s v="Valid"/>
  </r>
  <r>
    <s v="USR-100395"/>
    <d v="2025-04-29T00:00:00"/>
    <x v="0"/>
    <x v="0"/>
    <x v="1"/>
    <x v="2"/>
    <x v="1"/>
    <n v="1"/>
    <n v="1"/>
    <n v="1"/>
    <n v="0"/>
    <n v="0"/>
    <n v="0"/>
    <n v="0"/>
    <m/>
    <n v="77.5"/>
    <m/>
    <s v="Unique"/>
    <s v="Valid"/>
  </r>
  <r>
    <s v="USR-100396"/>
    <d v="2025-04-30T00:00:00"/>
    <x v="0"/>
    <x v="3"/>
    <x v="0"/>
    <x v="0"/>
    <x v="0"/>
    <n v="1"/>
    <n v="0"/>
    <n v="0"/>
    <n v="0"/>
    <n v="0"/>
    <n v="0"/>
    <n v="0"/>
    <m/>
    <n v="59.9"/>
    <m/>
    <s v="Unique"/>
    <s v="Valid"/>
  </r>
  <r>
    <s v="USR-100397"/>
    <d v="2025-01-09T00:00:00"/>
    <x v="0"/>
    <x v="3"/>
    <x v="0"/>
    <x v="1"/>
    <x v="1"/>
    <n v="1"/>
    <n v="1"/>
    <n v="0"/>
    <n v="0"/>
    <n v="0"/>
    <n v="0"/>
    <n v="0"/>
    <m/>
    <n v="63"/>
    <m/>
    <s v="Unique"/>
    <s v="Valid"/>
  </r>
  <r>
    <s v="USR-100398"/>
    <d v="2025-04-25T00:00:00"/>
    <x v="0"/>
    <x v="3"/>
    <x v="1"/>
    <x v="1"/>
    <x v="1"/>
    <n v="1"/>
    <n v="1"/>
    <n v="0"/>
    <n v="0"/>
    <n v="0"/>
    <n v="0"/>
    <n v="0"/>
    <m/>
    <n v="76.5"/>
    <m/>
    <s v="Unique"/>
    <s v="Valid"/>
  </r>
  <r>
    <s v="USR-100399"/>
    <d v="2025-03-12T00:00:00"/>
    <x v="0"/>
    <x v="0"/>
    <x v="0"/>
    <x v="2"/>
    <x v="1"/>
    <n v="1"/>
    <n v="0"/>
    <n v="0"/>
    <n v="0"/>
    <n v="0"/>
    <n v="0"/>
    <n v="0"/>
    <m/>
    <n v="39.700000000000003"/>
    <m/>
    <s v="Unique"/>
    <s v="Valid"/>
  </r>
  <r>
    <s v="USR-100400"/>
    <d v="2025-03-20T00:00:00"/>
    <x v="0"/>
    <x v="0"/>
    <x v="1"/>
    <x v="1"/>
    <x v="1"/>
    <n v="1"/>
    <n v="1"/>
    <n v="0"/>
    <n v="0"/>
    <n v="0"/>
    <n v="0"/>
    <n v="0"/>
    <m/>
    <n v="80.2"/>
    <m/>
    <s v="Unique"/>
    <s v="Valid"/>
  </r>
  <r>
    <s v="USR-100401"/>
    <d v="2025-02-18T00:00:00"/>
    <x v="0"/>
    <x v="1"/>
    <x v="1"/>
    <x v="2"/>
    <x v="1"/>
    <n v="1"/>
    <n v="0"/>
    <n v="0"/>
    <n v="0"/>
    <n v="0"/>
    <n v="0"/>
    <n v="0"/>
    <m/>
    <n v="72.2"/>
    <m/>
    <s v="Unique"/>
    <s v="Valid"/>
  </r>
  <r>
    <s v="USR-100402"/>
    <d v="2025-01-22T00:00:00"/>
    <x v="0"/>
    <x v="0"/>
    <x v="1"/>
    <x v="4"/>
    <x v="0"/>
    <n v="0"/>
    <n v="0"/>
    <n v="0"/>
    <n v="0"/>
    <n v="0"/>
    <n v="0"/>
    <n v="0"/>
    <m/>
    <n v="56"/>
    <m/>
    <s v="Unique"/>
    <s v="Valid"/>
  </r>
  <r>
    <s v="USR-100403"/>
    <d v="2025-02-08T00:00:00"/>
    <x v="0"/>
    <x v="1"/>
    <x v="1"/>
    <x v="0"/>
    <x v="0"/>
    <n v="1"/>
    <n v="1"/>
    <n v="1"/>
    <n v="0"/>
    <n v="0"/>
    <n v="0"/>
    <n v="0"/>
    <m/>
    <n v="69.099999999999994"/>
    <m/>
    <s v="Unique"/>
    <s v="Valid"/>
  </r>
  <r>
    <s v="USR-100404"/>
    <d v="2025-01-20T00:00:00"/>
    <x v="0"/>
    <x v="0"/>
    <x v="1"/>
    <x v="0"/>
    <x v="2"/>
    <n v="0"/>
    <n v="0"/>
    <n v="0"/>
    <n v="0"/>
    <n v="0"/>
    <n v="1"/>
    <n v="0"/>
    <m/>
    <n v="70.599999999999994"/>
    <m/>
    <s v="Unique"/>
    <s v="Valid"/>
  </r>
  <r>
    <s v="USR-100405"/>
    <d v="2025-04-22T00:00:00"/>
    <x v="0"/>
    <x v="1"/>
    <x v="0"/>
    <x v="3"/>
    <x v="1"/>
    <n v="1"/>
    <n v="0"/>
    <n v="0"/>
    <n v="0"/>
    <n v="0"/>
    <n v="0"/>
    <n v="0"/>
    <m/>
    <n v="57.9"/>
    <m/>
    <s v="Unique"/>
    <s v="Valid"/>
  </r>
  <r>
    <s v="USR-100406"/>
    <d v="2025-01-22T00:00:00"/>
    <x v="0"/>
    <x v="2"/>
    <x v="1"/>
    <x v="1"/>
    <x v="0"/>
    <n v="1"/>
    <n v="1"/>
    <n v="0"/>
    <n v="0"/>
    <n v="0"/>
    <n v="0"/>
    <n v="0"/>
    <m/>
    <n v="41.4"/>
    <m/>
    <s v="Unique"/>
    <s v="Valid"/>
  </r>
  <r>
    <s v="USR-100407"/>
    <d v="2025-05-11T00:00:00"/>
    <x v="0"/>
    <x v="1"/>
    <x v="1"/>
    <x v="1"/>
    <x v="0"/>
    <n v="1"/>
    <n v="0"/>
    <n v="0"/>
    <n v="0"/>
    <n v="0"/>
    <n v="0"/>
    <n v="0"/>
    <m/>
    <n v="60.9"/>
    <m/>
    <s v="Unique"/>
    <s v="Valid"/>
  </r>
  <r>
    <s v="USR-100408"/>
    <d v="2025-02-06T00:00:00"/>
    <x v="0"/>
    <x v="3"/>
    <x v="1"/>
    <x v="1"/>
    <x v="0"/>
    <n v="0"/>
    <n v="0"/>
    <n v="0"/>
    <n v="0"/>
    <n v="0"/>
    <n v="1"/>
    <n v="0"/>
    <m/>
    <n v="63.8"/>
    <m/>
    <s v="Unique"/>
    <s v="Valid"/>
  </r>
  <r>
    <s v="USR-100409"/>
    <d v="2025-02-21T00:00:00"/>
    <x v="0"/>
    <x v="0"/>
    <x v="0"/>
    <x v="1"/>
    <x v="2"/>
    <n v="1"/>
    <n v="0"/>
    <n v="0"/>
    <n v="0"/>
    <n v="0"/>
    <n v="0"/>
    <n v="0"/>
    <m/>
    <n v="79.2"/>
    <m/>
    <s v="Unique"/>
    <s v="Valid"/>
  </r>
  <r>
    <s v="USR-100410"/>
    <d v="2025-01-13T00:00:00"/>
    <x v="0"/>
    <x v="1"/>
    <x v="1"/>
    <x v="0"/>
    <x v="2"/>
    <n v="1"/>
    <n v="1"/>
    <n v="1"/>
    <n v="0"/>
    <n v="0"/>
    <n v="0"/>
    <n v="0"/>
    <m/>
    <n v="53.3"/>
    <m/>
    <s v="Unique"/>
    <s v="Valid"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6"/>
    <n v="52.3"/>
    <m/>
    <s v="Unique"/>
    <s v="Valid"/>
  </r>
  <r>
    <s v="USR-100412"/>
    <d v="2025-02-26T00:00:00"/>
    <x v="0"/>
    <x v="1"/>
    <x v="0"/>
    <x v="1"/>
    <x v="0"/>
    <n v="1"/>
    <n v="1"/>
    <n v="0"/>
    <n v="0"/>
    <n v="0"/>
    <n v="0"/>
    <n v="0"/>
    <m/>
    <n v="62.4"/>
    <m/>
    <s v="Unique"/>
    <s v="Valid"/>
  </r>
  <r>
    <s v="USR-100413"/>
    <d v="2025-05-05T00:00:00"/>
    <x v="0"/>
    <x v="0"/>
    <x v="1"/>
    <x v="3"/>
    <x v="2"/>
    <n v="1"/>
    <n v="0"/>
    <n v="0"/>
    <n v="0"/>
    <n v="0"/>
    <n v="0"/>
    <n v="0"/>
    <m/>
    <n v="45.5"/>
    <m/>
    <s v="Unique"/>
    <s v="Valid"/>
  </r>
  <r>
    <s v="USR-100414"/>
    <d v="2025-01-08T00:00:00"/>
    <x v="0"/>
    <x v="2"/>
    <x v="0"/>
    <x v="1"/>
    <x v="0"/>
    <n v="0"/>
    <n v="0"/>
    <n v="0"/>
    <n v="0"/>
    <n v="0"/>
    <n v="1"/>
    <n v="0"/>
    <m/>
    <n v="72.599999999999994"/>
    <m/>
    <s v="Unique"/>
    <s v="Valid"/>
  </r>
  <r>
    <s v="USR-100415"/>
    <d v="2025-03-19T00:00:00"/>
    <x v="0"/>
    <x v="3"/>
    <x v="1"/>
    <x v="0"/>
    <x v="2"/>
    <n v="1"/>
    <n v="1"/>
    <n v="1"/>
    <n v="0"/>
    <n v="0"/>
    <n v="0"/>
    <n v="0"/>
    <m/>
    <n v="50.1"/>
    <m/>
    <s v="Unique"/>
    <s v="Valid"/>
  </r>
  <r>
    <s v="USR-100416"/>
    <d v="2025-01-30T00:00:00"/>
    <x v="0"/>
    <x v="2"/>
    <x v="0"/>
    <x v="2"/>
    <x v="1"/>
    <n v="1"/>
    <n v="1"/>
    <n v="1"/>
    <n v="0"/>
    <n v="0"/>
    <n v="2"/>
    <n v="0"/>
    <m/>
    <n v="58.1"/>
    <m/>
    <s v="Unique"/>
    <s v="Valid"/>
  </r>
  <r>
    <s v="USR-100417"/>
    <d v="2025-04-28T00:00:00"/>
    <x v="0"/>
    <x v="2"/>
    <x v="1"/>
    <x v="1"/>
    <x v="0"/>
    <n v="1"/>
    <n v="0"/>
    <n v="0"/>
    <n v="0"/>
    <n v="0"/>
    <n v="0"/>
    <n v="0"/>
    <m/>
    <n v="42.9"/>
    <m/>
    <s v="Unique"/>
    <s v="Valid"/>
  </r>
  <r>
    <s v="USR-100418"/>
    <d v="2025-03-07T00:00:00"/>
    <x v="0"/>
    <x v="0"/>
    <x v="1"/>
    <x v="3"/>
    <x v="0"/>
    <n v="0"/>
    <n v="0"/>
    <n v="0"/>
    <n v="0"/>
    <n v="0"/>
    <n v="0"/>
    <n v="0"/>
    <m/>
    <n v="69.7"/>
    <m/>
    <s v="Unique"/>
    <s v="Valid"/>
  </r>
  <r>
    <s v="USR-100419"/>
    <d v="2025-04-07T00:00:00"/>
    <x v="0"/>
    <x v="0"/>
    <x v="0"/>
    <x v="1"/>
    <x v="1"/>
    <n v="0"/>
    <n v="0"/>
    <n v="0"/>
    <n v="0"/>
    <n v="0"/>
    <n v="0"/>
    <n v="0"/>
    <m/>
    <n v="63.3"/>
    <m/>
    <s v="Unique"/>
    <s v="Valid"/>
  </r>
  <r>
    <s v="USR-100420"/>
    <d v="2025-05-08T00:00:00"/>
    <x v="0"/>
    <x v="0"/>
    <x v="0"/>
    <x v="1"/>
    <x v="2"/>
    <n v="1"/>
    <n v="0"/>
    <n v="0"/>
    <n v="0"/>
    <n v="0"/>
    <n v="0"/>
    <n v="0"/>
    <m/>
    <n v="71.2"/>
    <m/>
    <s v="Unique"/>
    <s v="Valid"/>
  </r>
  <r>
    <s v="USR-100421"/>
    <d v="2025-04-15T00:00:00"/>
    <x v="0"/>
    <x v="3"/>
    <x v="1"/>
    <x v="0"/>
    <x v="1"/>
    <n v="1"/>
    <n v="0"/>
    <n v="0"/>
    <n v="0"/>
    <n v="0"/>
    <n v="0"/>
    <n v="0"/>
    <m/>
    <n v="39.1"/>
    <m/>
    <s v="Unique"/>
    <s v="Valid"/>
  </r>
  <r>
    <s v="USR-100422"/>
    <d v="2025-04-20T00:00:00"/>
    <x v="0"/>
    <x v="2"/>
    <x v="0"/>
    <x v="4"/>
    <x v="1"/>
    <n v="1"/>
    <n v="0"/>
    <n v="0"/>
    <n v="0"/>
    <n v="0"/>
    <n v="0"/>
    <n v="0"/>
    <m/>
    <n v="42.6"/>
    <m/>
    <s v="Unique"/>
    <s v="Valid"/>
  </r>
  <r>
    <s v="USR-100423"/>
    <d v="2025-05-30T00:00:00"/>
    <x v="0"/>
    <x v="3"/>
    <x v="2"/>
    <x v="1"/>
    <x v="1"/>
    <n v="0"/>
    <n v="0"/>
    <n v="0"/>
    <n v="0"/>
    <n v="0"/>
    <n v="0"/>
    <n v="0"/>
    <m/>
    <n v="74.400000000000006"/>
    <m/>
    <s v="Unique"/>
    <s v="Valid"/>
  </r>
  <r>
    <s v="USR-100424"/>
    <d v="2025-02-13T00:00:00"/>
    <x v="0"/>
    <x v="1"/>
    <x v="1"/>
    <x v="3"/>
    <x v="1"/>
    <n v="0"/>
    <n v="0"/>
    <n v="0"/>
    <n v="0"/>
    <n v="0"/>
    <n v="0"/>
    <n v="0"/>
    <m/>
    <n v="55.6"/>
    <m/>
    <s v="Unique"/>
    <s v="Valid"/>
  </r>
  <r>
    <s v="USR-100425"/>
    <d v="2025-04-28T00:00:00"/>
    <x v="0"/>
    <x v="1"/>
    <x v="1"/>
    <x v="4"/>
    <x v="1"/>
    <n v="1"/>
    <n v="0"/>
    <n v="0"/>
    <n v="0"/>
    <n v="0"/>
    <n v="0"/>
    <n v="0"/>
    <m/>
    <n v="35.799999999999997"/>
    <m/>
    <s v="Unique"/>
    <s v="Valid"/>
  </r>
  <r>
    <s v="USR-100426"/>
    <d v="2025-02-12T00:00:00"/>
    <x v="0"/>
    <x v="0"/>
    <x v="1"/>
    <x v="2"/>
    <x v="0"/>
    <n v="1"/>
    <n v="0"/>
    <n v="0"/>
    <n v="0"/>
    <n v="0"/>
    <n v="1"/>
    <n v="0"/>
    <m/>
    <n v="28.2"/>
    <m/>
    <s v="Unique"/>
    <s v="Valid"/>
  </r>
  <r>
    <s v="USR-100427"/>
    <d v="2025-02-12T00:00:00"/>
    <x v="0"/>
    <x v="2"/>
    <x v="1"/>
    <x v="1"/>
    <x v="1"/>
    <n v="0"/>
    <n v="0"/>
    <n v="0"/>
    <n v="0"/>
    <n v="0"/>
    <n v="2"/>
    <n v="0"/>
    <m/>
    <n v="44.4"/>
    <m/>
    <s v="Unique"/>
    <s v="Valid"/>
  </r>
  <r>
    <s v="USR-100428"/>
    <d v="2025-03-27T00:00:00"/>
    <x v="0"/>
    <x v="0"/>
    <x v="1"/>
    <x v="0"/>
    <x v="2"/>
    <n v="1"/>
    <n v="0"/>
    <n v="0"/>
    <n v="0"/>
    <n v="0"/>
    <n v="0"/>
    <n v="0"/>
    <m/>
    <n v="49.9"/>
    <m/>
    <s v="Unique"/>
    <s v="Valid"/>
  </r>
  <r>
    <s v="USR-100429"/>
    <d v="2025-04-12T00:00:00"/>
    <x v="0"/>
    <x v="3"/>
    <x v="0"/>
    <x v="1"/>
    <x v="1"/>
    <n v="0"/>
    <n v="0"/>
    <n v="0"/>
    <n v="0"/>
    <n v="0"/>
    <n v="0"/>
    <n v="0"/>
    <m/>
    <n v="40.4"/>
    <m/>
    <s v="Unique"/>
    <s v="Valid"/>
  </r>
  <r>
    <s v="USR-100430"/>
    <d v="2025-01-30T00:00:00"/>
    <x v="0"/>
    <x v="1"/>
    <x v="1"/>
    <x v="4"/>
    <x v="1"/>
    <n v="0"/>
    <n v="0"/>
    <n v="0"/>
    <n v="0"/>
    <n v="0"/>
    <n v="0"/>
    <n v="0"/>
    <m/>
    <n v="60.4"/>
    <m/>
    <s v="Unique"/>
    <s v="Valid"/>
  </r>
  <r>
    <s v="USR-100431"/>
    <d v="2025-05-28T00:00:00"/>
    <x v="0"/>
    <x v="1"/>
    <x v="1"/>
    <x v="4"/>
    <x v="2"/>
    <n v="0"/>
    <n v="0"/>
    <n v="0"/>
    <n v="0"/>
    <n v="0"/>
    <n v="1"/>
    <n v="0"/>
    <m/>
    <n v="52.4"/>
    <m/>
    <s v="Unique"/>
    <s v="Valid"/>
  </r>
  <r>
    <s v="USR-100432"/>
    <d v="2025-05-01T00:00:00"/>
    <x v="0"/>
    <x v="3"/>
    <x v="1"/>
    <x v="1"/>
    <x v="0"/>
    <n v="1"/>
    <n v="1"/>
    <n v="0"/>
    <n v="0"/>
    <n v="0"/>
    <n v="0"/>
    <n v="0"/>
    <m/>
    <n v="48.8"/>
    <m/>
    <s v="Unique"/>
    <s v="Valid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m/>
    <s v="Duplicate"/>
    <s v="Valid"/>
  </r>
  <r>
    <s v="USR-100434"/>
    <d v="2025-01-10T00:00:00"/>
    <x v="0"/>
    <x v="3"/>
    <x v="0"/>
    <x v="4"/>
    <x v="0"/>
    <n v="0"/>
    <n v="0"/>
    <n v="0"/>
    <n v="0"/>
    <n v="0"/>
    <n v="0"/>
    <n v="0"/>
    <m/>
    <n v="68.2"/>
    <m/>
    <s v="Unique"/>
    <s v="Valid"/>
  </r>
  <r>
    <s v="USR-100435"/>
    <d v="2025-05-02T00:00:00"/>
    <x v="0"/>
    <x v="0"/>
    <x v="0"/>
    <x v="1"/>
    <x v="0"/>
    <n v="1"/>
    <n v="0"/>
    <n v="0"/>
    <n v="0"/>
    <n v="0"/>
    <n v="0"/>
    <n v="0"/>
    <m/>
    <n v="65.599999999999994"/>
    <m/>
    <s v="Unique"/>
    <s v="Valid"/>
  </r>
  <r>
    <s v="USR-100436"/>
    <d v="2025-05-26T00:00:00"/>
    <x v="0"/>
    <x v="0"/>
    <x v="0"/>
    <x v="1"/>
    <x v="0"/>
    <n v="1"/>
    <n v="0"/>
    <n v="0"/>
    <n v="0"/>
    <n v="0"/>
    <n v="0"/>
    <n v="0"/>
    <m/>
    <n v="65.400000000000006"/>
    <m/>
    <s v="Unique"/>
    <s v="Valid"/>
  </r>
  <r>
    <s v="USR-100437"/>
    <d v="2025-01-12T00:00:00"/>
    <x v="0"/>
    <x v="1"/>
    <x v="1"/>
    <x v="1"/>
    <x v="0"/>
    <n v="1"/>
    <n v="0"/>
    <n v="0"/>
    <n v="0"/>
    <n v="0"/>
    <n v="0"/>
    <n v="0"/>
    <m/>
    <n v="78.900000000000006"/>
    <m/>
    <s v="Unique"/>
    <s v="Valid"/>
  </r>
  <r>
    <s v="USR-100438"/>
    <d v="2025-05-27T00:00:00"/>
    <x v="0"/>
    <x v="2"/>
    <x v="1"/>
    <x v="2"/>
    <x v="0"/>
    <n v="1"/>
    <n v="1"/>
    <n v="1"/>
    <n v="0"/>
    <n v="0"/>
    <n v="0"/>
    <n v="0"/>
    <m/>
    <n v="78.3"/>
    <m/>
    <s v="Unique"/>
    <s v="Valid"/>
  </r>
  <r>
    <s v="USR-100439"/>
    <d v="2025-05-22T00:00:00"/>
    <x v="0"/>
    <x v="1"/>
    <x v="0"/>
    <x v="0"/>
    <x v="0"/>
    <n v="0"/>
    <n v="0"/>
    <n v="0"/>
    <n v="0"/>
    <n v="0"/>
    <n v="0"/>
    <n v="0"/>
    <m/>
    <n v="49.2"/>
    <m/>
    <s v="Unique"/>
    <s v="Valid"/>
  </r>
  <r>
    <s v="USR-100440"/>
    <d v="2025-04-01T00:00:00"/>
    <x v="0"/>
    <x v="2"/>
    <x v="1"/>
    <x v="4"/>
    <x v="2"/>
    <n v="1"/>
    <n v="1"/>
    <n v="1"/>
    <n v="1"/>
    <n v="1518.83"/>
    <n v="0"/>
    <n v="0"/>
    <n v="9"/>
    <n v="32.200000000000003"/>
    <m/>
    <s v="Unique"/>
    <s v="Valid"/>
  </r>
  <r>
    <s v="USR-100441"/>
    <d v="2025-01-22T00:00:00"/>
    <x v="0"/>
    <x v="0"/>
    <x v="1"/>
    <x v="2"/>
    <x v="0"/>
    <n v="1"/>
    <n v="1"/>
    <n v="1"/>
    <n v="0"/>
    <n v="0"/>
    <n v="0"/>
    <n v="0"/>
    <m/>
    <n v="46.3"/>
    <m/>
    <s v="Unique"/>
    <s v="Valid"/>
  </r>
  <r>
    <s v="USR-100442"/>
    <d v="2025-05-24T00:00:00"/>
    <x v="0"/>
    <x v="2"/>
    <x v="1"/>
    <x v="2"/>
    <x v="0"/>
    <n v="1"/>
    <n v="0"/>
    <n v="0"/>
    <n v="0"/>
    <n v="0"/>
    <n v="0"/>
    <n v="0"/>
    <m/>
    <n v="55.7"/>
    <m/>
    <s v="Unique"/>
    <s v="Valid"/>
  </r>
  <r>
    <s v="USR-100443"/>
    <d v="2025-04-25T00:00:00"/>
    <x v="0"/>
    <x v="3"/>
    <x v="1"/>
    <x v="4"/>
    <x v="1"/>
    <n v="1"/>
    <n v="0"/>
    <n v="0"/>
    <n v="0"/>
    <n v="0"/>
    <n v="0"/>
    <n v="0"/>
    <m/>
    <n v="44.5"/>
    <m/>
    <s v="Unique"/>
    <s v="Valid"/>
  </r>
  <r>
    <s v="USR-100444"/>
    <d v="2025-04-12T00:00:00"/>
    <x v="0"/>
    <x v="1"/>
    <x v="0"/>
    <x v="3"/>
    <x v="1"/>
    <n v="1"/>
    <n v="1"/>
    <n v="1"/>
    <n v="0"/>
    <n v="0"/>
    <n v="1"/>
    <n v="0"/>
    <m/>
    <n v="47.9"/>
    <m/>
    <s v="Unique"/>
    <s v="Valid"/>
  </r>
  <r>
    <s v="USR-100445"/>
    <d v="2025-04-23T00:00:00"/>
    <x v="0"/>
    <x v="3"/>
    <x v="1"/>
    <x v="1"/>
    <x v="2"/>
    <n v="1"/>
    <n v="0"/>
    <n v="0"/>
    <n v="0"/>
    <n v="0"/>
    <n v="0"/>
    <n v="0"/>
    <m/>
    <n v="43.9"/>
    <m/>
    <s v="Unique"/>
    <s v="Valid"/>
  </r>
  <r>
    <s v="USR-100446"/>
    <d v="2025-03-30T00:00:00"/>
    <x v="0"/>
    <x v="0"/>
    <x v="0"/>
    <x v="3"/>
    <x v="1"/>
    <n v="1"/>
    <n v="1"/>
    <n v="1"/>
    <n v="0"/>
    <n v="0"/>
    <n v="1"/>
    <n v="0"/>
    <m/>
    <n v="67.7"/>
    <m/>
    <s v="Unique"/>
    <s v="Valid"/>
  </r>
  <r>
    <s v="USR-100447"/>
    <d v="2025-01-18T00:00:00"/>
    <x v="0"/>
    <x v="2"/>
    <x v="1"/>
    <x v="3"/>
    <x v="0"/>
    <n v="0"/>
    <n v="0"/>
    <n v="0"/>
    <n v="0"/>
    <n v="0"/>
    <n v="0"/>
    <n v="0"/>
    <m/>
    <n v="43.7"/>
    <m/>
    <s v="Unique"/>
    <s v="Valid"/>
  </r>
  <r>
    <s v="USR-100448"/>
    <d v="2025-04-09T00:00:00"/>
    <x v="0"/>
    <x v="2"/>
    <x v="1"/>
    <x v="1"/>
    <x v="1"/>
    <n v="1"/>
    <n v="0"/>
    <n v="0"/>
    <n v="0"/>
    <n v="0"/>
    <n v="0"/>
    <n v="0"/>
    <m/>
    <n v="68.8"/>
    <m/>
    <s v="Unique"/>
    <s v="Valid"/>
  </r>
  <r>
    <s v="USR-100449"/>
    <d v="2025-01-11T00:00:00"/>
    <x v="0"/>
    <x v="1"/>
    <x v="1"/>
    <x v="1"/>
    <x v="1"/>
    <n v="1"/>
    <n v="1"/>
    <n v="1"/>
    <n v="0"/>
    <n v="0"/>
    <n v="0"/>
    <n v="0"/>
    <m/>
    <n v="59.2"/>
    <m/>
    <s v="Unique"/>
    <s v="Valid"/>
  </r>
  <r>
    <s v="USR-100450"/>
    <d v="2025-03-05T00:00:00"/>
    <x v="0"/>
    <x v="2"/>
    <x v="1"/>
    <x v="2"/>
    <x v="1"/>
    <n v="1"/>
    <n v="0"/>
    <n v="0"/>
    <n v="0"/>
    <n v="0"/>
    <n v="0"/>
    <n v="0"/>
    <m/>
    <n v="48.6"/>
    <m/>
    <s v="Unique"/>
    <s v="Valid"/>
  </r>
  <r>
    <s v="USR-100451"/>
    <d v="2025-02-17T00:00:00"/>
    <x v="0"/>
    <x v="0"/>
    <x v="2"/>
    <x v="4"/>
    <x v="1"/>
    <n v="1"/>
    <n v="1"/>
    <n v="1"/>
    <n v="0"/>
    <n v="0"/>
    <n v="0"/>
    <n v="0"/>
    <m/>
    <n v="56.9"/>
    <m/>
    <s v="Unique"/>
    <s v="Valid"/>
  </r>
  <r>
    <s v="USR-100452"/>
    <d v="2025-05-07T00:00:00"/>
    <x v="0"/>
    <x v="0"/>
    <x v="0"/>
    <x v="2"/>
    <x v="1"/>
    <n v="0"/>
    <n v="0"/>
    <n v="0"/>
    <n v="0"/>
    <n v="0"/>
    <n v="0"/>
    <n v="0"/>
    <m/>
    <n v="55.8"/>
    <m/>
    <s v="Unique"/>
    <s v="Valid"/>
  </r>
  <r>
    <s v="USR-100453"/>
    <d v="2025-04-10T00:00:00"/>
    <x v="0"/>
    <x v="2"/>
    <x v="1"/>
    <x v="2"/>
    <x v="2"/>
    <n v="0"/>
    <n v="0"/>
    <n v="0"/>
    <n v="0"/>
    <n v="0"/>
    <n v="0"/>
    <n v="0"/>
    <m/>
    <n v="63.3"/>
    <m/>
    <s v="Unique"/>
    <s v="Valid"/>
  </r>
  <r>
    <s v="USR-100454"/>
    <d v="2025-04-21T00:00:00"/>
    <x v="0"/>
    <x v="0"/>
    <x v="1"/>
    <x v="4"/>
    <x v="1"/>
    <n v="1"/>
    <n v="0"/>
    <n v="0"/>
    <n v="0"/>
    <n v="0"/>
    <n v="0"/>
    <n v="0"/>
    <m/>
    <n v="52.2"/>
    <m/>
    <s v="Unique"/>
    <s v="Valid"/>
  </r>
  <r>
    <s v="USR-100455"/>
    <d v="2025-02-25T00:00:00"/>
    <x v="0"/>
    <x v="3"/>
    <x v="2"/>
    <x v="5"/>
    <x v="1"/>
    <n v="0"/>
    <n v="0"/>
    <n v="0"/>
    <n v="0"/>
    <n v="0"/>
    <n v="0"/>
    <n v="0"/>
    <m/>
    <n v="51.5"/>
    <m/>
    <s v="Unique"/>
    <s v="Valid"/>
  </r>
  <r>
    <s v="USR-100456"/>
    <d v="2025-05-14T00:00:00"/>
    <x v="0"/>
    <x v="2"/>
    <x v="0"/>
    <x v="1"/>
    <x v="1"/>
    <n v="0"/>
    <n v="0"/>
    <n v="0"/>
    <n v="0"/>
    <n v="0"/>
    <n v="0"/>
    <n v="0"/>
    <m/>
    <n v="50.3"/>
    <m/>
    <s v="Unique"/>
    <s v="Valid"/>
  </r>
  <r>
    <s v="USR-100457"/>
    <d v="2025-03-10T00:00:00"/>
    <x v="0"/>
    <x v="0"/>
    <x v="1"/>
    <x v="0"/>
    <x v="0"/>
    <n v="1"/>
    <n v="0"/>
    <n v="0"/>
    <n v="0"/>
    <n v="0"/>
    <n v="1"/>
    <n v="0"/>
    <m/>
    <n v="35.4"/>
    <m/>
    <s v="Unique"/>
    <s v="Valid"/>
  </r>
  <r>
    <s v="USR-100458"/>
    <d v="2025-01-31T00:00:00"/>
    <x v="0"/>
    <x v="1"/>
    <x v="0"/>
    <x v="1"/>
    <x v="2"/>
    <n v="1"/>
    <n v="0"/>
    <n v="0"/>
    <n v="0"/>
    <n v="0"/>
    <n v="1"/>
    <n v="0"/>
    <m/>
    <n v="54.1"/>
    <m/>
    <s v="Unique"/>
    <s v="Valid"/>
  </r>
  <r>
    <s v="USR-100459"/>
    <d v="2025-01-17T00:00:00"/>
    <x v="0"/>
    <x v="3"/>
    <x v="1"/>
    <x v="1"/>
    <x v="2"/>
    <n v="1"/>
    <n v="0"/>
    <n v="0"/>
    <n v="0"/>
    <n v="0"/>
    <n v="0"/>
    <n v="0"/>
    <m/>
    <n v="56.2"/>
    <m/>
    <s v="Unique"/>
    <s v="Valid"/>
  </r>
  <r>
    <s v="USR-100460"/>
    <d v="2025-03-12T00:00:00"/>
    <x v="0"/>
    <x v="3"/>
    <x v="1"/>
    <x v="2"/>
    <x v="1"/>
    <n v="0"/>
    <n v="0"/>
    <n v="0"/>
    <n v="0"/>
    <n v="0"/>
    <n v="3"/>
    <n v="0"/>
    <m/>
    <n v="43.7"/>
    <m/>
    <s v="Unique"/>
    <s v="Valid"/>
  </r>
  <r>
    <s v="USR-100461"/>
    <d v="2025-02-28T00:00:00"/>
    <x v="0"/>
    <x v="1"/>
    <x v="0"/>
    <x v="1"/>
    <x v="2"/>
    <n v="1"/>
    <n v="1"/>
    <n v="0"/>
    <n v="0"/>
    <n v="0"/>
    <n v="0"/>
    <n v="0"/>
    <m/>
    <n v="51.3"/>
    <m/>
    <s v="Unique"/>
    <s v="Valid"/>
  </r>
  <r>
    <s v="USR-100462"/>
    <d v="2025-05-19T00:00:00"/>
    <x v="0"/>
    <x v="0"/>
    <x v="3"/>
    <x v="1"/>
    <x v="0"/>
    <n v="1"/>
    <n v="0"/>
    <n v="0"/>
    <n v="0"/>
    <n v="0"/>
    <n v="0"/>
    <n v="0"/>
    <m/>
    <n v="50.5"/>
    <m/>
    <s v="Unique"/>
    <s v="Valid"/>
  </r>
  <r>
    <s v="USR-100463"/>
    <d v="2025-02-23T00:00:00"/>
    <x v="0"/>
    <x v="0"/>
    <x v="1"/>
    <x v="3"/>
    <x v="0"/>
    <n v="1"/>
    <n v="0"/>
    <n v="0"/>
    <n v="0"/>
    <n v="0"/>
    <n v="0"/>
    <n v="0"/>
    <m/>
    <n v="57.3"/>
    <m/>
    <s v="Unique"/>
    <s v="Valid"/>
  </r>
  <r>
    <s v="USR-100464"/>
    <d v="2025-02-20T00:00:00"/>
    <x v="0"/>
    <x v="1"/>
    <x v="0"/>
    <x v="1"/>
    <x v="1"/>
    <n v="1"/>
    <n v="1"/>
    <n v="1"/>
    <n v="0"/>
    <n v="0"/>
    <n v="0"/>
    <n v="0"/>
    <m/>
    <n v="58.4"/>
    <m/>
    <s v="Unique"/>
    <s v="Valid"/>
  </r>
  <r>
    <s v="USR-100465"/>
    <d v="2025-04-12T00:00:00"/>
    <x v="0"/>
    <x v="0"/>
    <x v="1"/>
    <x v="5"/>
    <x v="1"/>
    <n v="0"/>
    <n v="0"/>
    <n v="0"/>
    <n v="0"/>
    <n v="0"/>
    <n v="0"/>
    <n v="0"/>
    <m/>
    <n v="56.5"/>
    <m/>
    <s v="Unique"/>
    <s v="Valid"/>
  </r>
  <r>
    <s v="USR-100466"/>
    <d v="2025-01-08T00:00:00"/>
    <x v="0"/>
    <x v="1"/>
    <x v="1"/>
    <x v="0"/>
    <x v="1"/>
    <n v="0"/>
    <n v="0"/>
    <n v="0"/>
    <n v="0"/>
    <n v="0"/>
    <n v="0"/>
    <n v="0"/>
    <m/>
    <n v="69.599999999999994"/>
    <m/>
    <s v="Unique"/>
    <s v="Valid"/>
  </r>
  <r>
    <s v="USR-100467"/>
    <d v="2025-02-13T00:00:00"/>
    <x v="0"/>
    <x v="1"/>
    <x v="1"/>
    <x v="1"/>
    <x v="0"/>
    <n v="0"/>
    <n v="0"/>
    <n v="0"/>
    <n v="0"/>
    <n v="0"/>
    <n v="0"/>
    <n v="0"/>
    <m/>
    <n v="6.2"/>
    <m/>
    <s v="Unique"/>
    <s v="Valid"/>
  </r>
  <r>
    <s v="USR-100468"/>
    <d v="2025-05-21T00:00:00"/>
    <x v="0"/>
    <x v="2"/>
    <x v="0"/>
    <x v="0"/>
    <x v="1"/>
    <n v="1"/>
    <n v="1"/>
    <n v="1"/>
    <n v="0"/>
    <n v="0"/>
    <n v="0"/>
    <n v="0"/>
    <m/>
    <n v="54.3"/>
    <m/>
    <s v="Unique"/>
    <s v="Valid"/>
  </r>
  <r>
    <s v="USR-100469"/>
    <d v="2025-05-30T00:00:00"/>
    <x v="0"/>
    <x v="0"/>
    <x v="1"/>
    <x v="1"/>
    <x v="0"/>
    <n v="0"/>
    <n v="0"/>
    <n v="0"/>
    <n v="0"/>
    <n v="0"/>
    <n v="0"/>
    <n v="0"/>
    <m/>
    <n v="59.8"/>
    <m/>
    <s v="Unique"/>
    <s v="Valid"/>
  </r>
  <r>
    <s v="USR-100470"/>
    <d v="2025-05-20T00:00:00"/>
    <x v="0"/>
    <x v="1"/>
    <x v="1"/>
    <x v="2"/>
    <x v="1"/>
    <n v="0"/>
    <n v="0"/>
    <n v="0"/>
    <n v="0"/>
    <n v="0"/>
    <n v="0"/>
    <n v="0"/>
    <m/>
    <n v="58.9"/>
    <m/>
    <s v="Unique"/>
    <s v="Valid"/>
  </r>
  <r>
    <s v="USR-100471"/>
    <d v="2025-01-09T00:00:00"/>
    <x v="0"/>
    <x v="2"/>
    <x v="0"/>
    <x v="1"/>
    <x v="1"/>
    <n v="0"/>
    <n v="0"/>
    <n v="0"/>
    <n v="0"/>
    <n v="0"/>
    <n v="1"/>
    <n v="0"/>
    <m/>
    <n v="52.9"/>
    <m/>
    <s v="Unique"/>
    <s v="Valid"/>
  </r>
  <r>
    <s v="USR-100472"/>
    <d v="2025-03-07T00:00:00"/>
    <x v="0"/>
    <x v="1"/>
    <x v="1"/>
    <x v="1"/>
    <x v="1"/>
    <n v="0"/>
    <n v="0"/>
    <n v="0"/>
    <n v="0"/>
    <n v="0"/>
    <n v="0"/>
    <n v="0"/>
    <m/>
    <n v="67.8"/>
    <m/>
    <s v="Unique"/>
    <s v="Valid"/>
  </r>
  <r>
    <s v="USR-100473"/>
    <d v="2025-04-23T00:00:00"/>
    <x v="0"/>
    <x v="3"/>
    <x v="1"/>
    <x v="4"/>
    <x v="1"/>
    <n v="0"/>
    <n v="0"/>
    <n v="0"/>
    <n v="0"/>
    <n v="0"/>
    <n v="0"/>
    <n v="0"/>
    <m/>
    <n v="48.7"/>
    <m/>
    <s v="Unique"/>
    <s v="Valid"/>
  </r>
  <r>
    <s v="USR-100474"/>
    <d v="2025-03-08T00:00:00"/>
    <x v="0"/>
    <x v="2"/>
    <x v="1"/>
    <x v="1"/>
    <x v="0"/>
    <n v="0"/>
    <n v="0"/>
    <n v="0"/>
    <n v="0"/>
    <n v="0"/>
    <n v="0"/>
    <n v="0"/>
    <m/>
    <n v="59"/>
    <m/>
    <s v="Unique"/>
    <s v="Valid"/>
  </r>
  <r>
    <s v="USR-100475"/>
    <d v="2025-02-14T00:00:00"/>
    <x v="0"/>
    <x v="3"/>
    <x v="1"/>
    <x v="3"/>
    <x v="1"/>
    <n v="0"/>
    <n v="0"/>
    <n v="0"/>
    <n v="0"/>
    <n v="0"/>
    <n v="0"/>
    <n v="0"/>
    <m/>
    <n v="63.2"/>
    <m/>
    <s v="Unique"/>
    <s v="Valid"/>
  </r>
  <r>
    <s v="USR-100476"/>
    <d v="2025-05-17T00:00:00"/>
    <x v="0"/>
    <x v="1"/>
    <x v="1"/>
    <x v="3"/>
    <x v="0"/>
    <n v="1"/>
    <n v="0"/>
    <n v="0"/>
    <n v="0"/>
    <n v="0"/>
    <n v="0"/>
    <n v="0"/>
    <m/>
    <n v="68.7"/>
    <m/>
    <s v="Unique"/>
    <s v="Valid"/>
  </r>
  <r>
    <s v="USR-100477"/>
    <d v="2025-04-25T00:00:00"/>
    <x v="0"/>
    <x v="3"/>
    <x v="1"/>
    <x v="3"/>
    <x v="1"/>
    <n v="0"/>
    <n v="0"/>
    <n v="0"/>
    <n v="0"/>
    <n v="0"/>
    <n v="0"/>
    <n v="0"/>
    <m/>
    <n v="52.1"/>
    <m/>
    <s v="Unique"/>
    <s v="Valid"/>
  </r>
  <r>
    <s v="USR-100478"/>
    <d v="2025-03-04T00:00:00"/>
    <x v="0"/>
    <x v="3"/>
    <x v="0"/>
    <x v="4"/>
    <x v="0"/>
    <n v="0"/>
    <n v="0"/>
    <n v="0"/>
    <n v="0"/>
    <n v="0"/>
    <n v="0"/>
    <n v="0"/>
    <m/>
    <n v="56.5"/>
    <m/>
    <s v="Unique"/>
    <s v="Valid"/>
  </r>
  <r>
    <s v="USR-100479"/>
    <d v="2025-03-18T00:00:00"/>
    <x v="0"/>
    <x v="3"/>
    <x v="1"/>
    <x v="1"/>
    <x v="1"/>
    <n v="1"/>
    <n v="0"/>
    <n v="0"/>
    <n v="0"/>
    <n v="0"/>
    <n v="0"/>
    <n v="0"/>
    <m/>
    <n v="64.400000000000006"/>
    <m/>
    <s v="Unique"/>
    <s v="Valid"/>
  </r>
  <r>
    <s v="USR-100480"/>
    <d v="2025-01-30T00:00:00"/>
    <x v="0"/>
    <x v="1"/>
    <x v="1"/>
    <x v="2"/>
    <x v="2"/>
    <n v="1"/>
    <n v="0"/>
    <n v="0"/>
    <n v="0"/>
    <n v="0"/>
    <n v="0"/>
    <n v="0"/>
    <m/>
    <n v="65.900000000000006"/>
    <m/>
    <s v="Unique"/>
    <s v="Valid"/>
  </r>
  <r>
    <s v="USR-100481"/>
    <d v="2025-05-20T00:00:00"/>
    <x v="0"/>
    <x v="1"/>
    <x v="2"/>
    <x v="3"/>
    <x v="1"/>
    <n v="1"/>
    <n v="1"/>
    <n v="1"/>
    <n v="0"/>
    <n v="0"/>
    <n v="0"/>
    <n v="0"/>
    <m/>
    <n v="100"/>
    <m/>
    <s v="Unique"/>
    <s v="Valid"/>
  </r>
  <r>
    <s v="USR-100482"/>
    <d v="2025-02-13T00:00:00"/>
    <x v="0"/>
    <x v="0"/>
    <x v="3"/>
    <x v="1"/>
    <x v="0"/>
    <n v="1"/>
    <n v="1"/>
    <n v="1"/>
    <n v="0"/>
    <n v="0"/>
    <n v="0"/>
    <n v="0"/>
    <m/>
    <n v="50.4"/>
    <m/>
    <s v="Unique"/>
    <s v="Valid"/>
  </r>
  <r>
    <s v="USR-100483"/>
    <d v="2025-04-12T00:00:00"/>
    <x v="0"/>
    <x v="1"/>
    <x v="0"/>
    <x v="1"/>
    <x v="0"/>
    <n v="0"/>
    <n v="0"/>
    <n v="0"/>
    <n v="0"/>
    <n v="0"/>
    <n v="0"/>
    <n v="0"/>
    <m/>
    <n v="41.5"/>
    <m/>
    <s v="Unique"/>
    <s v="Valid"/>
  </r>
  <r>
    <s v="USR-100484"/>
    <d v="2025-04-07T00:00:00"/>
    <x v="0"/>
    <x v="0"/>
    <x v="1"/>
    <x v="0"/>
    <x v="1"/>
    <n v="0"/>
    <n v="0"/>
    <n v="0"/>
    <n v="0"/>
    <n v="0"/>
    <n v="0"/>
    <n v="0"/>
    <m/>
    <n v="86.2"/>
    <m/>
    <s v="Unique"/>
    <s v="Valid"/>
  </r>
  <r>
    <s v="USR-100485"/>
    <d v="2025-03-12T00:00:00"/>
    <x v="0"/>
    <x v="0"/>
    <x v="0"/>
    <x v="4"/>
    <x v="1"/>
    <n v="1"/>
    <n v="1"/>
    <n v="1"/>
    <n v="0"/>
    <n v="0"/>
    <n v="2"/>
    <n v="0"/>
    <m/>
    <n v="50.8"/>
    <m/>
    <s v="Unique"/>
    <s v="Valid"/>
  </r>
  <r>
    <s v="USR-100486"/>
    <d v="2025-02-07T00:00:00"/>
    <x v="0"/>
    <x v="1"/>
    <x v="1"/>
    <x v="1"/>
    <x v="1"/>
    <n v="1"/>
    <n v="0"/>
    <n v="0"/>
    <n v="0"/>
    <n v="0"/>
    <n v="0"/>
    <n v="0"/>
    <m/>
    <n v="50.9"/>
    <m/>
    <s v="Unique"/>
    <s v="Valid"/>
  </r>
  <r>
    <s v="USR-100487"/>
    <d v="2025-05-05T00:00:00"/>
    <x v="0"/>
    <x v="0"/>
    <x v="1"/>
    <x v="1"/>
    <x v="2"/>
    <n v="1"/>
    <n v="1"/>
    <n v="0"/>
    <n v="0"/>
    <n v="0"/>
    <n v="0"/>
    <n v="0"/>
    <m/>
    <n v="87.5"/>
    <m/>
    <s v="Unique"/>
    <s v="Valid"/>
  </r>
  <r>
    <s v="USR-100488"/>
    <d v="2025-03-18T00:00:00"/>
    <x v="0"/>
    <x v="3"/>
    <x v="1"/>
    <x v="3"/>
    <x v="1"/>
    <n v="0"/>
    <n v="0"/>
    <n v="0"/>
    <n v="0"/>
    <n v="0"/>
    <n v="0"/>
    <n v="0"/>
    <m/>
    <n v="43.6"/>
    <m/>
    <s v="Unique"/>
    <s v="Valid"/>
  </r>
  <r>
    <s v="USR-100489"/>
    <d v="2025-01-05T00:00:00"/>
    <x v="0"/>
    <x v="3"/>
    <x v="1"/>
    <x v="2"/>
    <x v="0"/>
    <n v="1"/>
    <n v="0"/>
    <n v="0"/>
    <n v="0"/>
    <n v="0"/>
    <n v="0"/>
    <n v="0"/>
    <m/>
    <n v="55.5"/>
    <m/>
    <s v="Unique"/>
    <s v="Valid"/>
  </r>
  <r>
    <s v="USR-100490"/>
    <d v="2025-05-10T00:00:00"/>
    <x v="0"/>
    <x v="3"/>
    <x v="0"/>
    <x v="3"/>
    <x v="0"/>
    <n v="0"/>
    <n v="0"/>
    <n v="0"/>
    <n v="0"/>
    <n v="0"/>
    <n v="0"/>
    <n v="0"/>
    <m/>
    <n v="78.599999999999994"/>
    <m/>
    <s v="Unique"/>
    <s v="Valid"/>
  </r>
  <r>
    <s v="USR-100491"/>
    <d v="2025-01-03T00:00:00"/>
    <x v="0"/>
    <x v="3"/>
    <x v="1"/>
    <x v="4"/>
    <x v="0"/>
    <n v="1"/>
    <n v="1"/>
    <n v="0"/>
    <n v="0"/>
    <n v="0"/>
    <n v="1"/>
    <n v="0"/>
    <m/>
    <n v="44.3"/>
    <m/>
    <s v="Unique"/>
    <s v="Valid"/>
  </r>
  <r>
    <s v="USR-100492"/>
    <d v="2025-05-08T00:00:00"/>
    <x v="0"/>
    <x v="3"/>
    <x v="1"/>
    <x v="2"/>
    <x v="1"/>
    <n v="1"/>
    <n v="1"/>
    <n v="0"/>
    <n v="0"/>
    <n v="0"/>
    <n v="0"/>
    <n v="0"/>
    <m/>
    <n v="45.2"/>
    <m/>
    <s v="Unique"/>
    <s v="Valid"/>
  </r>
  <r>
    <s v="USR-100493"/>
    <d v="2025-03-05T00:00:00"/>
    <x v="0"/>
    <x v="3"/>
    <x v="0"/>
    <x v="0"/>
    <x v="0"/>
    <n v="1"/>
    <n v="0"/>
    <n v="0"/>
    <n v="0"/>
    <n v="0"/>
    <n v="2"/>
    <n v="0"/>
    <m/>
    <n v="46.1"/>
    <m/>
    <s v="Unique"/>
    <s v="Valid"/>
  </r>
  <r>
    <s v="USR-100494"/>
    <d v="2025-02-17T00:00:00"/>
    <x v="0"/>
    <x v="0"/>
    <x v="1"/>
    <x v="1"/>
    <x v="2"/>
    <n v="1"/>
    <n v="0"/>
    <n v="0"/>
    <n v="0"/>
    <n v="0"/>
    <n v="0"/>
    <n v="0"/>
    <m/>
    <n v="49.6"/>
    <m/>
    <s v="Unique"/>
    <s v="Valid"/>
  </r>
  <r>
    <s v="USR-100495"/>
    <d v="2025-01-09T00:00:00"/>
    <x v="0"/>
    <x v="3"/>
    <x v="1"/>
    <x v="3"/>
    <x v="0"/>
    <n v="0"/>
    <n v="0"/>
    <n v="0"/>
    <n v="0"/>
    <n v="0"/>
    <n v="0"/>
    <n v="0"/>
    <m/>
    <n v="70.5"/>
    <m/>
    <s v="Unique"/>
    <s v="Valid"/>
  </r>
  <r>
    <s v="USR-100496"/>
    <d v="2025-05-05T00:00:00"/>
    <x v="0"/>
    <x v="3"/>
    <x v="1"/>
    <x v="0"/>
    <x v="0"/>
    <n v="0"/>
    <n v="0"/>
    <n v="0"/>
    <n v="0"/>
    <n v="0"/>
    <n v="1"/>
    <n v="0"/>
    <m/>
    <n v="60.8"/>
    <m/>
    <s v="Unique"/>
    <s v="Valid"/>
  </r>
  <r>
    <s v="USR-100497"/>
    <d v="2025-04-16T00:00:00"/>
    <x v="0"/>
    <x v="2"/>
    <x v="1"/>
    <x v="0"/>
    <x v="0"/>
    <n v="0"/>
    <n v="0"/>
    <n v="0"/>
    <n v="0"/>
    <n v="0"/>
    <n v="1"/>
    <n v="0"/>
    <m/>
    <n v="50.5"/>
    <m/>
    <s v="Unique"/>
    <s v="Valid"/>
  </r>
  <r>
    <s v="USR-100498"/>
    <d v="2025-03-02T00:00:00"/>
    <x v="0"/>
    <x v="3"/>
    <x v="0"/>
    <x v="1"/>
    <x v="1"/>
    <n v="1"/>
    <n v="0"/>
    <n v="0"/>
    <n v="0"/>
    <n v="0"/>
    <n v="0"/>
    <n v="0"/>
    <m/>
    <n v="54.9"/>
    <m/>
    <s v="Unique"/>
    <s v="Valid"/>
  </r>
  <r>
    <s v="USR-100499"/>
    <d v="2025-04-14T00:00:00"/>
    <x v="0"/>
    <x v="3"/>
    <x v="1"/>
    <x v="4"/>
    <x v="2"/>
    <n v="0"/>
    <n v="0"/>
    <n v="0"/>
    <n v="0"/>
    <n v="0"/>
    <n v="0"/>
    <n v="0"/>
    <m/>
    <n v="29.9"/>
    <m/>
    <s v="Unique"/>
    <s v="Valid"/>
  </r>
  <r>
    <s v="USR-100500"/>
    <d v="2025-02-15T00:00:00"/>
    <x v="0"/>
    <x v="2"/>
    <x v="0"/>
    <x v="2"/>
    <x v="0"/>
    <n v="0"/>
    <n v="0"/>
    <n v="0"/>
    <n v="0"/>
    <n v="0"/>
    <n v="0"/>
    <n v="0"/>
    <m/>
    <n v="48.3"/>
    <m/>
    <s v="Unique"/>
    <s v="Valid"/>
  </r>
  <r>
    <s v="USR-100501"/>
    <d v="2025-02-13T00:00:00"/>
    <x v="0"/>
    <x v="1"/>
    <x v="1"/>
    <x v="4"/>
    <x v="1"/>
    <n v="1"/>
    <n v="1"/>
    <n v="1"/>
    <n v="1"/>
    <n v="513.61"/>
    <n v="0"/>
    <n v="0"/>
    <n v="7"/>
    <n v="41.3"/>
    <m/>
    <s v="Unique"/>
    <s v="Valid"/>
  </r>
  <r>
    <s v="USR-100502"/>
    <d v="2025-03-06T00:00:00"/>
    <x v="0"/>
    <x v="0"/>
    <x v="1"/>
    <x v="0"/>
    <x v="1"/>
    <n v="0"/>
    <n v="0"/>
    <n v="0"/>
    <n v="0"/>
    <n v="0"/>
    <n v="0"/>
    <n v="0"/>
    <m/>
    <n v="61.4"/>
    <m/>
    <s v="Unique"/>
    <s v="Valid"/>
  </r>
  <r>
    <s v="USR-100503"/>
    <d v="2025-02-18T00:00:00"/>
    <x v="0"/>
    <x v="3"/>
    <x v="0"/>
    <x v="4"/>
    <x v="1"/>
    <n v="0"/>
    <n v="0"/>
    <n v="0"/>
    <n v="0"/>
    <n v="0"/>
    <n v="0"/>
    <n v="0"/>
    <m/>
    <n v="57.8"/>
    <m/>
    <s v="Unique"/>
    <s v="Valid"/>
  </r>
  <r>
    <s v="USR-100504"/>
    <d v="2025-04-07T00:00:00"/>
    <x v="0"/>
    <x v="0"/>
    <x v="0"/>
    <x v="1"/>
    <x v="1"/>
    <n v="0"/>
    <n v="0"/>
    <n v="0"/>
    <n v="0"/>
    <n v="0"/>
    <n v="0"/>
    <n v="0"/>
    <m/>
    <n v="78.2"/>
    <m/>
    <s v="Unique"/>
    <s v="Valid"/>
  </r>
  <r>
    <s v="USR-100505"/>
    <d v="2025-04-06T00:00:00"/>
    <x v="0"/>
    <x v="0"/>
    <x v="1"/>
    <x v="3"/>
    <x v="1"/>
    <n v="0"/>
    <n v="0"/>
    <n v="0"/>
    <n v="0"/>
    <n v="0"/>
    <n v="0"/>
    <n v="0"/>
    <m/>
    <n v="63.8"/>
    <m/>
    <s v="Unique"/>
    <s v="Valid"/>
  </r>
  <r>
    <s v="USR-100506"/>
    <d v="2025-01-30T00:00:00"/>
    <x v="0"/>
    <x v="0"/>
    <x v="0"/>
    <x v="4"/>
    <x v="1"/>
    <n v="1"/>
    <n v="0"/>
    <n v="0"/>
    <n v="0"/>
    <n v="0"/>
    <n v="0"/>
    <n v="0"/>
    <m/>
    <n v="56.8"/>
    <m/>
    <s v="Unique"/>
    <s v="Valid"/>
  </r>
  <r>
    <s v="USR-100507"/>
    <d v="2025-05-13T00:00:00"/>
    <x v="0"/>
    <x v="3"/>
    <x v="0"/>
    <x v="1"/>
    <x v="0"/>
    <n v="1"/>
    <n v="1"/>
    <n v="0"/>
    <n v="0"/>
    <n v="0"/>
    <n v="0"/>
    <n v="0"/>
    <m/>
    <n v="59.6"/>
    <m/>
    <s v="Unique"/>
    <s v="Valid"/>
  </r>
  <r>
    <s v="USR-100508"/>
    <d v="2025-01-20T00:00:00"/>
    <x v="0"/>
    <x v="1"/>
    <x v="1"/>
    <x v="2"/>
    <x v="2"/>
    <n v="1"/>
    <n v="1"/>
    <n v="0"/>
    <n v="0"/>
    <n v="0"/>
    <n v="0"/>
    <n v="0"/>
    <m/>
    <n v="50"/>
    <m/>
    <s v="Unique"/>
    <s v="Valid"/>
  </r>
  <r>
    <s v="USR-100509"/>
    <d v="2025-01-30T00:00:00"/>
    <x v="0"/>
    <x v="0"/>
    <x v="2"/>
    <x v="1"/>
    <x v="1"/>
    <n v="1"/>
    <n v="0"/>
    <n v="0"/>
    <n v="0"/>
    <n v="0"/>
    <n v="0"/>
    <n v="0"/>
    <m/>
    <n v="35.700000000000003"/>
    <m/>
    <s v="Unique"/>
    <s v="Valid"/>
  </r>
  <r>
    <s v="USR-100510"/>
    <d v="2025-01-13T00:00:00"/>
    <x v="0"/>
    <x v="3"/>
    <x v="1"/>
    <x v="1"/>
    <x v="1"/>
    <n v="0"/>
    <n v="0"/>
    <n v="0"/>
    <n v="0"/>
    <n v="0"/>
    <n v="2"/>
    <n v="0"/>
    <m/>
    <n v="47.2"/>
    <m/>
    <s v="Unique"/>
    <s v="Valid"/>
  </r>
  <r>
    <s v="USR-100511"/>
    <d v="2025-02-11T00:00:00"/>
    <x v="0"/>
    <x v="0"/>
    <x v="1"/>
    <x v="4"/>
    <x v="1"/>
    <n v="1"/>
    <n v="1"/>
    <n v="0"/>
    <n v="0"/>
    <n v="0"/>
    <n v="0"/>
    <n v="0"/>
    <m/>
    <n v="56.9"/>
    <m/>
    <s v="Unique"/>
    <s v="Valid"/>
  </r>
  <r>
    <s v="USR-100512"/>
    <d v="2025-04-15T00:00:00"/>
    <x v="0"/>
    <x v="3"/>
    <x v="1"/>
    <x v="1"/>
    <x v="1"/>
    <n v="0"/>
    <n v="0"/>
    <n v="0"/>
    <n v="0"/>
    <n v="0"/>
    <n v="1"/>
    <n v="0"/>
    <m/>
    <n v="57.2"/>
    <m/>
    <s v="Unique"/>
    <s v="Valid"/>
  </r>
  <r>
    <s v="USR-100513"/>
    <d v="2025-02-13T00:00:00"/>
    <x v="0"/>
    <x v="3"/>
    <x v="1"/>
    <x v="5"/>
    <x v="1"/>
    <n v="1"/>
    <n v="1"/>
    <n v="0"/>
    <n v="0"/>
    <n v="0"/>
    <n v="0"/>
    <n v="0"/>
    <m/>
    <n v="31.4"/>
    <m/>
    <s v="Unique"/>
    <s v="Valid"/>
  </r>
  <r>
    <s v="USR-100514"/>
    <d v="2025-05-09T00:00:00"/>
    <x v="0"/>
    <x v="3"/>
    <x v="0"/>
    <x v="1"/>
    <x v="1"/>
    <n v="0"/>
    <n v="0"/>
    <n v="0"/>
    <n v="0"/>
    <n v="0"/>
    <n v="0"/>
    <n v="0"/>
    <m/>
    <n v="71.2"/>
    <m/>
    <s v="Unique"/>
    <s v="Valid"/>
  </r>
  <r>
    <s v="USR-100515"/>
    <d v="2025-03-10T00:00:00"/>
    <x v="0"/>
    <x v="0"/>
    <x v="1"/>
    <x v="2"/>
    <x v="1"/>
    <n v="1"/>
    <n v="1"/>
    <n v="1"/>
    <n v="0"/>
    <n v="0"/>
    <n v="1"/>
    <n v="0"/>
    <m/>
    <n v="38.299999999999997"/>
    <m/>
    <s v="Unique"/>
    <s v="Valid"/>
  </r>
  <r>
    <s v="USR-100516"/>
    <d v="2025-04-01T00:00:00"/>
    <x v="0"/>
    <x v="0"/>
    <x v="1"/>
    <x v="1"/>
    <x v="1"/>
    <n v="1"/>
    <n v="1"/>
    <n v="0"/>
    <n v="0"/>
    <n v="0"/>
    <n v="0"/>
    <n v="0"/>
    <m/>
    <n v="63.1"/>
    <m/>
    <s v="Unique"/>
    <s v="Valid"/>
  </r>
  <r>
    <s v="USR-100517"/>
    <d v="2025-05-15T00:00:00"/>
    <x v="0"/>
    <x v="2"/>
    <x v="1"/>
    <x v="3"/>
    <x v="0"/>
    <n v="1"/>
    <n v="0"/>
    <n v="0"/>
    <n v="0"/>
    <n v="0"/>
    <n v="0"/>
    <n v="0"/>
    <m/>
    <n v="59.7"/>
    <m/>
    <s v="Unique"/>
    <s v="Valid"/>
  </r>
  <r>
    <s v="USR-100518"/>
    <d v="2025-05-04T00:00:00"/>
    <x v="0"/>
    <x v="3"/>
    <x v="0"/>
    <x v="4"/>
    <x v="2"/>
    <n v="1"/>
    <n v="1"/>
    <n v="1"/>
    <n v="0"/>
    <n v="0"/>
    <n v="0"/>
    <n v="0"/>
    <m/>
    <n v="59.5"/>
    <m/>
    <s v="Unique"/>
    <s v="Valid"/>
  </r>
  <r>
    <s v="USR-100519"/>
    <d v="2025-05-20T00:00:00"/>
    <x v="0"/>
    <x v="2"/>
    <x v="1"/>
    <x v="2"/>
    <x v="1"/>
    <n v="0"/>
    <n v="0"/>
    <n v="0"/>
    <n v="0"/>
    <n v="0"/>
    <n v="0"/>
    <n v="0"/>
    <m/>
    <n v="78.8"/>
    <m/>
    <s v="Unique"/>
    <s v="Valid"/>
  </r>
  <r>
    <s v="USR-100520"/>
    <d v="2025-05-16T00:00:00"/>
    <x v="0"/>
    <x v="1"/>
    <x v="0"/>
    <x v="3"/>
    <x v="1"/>
    <n v="0"/>
    <n v="0"/>
    <n v="0"/>
    <n v="0"/>
    <n v="0"/>
    <n v="0"/>
    <n v="0"/>
    <m/>
    <n v="54"/>
    <m/>
    <s v="Unique"/>
    <s v="Valid"/>
  </r>
  <r>
    <s v="USR-100521"/>
    <d v="2025-03-17T00:00:00"/>
    <x v="0"/>
    <x v="1"/>
    <x v="1"/>
    <x v="1"/>
    <x v="1"/>
    <n v="1"/>
    <n v="0"/>
    <n v="0"/>
    <n v="0"/>
    <n v="0"/>
    <n v="0"/>
    <n v="0"/>
    <m/>
    <n v="66.3"/>
    <m/>
    <s v="Unique"/>
    <s v="Valid"/>
  </r>
  <r>
    <s v="USR-100522"/>
    <d v="2025-01-27T00:00:00"/>
    <x v="0"/>
    <x v="2"/>
    <x v="2"/>
    <x v="2"/>
    <x v="1"/>
    <n v="1"/>
    <n v="1"/>
    <n v="0"/>
    <n v="0"/>
    <n v="0"/>
    <n v="0"/>
    <n v="0"/>
    <m/>
    <n v="54.7"/>
    <m/>
    <s v="Unique"/>
    <s v="Valid"/>
  </r>
  <r>
    <s v="USR-100523"/>
    <d v="2025-04-13T00:00:00"/>
    <x v="0"/>
    <x v="3"/>
    <x v="1"/>
    <x v="1"/>
    <x v="0"/>
    <n v="1"/>
    <n v="0"/>
    <n v="0"/>
    <n v="0"/>
    <n v="0"/>
    <n v="0"/>
    <n v="0"/>
    <m/>
    <n v="76.7"/>
    <m/>
    <s v="Unique"/>
    <s v="Valid"/>
  </r>
  <r>
    <s v="USR-100524"/>
    <d v="2025-05-03T00:00:00"/>
    <x v="0"/>
    <x v="3"/>
    <x v="0"/>
    <x v="0"/>
    <x v="0"/>
    <n v="1"/>
    <n v="0"/>
    <n v="0"/>
    <n v="0"/>
    <n v="0"/>
    <n v="2"/>
    <n v="0"/>
    <m/>
    <n v="47.4"/>
    <m/>
    <s v="Unique"/>
    <s v="Valid"/>
  </r>
  <r>
    <s v="USR-100525"/>
    <d v="2025-03-30T00:00:00"/>
    <x v="0"/>
    <x v="0"/>
    <x v="1"/>
    <x v="1"/>
    <x v="1"/>
    <n v="1"/>
    <n v="1"/>
    <n v="1"/>
    <n v="0"/>
    <n v="0"/>
    <n v="0"/>
    <n v="0"/>
    <m/>
    <n v="81.7"/>
    <m/>
    <s v="Unique"/>
    <s v="Valid"/>
  </r>
  <r>
    <s v="USR-100526"/>
    <d v="2025-01-01T00:00:00"/>
    <x v="0"/>
    <x v="1"/>
    <x v="1"/>
    <x v="2"/>
    <x v="0"/>
    <n v="1"/>
    <n v="1"/>
    <n v="1"/>
    <n v="0"/>
    <n v="0"/>
    <n v="0"/>
    <n v="0"/>
    <m/>
    <n v="67.5"/>
    <m/>
    <s v="Unique"/>
    <s v="Valid"/>
  </r>
  <r>
    <s v="USR-100527"/>
    <d v="2025-02-06T00:00:00"/>
    <x v="0"/>
    <x v="1"/>
    <x v="1"/>
    <x v="2"/>
    <x v="0"/>
    <n v="1"/>
    <n v="0"/>
    <n v="0"/>
    <n v="0"/>
    <n v="0"/>
    <n v="0"/>
    <n v="0"/>
    <m/>
    <n v="36.799999999999997"/>
    <m/>
    <s v="Unique"/>
    <s v="Valid"/>
  </r>
  <r>
    <s v="USR-100528"/>
    <d v="2025-02-25T00:00:00"/>
    <x v="0"/>
    <x v="0"/>
    <x v="0"/>
    <x v="1"/>
    <x v="1"/>
    <n v="0"/>
    <n v="0"/>
    <n v="0"/>
    <n v="0"/>
    <n v="0"/>
    <n v="0"/>
    <n v="0"/>
    <m/>
    <n v="66.5"/>
    <m/>
    <s v="Unique"/>
    <s v="Valid"/>
  </r>
  <r>
    <s v="USR-100529"/>
    <d v="2025-05-14T00:00:00"/>
    <x v="0"/>
    <x v="2"/>
    <x v="2"/>
    <x v="4"/>
    <x v="1"/>
    <n v="1"/>
    <n v="0"/>
    <n v="0"/>
    <n v="0"/>
    <n v="0"/>
    <n v="0"/>
    <n v="0"/>
    <m/>
    <n v="35.4"/>
    <m/>
    <s v="Unique"/>
    <s v="Valid"/>
  </r>
  <r>
    <s v="USR-100530"/>
    <d v="2025-05-20T00:00:00"/>
    <x v="0"/>
    <x v="3"/>
    <x v="1"/>
    <x v="1"/>
    <x v="0"/>
    <n v="0"/>
    <n v="0"/>
    <n v="0"/>
    <n v="0"/>
    <n v="0"/>
    <n v="0"/>
    <n v="0"/>
    <m/>
    <n v="64.3"/>
    <m/>
    <s v="Unique"/>
    <s v="Valid"/>
  </r>
  <r>
    <s v="USR-100531"/>
    <d v="2025-02-11T00:00:00"/>
    <x v="0"/>
    <x v="3"/>
    <x v="1"/>
    <x v="1"/>
    <x v="1"/>
    <n v="0"/>
    <n v="0"/>
    <n v="0"/>
    <n v="0"/>
    <n v="0"/>
    <n v="0"/>
    <n v="0"/>
    <m/>
    <n v="49.1"/>
    <m/>
    <s v="Unique"/>
    <s v="Valid"/>
  </r>
  <r>
    <s v="USR-100532"/>
    <d v="2025-02-13T00:00:00"/>
    <x v="0"/>
    <x v="1"/>
    <x v="1"/>
    <x v="1"/>
    <x v="1"/>
    <n v="1"/>
    <n v="0"/>
    <n v="0"/>
    <n v="0"/>
    <n v="0"/>
    <n v="0"/>
    <n v="0"/>
    <m/>
    <n v="84.3"/>
    <m/>
    <s v="Unique"/>
    <s v="Valid"/>
  </r>
  <r>
    <s v="USR-100533"/>
    <d v="2025-04-07T00:00:00"/>
    <x v="0"/>
    <x v="3"/>
    <x v="1"/>
    <x v="2"/>
    <x v="2"/>
    <n v="1"/>
    <n v="0"/>
    <n v="0"/>
    <n v="0"/>
    <n v="0"/>
    <n v="0"/>
    <n v="0"/>
    <m/>
    <n v="65.599999999999994"/>
    <m/>
    <s v="Unique"/>
    <s v="Valid"/>
  </r>
  <r>
    <s v="USR-100534"/>
    <d v="2025-03-08T00:00:00"/>
    <x v="0"/>
    <x v="2"/>
    <x v="1"/>
    <x v="0"/>
    <x v="1"/>
    <n v="1"/>
    <n v="0"/>
    <n v="0"/>
    <n v="0"/>
    <n v="0"/>
    <n v="0"/>
    <n v="0"/>
    <m/>
    <n v="47.1"/>
    <m/>
    <s v="Unique"/>
    <s v="Valid"/>
  </r>
  <r>
    <s v="USR-100535"/>
    <d v="2025-02-16T00:00:00"/>
    <x v="0"/>
    <x v="0"/>
    <x v="0"/>
    <x v="2"/>
    <x v="1"/>
    <n v="1"/>
    <n v="1"/>
    <n v="1"/>
    <n v="0"/>
    <n v="0"/>
    <n v="0"/>
    <n v="0"/>
    <m/>
    <n v="70"/>
    <m/>
    <s v="Unique"/>
    <s v="Valid"/>
  </r>
  <r>
    <s v="USR-100536"/>
    <d v="2025-04-28T00:00:00"/>
    <x v="0"/>
    <x v="3"/>
    <x v="1"/>
    <x v="2"/>
    <x v="2"/>
    <n v="1"/>
    <n v="0"/>
    <n v="0"/>
    <n v="0"/>
    <n v="0"/>
    <n v="0"/>
    <n v="0"/>
    <m/>
    <n v="54.6"/>
    <m/>
    <s v="Unique"/>
    <s v="Valid"/>
  </r>
  <r>
    <s v="USR-100537"/>
    <d v="2025-03-10T00:00:00"/>
    <x v="0"/>
    <x v="1"/>
    <x v="2"/>
    <x v="4"/>
    <x v="0"/>
    <n v="1"/>
    <n v="1"/>
    <n v="0"/>
    <n v="0"/>
    <n v="0"/>
    <n v="1"/>
    <n v="0"/>
    <m/>
    <n v="65.2"/>
    <m/>
    <s v="Unique"/>
    <s v="Valid"/>
  </r>
  <r>
    <s v="USR-100538"/>
    <d v="2025-01-25T00:00:00"/>
    <x v="0"/>
    <x v="2"/>
    <x v="1"/>
    <x v="4"/>
    <x v="1"/>
    <n v="1"/>
    <n v="0"/>
    <n v="0"/>
    <n v="0"/>
    <n v="0"/>
    <n v="0"/>
    <n v="0"/>
    <m/>
    <n v="65"/>
    <m/>
    <s v="Unique"/>
    <s v="Valid"/>
  </r>
  <r>
    <s v="USR-100539"/>
    <d v="2025-01-11T00:00:00"/>
    <x v="0"/>
    <x v="1"/>
    <x v="1"/>
    <x v="2"/>
    <x v="2"/>
    <n v="1"/>
    <n v="1"/>
    <n v="1"/>
    <n v="0"/>
    <n v="0"/>
    <n v="1"/>
    <n v="0"/>
    <m/>
    <n v="42.1"/>
    <m/>
    <s v="Unique"/>
    <s v="Valid"/>
  </r>
  <r>
    <s v="USR-100540"/>
    <d v="2025-03-31T00:00:00"/>
    <x v="0"/>
    <x v="1"/>
    <x v="2"/>
    <x v="2"/>
    <x v="1"/>
    <n v="1"/>
    <n v="0"/>
    <n v="0"/>
    <n v="0"/>
    <n v="0"/>
    <n v="0"/>
    <n v="0"/>
    <m/>
    <n v="43.4"/>
    <m/>
    <s v="Unique"/>
    <s v="Valid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m/>
    <s v="Duplicate"/>
    <s v="Valid"/>
  </r>
  <r>
    <s v="USR-100542"/>
    <d v="2025-05-16T00:00:00"/>
    <x v="0"/>
    <x v="0"/>
    <x v="1"/>
    <x v="3"/>
    <x v="0"/>
    <n v="0"/>
    <n v="0"/>
    <n v="0"/>
    <n v="0"/>
    <n v="0"/>
    <n v="0"/>
    <n v="0"/>
    <m/>
    <n v="74.099999999999994"/>
    <m/>
    <s v="Unique"/>
    <s v="Valid"/>
  </r>
  <r>
    <s v="USR-100543"/>
    <d v="2025-04-25T00:00:00"/>
    <x v="0"/>
    <x v="2"/>
    <x v="0"/>
    <x v="2"/>
    <x v="1"/>
    <n v="1"/>
    <n v="0"/>
    <n v="0"/>
    <n v="0"/>
    <n v="0"/>
    <n v="0"/>
    <n v="0"/>
    <m/>
    <n v="61.4"/>
    <m/>
    <s v="Unique"/>
    <s v="Valid"/>
  </r>
  <r>
    <s v="USR-100544"/>
    <d v="2025-04-17T00:00:00"/>
    <x v="0"/>
    <x v="2"/>
    <x v="1"/>
    <x v="4"/>
    <x v="2"/>
    <n v="1"/>
    <n v="1"/>
    <n v="1"/>
    <n v="0"/>
    <n v="0"/>
    <n v="0"/>
    <n v="0"/>
    <m/>
    <n v="76.8"/>
    <m/>
    <s v="Unique"/>
    <s v="Valid"/>
  </r>
  <r>
    <s v="USR-100545"/>
    <d v="2025-01-01T00:00:00"/>
    <x v="0"/>
    <x v="3"/>
    <x v="0"/>
    <x v="4"/>
    <x v="0"/>
    <n v="0"/>
    <n v="0"/>
    <n v="0"/>
    <n v="0"/>
    <n v="0"/>
    <n v="0"/>
    <n v="0"/>
    <m/>
    <n v="60.02"/>
    <m/>
    <s v="Unique"/>
    <s v="Valid"/>
  </r>
  <r>
    <s v="USR-100546"/>
    <d v="2025-03-18T00:00:00"/>
    <x v="0"/>
    <x v="2"/>
    <x v="1"/>
    <x v="2"/>
    <x v="0"/>
    <n v="1"/>
    <n v="1"/>
    <n v="1"/>
    <n v="0"/>
    <n v="0"/>
    <n v="0"/>
    <n v="0"/>
    <m/>
    <n v="45.3"/>
    <m/>
    <s v="Unique"/>
    <s v="Valid"/>
  </r>
  <r>
    <s v="USR-100547"/>
    <d v="2025-05-20T00:00:00"/>
    <x v="0"/>
    <x v="0"/>
    <x v="2"/>
    <x v="2"/>
    <x v="1"/>
    <n v="1"/>
    <n v="0"/>
    <n v="0"/>
    <n v="0"/>
    <n v="0"/>
    <n v="0"/>
    <n v="0"/>
    <m/>
    <n v="41.4"/>
    <m/>
    <s v="Unique"/>
    <s v="Valid"/>
  </r>
  <r>
    <s v="USR-100548"/>
    <d v="2025-03-16T00:00:00"/>
    <x v="0"/>
    <x v="0"/>
    <x v="1"/>
    <x v="1"/>
    <x v="0"/>
    <n v="1"/>
    <n v="0"/>
    <n v="0"/>
    <n v="0"/>
    <n v="0"/>
    <n v="0"/>
    <n v="0"/>
    <m/>
    <n v="37.1"/>
    <m/>
    <s v="Unique"/>
    <s v="Valid"/>
  </r>
  <r>
    <s v="USR-100549"/>
    <d v="2025-05-30T00:00:00"/>
    <x v="0"/>
    <x v="2"/>
    <x v="0"/>
    <x v="4"/>
    <x v="1"/>
    <n v="1"/>
    <n v="0"/>
    <n v="0"/>
    <n v="0"/>
    <n v="0"/>
    <n v="0"/>
    <n v="0"/>
    <m/>
    <n v="40.700000000000003"/>
    <m/>
    <s v="Unique"/>
    <s v="Valid"/>
  </r>
  <r>
    <s v="USR-100550"/>
    <d v="2025-02-20T00:00:00"/>
    <x v="0"/>
    <x v="0"/>
    <x v="1"/>
    <x v="4"/>
    <x v="2"/>
    <n v="0"/>
    <n v="0"/>
    <n v="0"/>
    <n v="0"/>
    <n v="0"/>
    <n v="2"/>
    <n v="0"/>
    <m/>
    <n v="55.9"/>
    <m/>
    <s v="Unique"/>
    <s v="Valid"/>
  </r>
  <r>
    <s v="USR-100551"/>
    <d v="2025-02-11T00:00:00"/>
    <x v="0"/>
    <x v="2"/>
    <x v="3"/>
    <x v="4"/>
    <x v="1"/>
    <n v="1"/>
    <n v="1"/>
    <n v="0"/>
    <n v="0"/>
    <n v="0"/>
    <n v="0"/>
    <n v="0"/>
    <m/>
    <n v="55.8"/>
    <m/>
    <s v="Unique"/>
    <s v="Valid"/>
  </r>
  <r>
    <s v="USR-100552"/>
    <d v="2025-01-02T00:00:00"/>
    <x v="0"/>
    <x v="3"/>
    <x v="2"/>
    <x v="3"/>
    <x v="0"/>
    <n v="1"/>
    <n v="0"/>
    <n v="0"/>
    <n v="0"/>
    <n v="0"/>
    <n v="0"/>
    <n v="0"/>
    <m/>
    <n v="64.3"/>
    <m/>
    <s v="Unique"/>
    <s v="Valid"/>
  </r>
  <r>
    <s v="USR-100553"/>
    <d v="2025-05-03T00:00:00"/>
    <x v="0"/>
    <x v="0"/>
    <x v="1"/>
    <x v="1"/>
    <x v="1"/>
    <n v="0"/>
    <n v="0"/>
    <n v="0"/>
    <n v="0"/>
    <n v="0"/>
    <n v="0"/>
    <n v="0"/>
    <m/>
    <n v="65.400000000000006"/>
    <m/>
    <s v="Unique"/>
    <s v="Valid"/>
  </r>
  <r>
    <s v="USR-100554"/>
    <d v="2025-02-24T00:00:00"/>
    <x v="0"/>
    <x v="1"/>
    <x v="1"/>
    <x v="1"/>
    <x v="1"/>
    <n v="1"/>
    <n v="0"/>
    <n v="0"/>
    <n v="0"/>
    <n v="0"/>
    <n v="0"/>
    <n v="0"/>
    <m/>
    <n v="89.8"/>
    <m/>
    <s v="Unique"/>
    <s v="Valid"/>
  </r>
  <r>
    <s v="USR-100555"/>
    <d v="2025-02-11T00:00:00"/>
    <x v="0"/>
    <x v="3"/>
    <x v="3"/>
    <x v="1"/>
    <x v="1"/>
    <n v="1"/>
    <n v="1"/>
    <n v="1"/>
    <n v="0"/>
    <n v="0"/>
    <n v="0"/>
    <n v="0"/>
    <m/>
    <n v="58.3"/>
    <m/>
    <s v="Unique"/>
    <s v="Valid"/>
  </r>
  <r>
    <s v="USR-100556"/>
    <d v="2025-05-06T00:00:00"/>
    <x v="0"/>
    <x v="3"/>
    <x v="1"/>
    <x v="4"/>
    <x v="0"/>
    <n v="1"/>
    <n v="0"/>
    <n v="0"/>
    <n v="0"/>
    <n v="0"/>
    <n v="0"/>
    <n v="0"/>
    <m/>
    <n v="64.400000000000006"/>
    <m/>
    <s v="Unique"/>
    <s v="Valid"/>
  </r>
  <r>
    <s v="USR-100557"/>
    <d v="2025-05-23T00:00:00"/>
    <x v="0"/>
    <x v="0"/>
    <x v="1"/>
    <x v="2"/>
    <x v="2"/>
    <n v="0"/>
    <n v="0"/>
    <n v="0"/>
    <n v="0"/>
    <n v="0"/>
    <n v="0"/>
    <n v="0"/>
    <m/>
    <n v="46.2"/>
    <m/>
    <s v="Unique"/>
    <s v="Valid"/>
  </r>
  <r>
    <s v="USR-100558"/>
    <d v="2025-01-09T00:00:00"/>
    <x v="0"/>
    <x v="0"/>
    <x v="0"/>
    <x v="2"/>
    <x v="1"/>
    <n v="0"/>
    <n v="0"/>
    <n v="0"/>
    <n v="0"/>
    <n v="0"/>
    <n v="0"/>
    <n v="0"/>
    <m/>
    <n v="78"/>
    <m/>
    <s v="Unique"/>
    <s v="Valid"/>
  </r>
  <r>
    <s v="USR-100559"/>
    <d v="2025-04-01T00:00:00"/>
    <x v="0"/>
    <x v="0"/>
    <x v="0"/>
    <x v="1"/>
    <x v="2"/>
    <n v="1"/>
    <n v="0"/>
    <n v="0"/>
    <n v="0"/>
    <n v="0"/>
    <n v="0"/>
    <n v="0"/>
    <m/>
    <n v="62.3"/>
    <m/>
    <s v="Unique"/>
    <s v="Valid"/>
  </r>
  <r>
    <s v="USR-100560"/>
    <d v="2025-03-08T00:00:00"/>
    <x v="0"/>
    <x v="0"/>
    <x v="1"/>
    <x v="1"/>
    <x v="1"/>
    <n v="1"/>
    <n v="0"/>
    <n v="0"/>
    <n v="0"/>
    <n v="0"/>
    <n v="0"/>
    <n v="0"/>
    <m/>
    <n v="78.8"/>
    <m/>
    <s v="Unique"/>
    <s v="Valid"/>
  </r>
  <r>
    <s v="USR-100561"/>
    <d v="2025-02-20T00:00:00"/>
    <x v="0"/>
    <x v="0"/>
    <x v="1"/>
    <x v="4"/>
    <x v="0"/>
    <n v="1"/>
    <n v="0"/>
    <n v="0"/>
    <n v="0"/>
    <n v="0"/>
    <n v="0"/>
    <n v="0"/>
    <m/>
    <n v="25"/>
    <m/>
    <s v="Unique"/>
    <s v="Valid"/>
  </r>
  <r>
    <s v="USR-100562"/>
    <d v="2025-03-30T00:00:00"/>
    <x v="0"/>
    <x v="2"/>
    <x v="1"/>
    <x v="4"/>
    <x v="0"/>
    <n v="0"/>
    <n v="0"/>
    <n v="0"/>
    <n v="0"/>
    <n v="0"/>
    <n v="0"/>
    <n v="0"/>
    <m/>
    <n v="53.4"/>
    <m/>
    <s v="Unique"/>
    <s v="Valid"/>
  </r>
  <r>
    <s v="USR-100563"/>
    <d v="2025-04-10T00:00:00"/>
    <x v="0"/>
    <x v="2"/>
    <x v="0"/>
    <x v="1"/>
    <x v="0"/>
    <n v="0"/>
    <n v="0"/>
    <n v="0"/>
    <n v="0"/>
    <n v="0"/>
    <n v="0"/>
    <n v="0"/>
    <m/>
    <n v="40.700000000000003"/>
    <m/>
    <s v="Unique"/>
    <s v="Valid"/>
  </r>
  <r>
    <s v="USR-100564"/>
    <d v="2025-03-24T00:00:00"/>
    <x v="0"/>
    <x v="2"/>
    <x v="1"/>
    <x v="1"/>
    <x v="2"/>
    <n v="1"/>
    <n v="1"/>
    <n v="0"/>
    <n v="0"/>
    <n v="0"/>
    <n v="0"/>
    <n v="0"/>
    <m/>
    <n v="36.700000000000003"/>
    <m/>
    <s v="Unique"/>
    <s v="Valid"/>
  </r>
  <r>
    <s v="USR-100565"/>
    <d v="2025-05-21T00:00:00"/>
    <x v="0"/>
    <x v="1"/>
    <x v="1"/>
    <x v="1"/>
    <x v="0"/>
    <n v="1"/>
    <n v="0"/>
    <n v="0"/>
    <n v="0"/>
    <n v="0"/>
    <n v="1"/>
    <n v="0"/>
    <m/>
    <n v="67.5"/>
    <m/>
    <s v="Unique"/>
    <s v="Valid"/>
  </r>
  <r>
    <s v="USR-100566"/>
    <d v="2025-03-29T00:00:00"/>
    <x v="0"/>
    <x v="2"/>
    <x v="1"/>
    <x v="4"/>
    <x v="2"/>
    <n v="1"/>
    <n v="1"/>
    <n v="1"/>
    <n v="0"/>
    <n v="0"/>
    <n v="0"/>
    <n v="0"/>
    <m/>
    <n v="69.900000000000006"/>
    <m/>
    <s v="Unique"/>
    <s v="Valid"/>
  </r>
  <r>
    <s v="USR-100567"/>
    <d v="2025-02-23T00:00:00"/>
    <x v="0"/>
    <x v="0"/>
    <x v="2"/>
    <x v="3"/>
    <x v="0"/>
    <n v="1"/>
    <n v="0"/>
    <n v="0"/>
    <n v="0"/>
    <n v="0"/>
    <n v="0"/>
    <n v="0"/>
    <m/>
    <n v="65.099999999999994"/>
    <m/>
    <s v="Unique"/>
    <s v="Valid"/>
  </r>
  <r>
    <s v="USR-100568"/>
    <d v="2025-02-16T00:00:00"/>
    <x v="0"/>
    <x v="1"/>
    <x v="1"/>
    <x v="2"/>
    <x v="2"/>
    <n v="1"/>
    <n v="0"/>
    <n v="0"/>
    <n v="0"/>
    <n v="0"/>
    <n v="0"/>
    <n v="0"/>
    <m/>
    <n v="48.7"/>
    <m/>
    <s v="Unique"/>
    <s v="Valid"/>
  </r>
  <r>
    <s v="USR-100569"/>
    <d v="2025-02-21T00:00:00"/>
    <x v="0"/>
    <x v="1"/>
    <x v="0"/>
    <x v="1"/>
    <x v="0"/>
    <n v="1"/>
    <n v="1"/>
    <n v="0"/>
    <n v="0"/>
    <n v="0"/>
    <n v="0"/>
    <n v="0"/>
    <m/>
    <n v="47.2"/>
    <m/>
    <s v="Unique"/>
    <s v="Valid"/>
  </r>
  <r>
    <s v="USR-100570"/>
    <d v="2025-01-07T00:00:00"/>
    <x v="0"/>
    <x v="0"/>
    <x v="1"/>
    <x v="3"/>
    <x v="1"/>
    <n v="1"/>
    <n v="0"/>
    <n v="0"/>
    <n v="0"/>
    <n v="0"/>
    <n v="2"/>
    <n v="0"/>
    <m/>
    <n v="20.3"/>
    <m/>
    <s v="Unique"/>
    <s v="Valid"/>
  </r>
  <r>
    <s v="USR-100571"/>
    <d v="2025-03-06T00:00:00"/>
    <x v="0"/>
    <x v="1"/>
    <x v="1"/>
    <x v="2"/>
    <x v="1"/>
    <n v="0"/>
    <n v="0"/>
    <n v="0"/>
    <n v="0"/>
    <n v="0"/>
    <n v="1"/>
    <n v="0"/>
    <m/>
    <n v="57.8"/>
    <m/>
    <s v="Unique"/>
    <s v="Valid"/>
  </r>
  <r>
    <s v="USR-100572"/>
    <d v="2025-03-30T00:00:00"/>
    <x v="0"/>
    <x v="2"/>
    <x v="1"/>
    <x v="0"/>
    <x v="0"/>
    <n v="1"/>
    <n v="0"/>
    <n v="0"/>
    <n v="0"/>
    <n v="0"/>
    <n v="0"/>
    <n v="0"/>
    <m/>
    <n v="78.7"/>
    <m/>
    <s v="Unique"/>
    <s v="Valid"/>
  </r>
  <r>
    <s v="USR-100573"/>
    <d v="2025-05-31T00:00:00"/>
    <x v="0"/>
    <x v="3"/>
    <x v="0"/>
    <x v="1"/>
    <x v="1"/>
    <n v="1"/>
    <n v="0"/>
    <n v="0"/>
    <n v="0"/>
    <n v="0"/>
    <n v="0"/>
    <n v="0"/>
    <m/>
    <n v="63.6"/>
    <m/>
    <s v="Unique"/>
    <s v="Valid"/>
  </r>
  <r>
    <s v="USR-100574"/>
    <d v="2025-02-20T00:00:00"/>
    <x v="0"/>
    <x v="3"/>
    <x v="1"/>
    <x v="0"/>
    <x v="1"/>
    <n v="0"/>
    <n v="0"/>
    <n v="0"/>
    <n v="0"/>
    <n v="0"/>
    <n v="2"/>
    <n v="0"/>
    <m/>
    <n v="45.1"/>
    <m/>
    <s v="Unique"/>
    <s v="Valid"/>
  </r>
  <r>
    <s v="USR-100575"/>
    <d v="2025-01-13T00:00:00"/>
    <x v="0"/>
    <x v="1"/>
    <x v="1"/>
    <x v="4"/>
    <x v="1"/>
    <n v="0"/>
    <n v="0"/>
    <n v="0"/>
    <n v="0"/>
    <n v="0"/>
    <n v="0"/>
    <n v="0"/>
    <m/>
    <n v="77.5"/>
    <m/>
    <s v="Unique"/>
    <s v="Valid"/>
  </r>
  <r>
    <s v="USR-100576"/>
    <d v="2025-05-13T00:00:00"/>
    <x v="0"/>
    <x v="2"/>
    <x v="0"/>
    <x v="2"/>
    <x v="0"/>
    <n v="1"/>
    <n v="1"/>
    <n v="0"/>
    <n v="0"/>
    <n v="0"/>
    <n v="0"/>
    <n v="0"/>
    <m/>
    <n v="58"/>
    <m/>
    <s v="Unique"/>
    <s v="Valid"/>
  </r>
  <r>
    <s v="USR-100577"/>
    <d v="2025-04-21T00:00:00"/>
    <x v="0"/>
    <x v="3"/>
    <x v="2"/>
    <x v="1"/>
    <x v="1"/>
    <n v="1"/>
    <n v="0"/>
    <n v="0"/>
    <n v="0"/>
    <n v="0"/>
    <n v="0"/>
    <n v="0"/>
    <m/>
    <n v="68.099999999999994"/>
    <m/>
    <s v="Unique"/>
    <s v="Valid"/>
  </r>
  <r>
    <s v="USR-100578"/>
    <d v="2025-03-01T00:00:00"/>
    <x v="0"/>
    <x v="2"/>
    <x v="2"/>
    <x v="1"/>
    <x v="2"/>
    <n v="1"/>
    <n v="0"/>
    <n v="0"/>
    <n v="0"/>
    <n v="0"/>
    <n v="0"/>
    <n v="0"/>
    <m/>
    <n v="35.4"/>
    <m/>
    <s v="Unique"/>
    <s v="Valid"/>
  </r>
  <r>
    <s v="USR-100579"/>
    <d v="2025-03-10T00:00:00"/>
    <x v="0"/>
    <x v="1"/>
    <x v="2"/>
    <x v="1"/>
    <x v="1"/>
    <n v="0"/>
    <n v="0"/>
    <n v="0"/>
    <n v="0"/>
    <n v="0"/>
    <n v="0"/>
    <n v="0"/>
    <m/>
    <n v="47"/>
    <m/>
    <s v="Unique"/>
    <s v="Valid"/>
  </r>
  <r>
    <s v="USR-100580"/>
    <d v="2025-03-08T00:00:00"/>
    <x v="0"/>
    <x v="2"/>
    <x v="0"/>
    <x v="2"/>
    <x v="1"/>
    <n v="0"/>
    <n v="0"/>
    <n v="0"/>
    <n v="0"/>
    <n v="0"/>
    <n v="0"/>
    <n v="0"/>
    <m/>
    <n v="75"/>
    <m/>
    <s v="Unique"/>
    <s v="Valid"/>
  </r>
  <r>
    <s v="USR-100581"/>
    <d v="2025-05-26T00:00:00"/>
    <x v="0"/>
    <x v="3"/>
    <x v="0"/>
    <x v="2"/>
    <x v="1"/>
    <n v="1"/>
    <n v="1"/>
    <n v="1"/>
    <n v="0"/>
    <n v="0"/>
    <n v="3"/>
    <n v="0"/>
    <m/>
    <n v="50.2"/>
    <m/>
    <s v="Unique"/>
    <s v="Valid"/>
  </r>
  <r>
    <s v="USR-100582"/>
    <d v="2025-05-20T00:00:00"/>
    <x v="0"/>
    <x v="2"/>
    <x v="0"/>
    <x v="2"/>
    <x v="1"/>
    <n v="1"/>
    <n v="0"/>
    <n v="0"/>
    <n v="0"/>
    <n v="0"/>
    <n v="0"/>
    <n v="0"/>
    <m/>
    <n v="40.1"/>
    <m/>
    <s v="Unique"/>
    <s v="Valid"/>
  </r>
  <r>
    <s v="USR-100583"/>
    <d v="2025-03-22T00:00:00"/>
    <x v="0"/>
    <x v="1"/>
    <x v="0"/>
    <x v="2"/>
    <x v="1"/>
    <n v="0"/>
    <n v="0"/>
    <n v="0"/>
    <n v="0"/>
    <n v="0"/>
    <n v="0"/>
    <n v="0"/>
    <m/>
    <n v="61.1"/>
    <m/>
    <s v="Unique"/>
    <s v="Valid"/>
  </r>
  <r>
    <s v="USR-100584"/>
    <d v="2025-02-15T00:00:00"/>
    <x v="0"/>
    <x v="3"/>
    <x v="0"/>
    <x v="2"/>
    <x v="1"/>
    <n v="0"/>
    <n v="0"/>
    <n v="0"/>
    <n v="0"/>
    <n v="0"/>
    <n v="0"/>
    <n v="0"/>
    <m/>
    <n v="42.4"/>
    <m/>
    <s v="Unique"/>
    <s v="Valid"/>
  </r>
  <r>
    <s v="USR-100585"/>
    <d v="2025-01-08T00:00:00"/>
    <x v="0"/>
    <x v="0"/>
    <x v="1"/>
    <x v="4"/>
    <x v="1"/>
    <n v="0"/>
    <n v="0"/>
    <n v="0"/>
    <n v="0"/>
    <n v="0"/>
    <n v="1"/>
    <n v="0"/>
    <m/>
    <n v="46.6"/>
    <m/>
    <s v="Unique"/>
    <s v="Valid"/>
  </r>
  <r>
    <s v="USR-100586"/>
    <d v="2025-01-29T00:00:00"/>
    <x v="0"/>
    <x v="3"/>
    <x v="1"/>
    <x v="1"/>
    <x v="2"/>
    <n v="1"/>
    <n v="1"/>
    <n v="0"/>
    <n v="0"/>
    <n v="0"/>
    <n v="0"/>
    <n v="0"/>
    <m/>
    <n v="72.099999999999994"/>
    <m/>
    <s v="Unique"/>
    <s v="Valid"/>
  </r>
  <r>
    <s v="USR-100587"/>
    <d v="2025-05-07T00:00:00"/>
    <x v="0"/>
    <x v="2"/>
    <x v="2"/>
    <x v="1"/>
    <x v="1"/>
    <n v="0"/>
    <n v="0"/>
    <n v="0"/>
    <n v="0"/>
    <n v="0"/>
    <n v="0"/>
    <n v="0"/>
    <m/>
    <n v="21.5"/>
    <m/>
    <s v="Unique"/>
    <s v="Valid"/>
  </r>
  <r>
    <s v="USR-100588"/>
    <d v="2025-03-01T00:00:00"/>
    <x v="0"/>
    <x v="0"/>
    <x v="1"/>
    <x v="4"/>
    <x v="0"/>
    <n v="1"/>
    <n v="0"/>
    <n v="0"/>
    <n v="0"/>
    <n v="0"/>
    <n v="1"/>
    <n v="0"/>
    <m/>
    <n v="65.400000000000006"/>
    <m/>
    <s v="Unique"/>
    <s v="Valid"/>
  </r>
  <r>
    <s v="USR-100589"/>
    <d v="2025-04-20T00:00:00"/>
    <x v="0"/>
    <x v="2"/>
    <x v="1"/>
    <x v="1"/>
    <x v="1"/>
    <n v="1"/>
    <n v="1"/>
    <n v="0"/>
    <n v="0"/>
    <n v="0"/>
    <n v="0"/>
    <n v="0"/>
    <m/>
    <n v="53.3"/>
    <m/>
    <s v="Unique"/>
    <s v="Valid"/>
  </r>
  <r>
    <s v="USR-100590"/>
    <d v="2025-01-16T00:00:00"/>
    <x v="0"/>
    <x v="2"/>
    <x v="1"/>
    <x v="1"/>
    <x v="2"/>
    <n v="0"/>
    <n v="0"/>
    <n v="0"/>
    <n v="0"/>
    <n v="0"/>
    <n v="2"/>
    <n v="0"/>
    <m/>
    <n v="52.3"/>
    <m/>
    <s v="Unique"/>
    <s v="Valid"/>
  </r>
  <r>
    <s v="USR-100591"/>
    <d v="2025-04-04T00:00:00"/>
    <x v="0"/>
    <x v="2"/>
    <x v="1"/>
    <x v="2"/>
    <x v="1"/>
    <n v="1"/>
    <n v="0"/>
    <n v="0"/>
    <n v="0"/>
    <n v="0"/>
    <n v="0"/>
    <n v="0"/>
    <m/>
    <n v="62.5"/>
    <m/>
    <s v="Unique"/>
    <s v="Valid"/>
  </r>
  <r>
    <s v="USR-100592"/>
    <d v="2025-01-29T00:00:00"/>
    <x v="0"/>
    <x v="0"/>
    <x v="2"/>
    <x v="4"/>
    <x v="1"/>
    <n v="1"/>
    <n v="0"/>
    <n v="0"/>
    <n v="0"/>
    <n v="0"/>
    <n v="0"/>
    <n v="0"/>
    <m/>
    <n v="69.8"/>
    <m/>
    <s v="Unique"/>
    <s v="Valid"/>
  </r>
  <r>
    <s v="USR-100593"/>
    <d v="2025-04-19T00:00:00"/>
    <x v="0"/>
    <x v="2"/>
    <x v="1"/>
    <x v="0"/>
    <x v="1"/>
    <n v="1"/>
    <n v="0"/>
    <n v="0"/>
    <n v="0"/>
    <n v="0"/>
    <n v="0"/>
    <n v="0"/>
    <m/>
    <n v="68.2"/>
    <m/>
    <s v="Unique"/>
    <s v="Valid"/>
  </r>
  <r>
    <s v="USR-100594"/>
    <d v="2025-03-10T00:00:00"/>
    <x v="0"/>
    <x v="3"/>
    <x v="1"/>
    <x v="4"/>
    <x v="0"/>
    <n v="1"/>
    <n v="1"/>
    <n v="1"/>
    <n v="1"/>
    <n v="751.73"/>
    <n v="0"/>
    <n v="0"/>
    <n v="6"/>
    <n v="35.200000000000003"/>
    <m/>
    <s v="Unique"/>
    <s v="Valid"/>
  </r>
  <r>
    <s v="USR-100595"/>
    <d v="2025-05-10T00:00:00"/>
    <x v="0"/>
    <x v="3"/>
    <x v="1"/>
    <x v="4"/>
    <x v="0"/>
    <n v="0"/>
    <n v="0"/>
    <n v="0"/>
    <n v="0"/>
    <n v="0"/>
    <n v="0"/>
    <n v="0"/>
    <m/>
    <n v="59.3"/>
    <m/>
    <s v="Unique"/>
    <s v="Valid"/>
  </r>
  <r>
    <s v="USR-100596"/>
    <d v="2025-02-02T00:00:00"/>
    <x v="0"/>
    <x v="0"/>
    <x v="1"/>
    <x v="4"/>
    <x v="1"/>
    <n v="0"/>
    <n v="0"/>
    <n v="0"/>
    <n v="0"/>
    <n v="0"/>
    <n v="0"/>
    <n v="0"/>
    <m/>
    <n v="68.099999999999994"/>
    <m/>
    <s v="Unique"/>
    <s v="Valid"/>
  </r>
  <r>
    <s v="USR-100597"/>
    <d v="2025-05-06T00:00:00"/>
    <x v="0"/>
    <x v="0"/>
    <x v="0"/>
    <x v="1"/>
    <x v="1"/>
    <n v="1"/>
    <n v="1"/>
    <n v="0"/>
    <n v="0"/>
    <n v="0"/>
    <n v="0"/>
    <n v="0"/>
    <m/>
    <n v="74.8"/>
    <m/>
    <s v="Unique"/>
    <s v="Valid"/>
  </r>
  <r>
    <s v="USR-100598"/>
    <d v="2025-01-19T00:00:00"/>
    <x v="0"/>
    <x v="1"/>
    <x v="0"/>
    <x v="1"/>
    <x v="1"/>
    <n v="1"/>
    <n v="1"/>
    <n v="1"/>
    <n v="0"/>
    <n v="0"/>
    <n v="0"/>
    <n v="0"/>
    <m/>
    <n v="61.7"/>
    <m/>
    <s v="Unique"/>
    <s v="Valid"/>
  </r>
  <r>
    <s v="USR-100599"/>
    <d v="2025-01-02T00:00:00"/>
    <x v="0"/>
    <x v="0"/>
    <x v="1"/>
    <x v="1"/>
    <x v="1"/>
    <n v="1"/>
    <n v="0"/>
    <n v="0"/>
    <n v="0"/>
    <n v="0"/>
    <n v="0"/>
    <n v="0"/>
    <m/>
    <n v="24.3"/>
    <m/>
    <s v="Unique"/>
    <s v="Valid"/>
  </r>
  <r>
    <s v="USR-100600"/>
    <d v="2025-05-03T00:00:00"/>
    <x v="0"/>
    <x v="3"/>
    <x v="0"/>
    <x v="2"/>
    <x v="1"/>
    <n v="0"/>
    <n v="0"/>
    <n v="0"/>
    <n v="0"/>
    <n v="0"/>
    <n v="1"/>
    <n v="0"/>
    <m/>
    <n v="61.9"/>
    <m/>
    <s v="Unique"/>
    <s v="Valid"/>
  </r>
  <r>
    <s v="USR-100601"/>
    <d v="2025-05-27T00:00:00"/>
    <x v="0"/>
    <x v="2"/>
    <x v="0"/>
    <x v="3"/>
    <x v="2"/>
    <n v="0"/>
    <n v="0"/>
    <n v="0"/>
    <n v="0"/>
    <n v="0"/>
    <n v="2"/>
    <n v="0"/>
    <m/>
    <n v="41.7"/>
    <m/>
    <s v="Unique"/>
    <s v="Valid"/>
  </r>
  <r>
    <s v="USR-100602"/>
    <d v="2025-02-09T00:00:00"/>
    <x v="0"/>
    <x v="3"/>
    <x v="0"/>
    <x v="4"/>
    <x v="1"/>
    <n v="1"/>
    <n v="0"/>
    <n v="0"/>
    <n v="0"/>
    <n v="0"/>
    <n v="0"/>
    <n v="0"/>
    <m/>
    <n v="87.6"/>
    <m/>
    <s v="Unique"/>
    <s v="Valid"/>
  </r>
  <r>
    <s v="USR-100603"/>
    <d v="2025-05-18T00:00:00"/>
    <x v="0"/>
    <x v="2"/>
    <x v="1"/>
    <x v="2"/>
    <x v="1"/>
    <n v="1"/>
    <n v="0"/>
    <n v="0"/>
    <n v="0"/>
    <n v="0"/>
    <n v="0"/>
    <n v="0"/>
    <m/>
    <n v="30.8"/>
    <m/>
    <s v="Unique"/>
    <s v="Valid"/>
  </r>
  <r>
    <s v="USR-100604"/>
    <d v="2025-05-17T00:00:00"/>
    <x v="0"/>
    <x v="0"/>
    <x v="1"/>
    <x v="0"/>
    <x v="1"/>
    <n v="0"/>
    <n v="0"/>
    <n v="0"/>
    <n v="0"/>
    <n v="0"/>
    <n v="0"/>
    <n v="0"/>
    <m/>
    <n v="54"/>
    <m/>
    <s v="Unique"/>
    <s v="Valid"/>
  </r>
  <r>
    <s v="USR-100605"/>
    <d v="2025-01-25T00:00:00"/>
    <x v="0"/>
    <x v="2"/>
    <x v="0"/>
    <x v="3"/>
    <x v="0"/>
    <n v="1"/>
    <n v="0"/>
    <n v="0"/>
    <n v="0"/>
    <n v="0"/>
    <n v="1"/>
    <n v="0"/>
    <m/>
    <n v="54.5"/>
    <m/>
    <s v="Unique"/>
    <s v="Valid"/>
  </r>
  <r>
    <s v="USR-100606"/>
    <d v="2025-05-04T00:00:00"/>
    <x v="0"/>
    <x v="1"/>
    <x v="1"/>
    <x v="2"/>
    <x v="2"/>
    <n v="1"/>
    <n v="1"/>
    <n v="0"/>
    <n v="0"/>
    <n v="0"/>
    <n v="0"/>
    <n v="0"/>
    <m/>
    <n v="61.3"/>
    <m/>
    <s v="Unique"/>
    <s v="Valid"/>
  </r>
  <r>
    <s v="USR-100607"/>
    <d v="2025-04-14T00:00:00"/>
    <x v="0"/>
    <x v="1"/>
    <x v="1"/>
    <x v="1"/>
    <x v="1"/>
    <n v="1"/>
    <n v="0"/>
    <n v="0"/>
    <n v="0"/>
    <n v="0"/>
    <n v="0"/>
    <n v="0"/>
    <m/>
    <n v="62.7"/>
    <m/>
    <s v="Unique"/>
    <s v="Valid"/>
  </r>
  <r>
    <s v="USR-100608"/>
    <d v="2025-04-18T00:00:00"/>
    <x v="0"/>
    <x v="3"/>
    <x v="1"/>
    <x v="2"/>
    <x v="1"/>
    <n v="1"/>
    <n v="1"/>
    <n v="0"/>
    <n v="0"/>
    <n v="0"/>
    <n v="0"/>
    <n v="0"/>
    <m/>
    <n v="43.1"/>
    <m/>
    <s v="Unique"/>
    <s v="Valid"/>
  </r>
  <r>
    <s v="USR-100609"/>
    <d v="2025-02-24T00:00:00"/>
    <x v="0"/>
    <x v="3"/>
    <x v="0"/>
    <x v="0"/>
    <x v="0"/>
    <n v="0"/>
    <n v="0"/>
    <n v="0"/>
    <n v="0"/>
    <n v="0"/>
    <n v="0"/>
    <n v="0"/>
    <m/>
    <n v="59.9"/>
    <m/>
    <s v="Unique"/>
    <s v="Valid"/>
  </r>
  <r>
    <s v="USR-100610"/>
    <d v="2025-04-19T00:00:00"/>
    <x v="0"/>
    <x v="0"/>
    <x v="2"/>
    <x v="2"/>
    <x v="1"/>
    <n v="1"/>
    <n v="1"/>
    <n v="1"/>
    <n v="0"/>
    <n v="0"/>
    <n v="0"/>
    <n v="0"/>
    <m/>
    <n v="55.7"/>
    <m/>
    <s v="Unique"/>
    <s v="Valid"/>
  </r>
  <r>
    <s v="USR-100611"/>
    <d v="2025-03-07T00:00:00"/>
    <x v="0"/>
    <x v="3"/>
    <x v="0"/>
    <x v="1"/>
    <x v="0"/>
    <n v="1"/>
    <n v="0"/>
    <n v="0"/>
    <n v="0"/>
    <n v="0"/>
    <n v="0"/>
    <n v="0"/>
    <m/>
    <n v="37.1"/>
    <m/>
    <s v="Unique"/>
    <s v="Valid"/>
  </r>
  <r>
    <s v="USR-100612"/>
    <d v="2025-03-09T00:00:00"/>
    <x v="0"/>
    <x v="2"/>
    <x v="1"/>
    <x v="1"/>
    <x v="0"/>
    <n v="0"/>
    <n v="0"/>
    <n v="0"/>
    <n v="0"/>
    <n v="0"/>
    <n v="1"/>
    <n v="0"/>
    <m/>
    <n v="46.7"/>
    <m/>
    <s v="Unique"/>
    <s v="Valid"/>
  </r>
  <r>
    <s v="USR-100613"/>
    <d v="2025-05-01T00:00:00"/>
    <x v="0"/>
    <x v="3"/>
    <x v="0"/>
    <x v="1"/>
    <x v="0"/>
    <n v="1"/>
    <n v="0"/>
    <n v="0"/>
    <n v="0"/>
    <n v="0"/>
    <n v="0"/>
    <n v="0"/>
    <m/>
    <n v="54.1"/>
    <m/>
    <s v="Unique"/>
    <s v="Valid"/>
  </r>
  <r>
    <s v="USR-100614"/>
    <d v="2025-02-09T00:00:00"/>
    <x v="0"/>
    <x v="1"/>
    <x v="0"/>
    <x v="1"/>
    <x v="2"/>
    <n v="1"/>
    <n v="1"/>
    <n v="1"/>
    <n v="0"/>
    <n v="0"/>
    <n v="0"/>
    <n v="0"/>
    <m/>
    <n v="56.1"/>
    <m/>
    <s v="Unique"/>
    <s v="Valid"/>
  </r>
  <r>
    <s v="USR-100615"/>
    <d v="2025-05-22T00:00:00"/>
    <x v="0"/>
    <x v="1"/>
    <x v="1"/>
    <x v="3"/>
    <x v="2"/>
    <n v="0"/>
    <n v="0"/>
    <n v="0"/>
    <n v="0"/>
    <n v="0"/>
    <n v="0"/>
    <n v="0"/>
    <m/>
    <n v="23.6"/>
    <m/>
    <s v="Unique"/>
    <s v="Valid"/>
  </r>
  <r>
    <s v="USR-100616"/>
    <d v="2025-02-11T00:00:00"/>
    <x v="0"/>
    <x v="0"/>
    <x v="1"/>
    <x v="1"/>
    <x v="2"/>
    <n v="0"/>
    <n v="0"/>
    <n v="0"/>
    <n v="0"/>
    <n v="0"/>
    <n v="0"/>
    <n v="0"/>
    <m/>
    <n v="54.7"/>
    <m/>
    <s v="Unique"/>
    <s v="Valid"/>
  </r>
  <r>
    <s v="USR-100617"/>
    <d v="2025-04-12T00:00:00"/>
    <x v="0"/>
    <x v="0"/>
    <x v="1"/>
    <x v="3"/>
    <x v="0"/>
    <n v="0"/>
    <n v="0"/>
    <n v="0"/>
    <n v="0"/>
    <n v="0"/>
    <n v="2"/>
    <n v="0"/>
    <m/>
    <n v="50.4"/>
    <m/>
    <s v="Unique"/>
    <s v="Valid"/>
  </r>
  <r>
    <s v="USR-100618"/>
    <d v="2025-03-01T00:00:00"/>
    <x v="0"/>
    <x v="1"/>
    <x v="1"/>
    <x v="4"/>
    <x v="1"/>
    <n v="1"/>
    <n v="0"/>
    <n v="0"/>
    <n v="0"/>
    <n v="0"/>
    <n v="0"/>
    <n v="0"/>
    <m/>
    <n v="54.5"/>
    <m/>
    <s v="Unique"/>
    <s v="Valid"/>
  </r>
  <r>
    <s v="USR-100619"/>
    <d v="2025-03-17T00:00:00"/>
    <x v="0"/>
    <x v="1"/>
    <x v="0"/>
    <x v="0"/>
    <x v="0"/>
    <n v="0"/>
    <n v="0"/>
    <n v="0"/>
    <n v="0"/>
    <n v="0"/>
    <n v="0"/>
    <n v="0"/>
    <m/>
    <n v="58"/>
    <m/>
    <s v="Unique"/>
    <s v="Valid"/>
  </r>
  <r>
    <s v="USR-100620"/>
    <d v="2025-01-11T00:00:00"/>
    <x v="0"/>
    <x v="0"/>
    <x v="1"/>
    <x v="2"/>
    <x v="1"/>
    <n v="0"/>
    <n v="0"/>
    <n v="0"/>
    <n v="0"/>
    <n v="0"/>
    <n v="0"/>
    <n v="0"/>
    <m/>
    <n v="42.9"/>
    <m/>
    <s v="Unique"/>
    <s v="Valid"/>
  </r>
  <r>
    <s v="USR-100621"/>
    <d v="2025-02-17T00:00:00"/>
    <x v="0"/>
    <x v="3"/>
    <x v="1"/>
    <x v="4"/>
    <x v="2"/>
    <n v="1"/>
    <n v="0"/>
    <n v="0"/>
    <n v="0"/>
    <n v="0"/>
    <n v="0"/>
    <n v="0"/>
    <m/>
    <n v="51.1"/>
    <m/>
    <s v="Unique"/>
    <s v="Valid"/>
  </r>
  <r>
    <s v="USR-100622"/>
    <d v="2025-03-25T00:00:00"/>
    <x v="0"/>
    <x v="2"/>
    <x v="1"/>
    <x v="2"/>
    <x v="0"/>
    <n v="1"/>
    <n v="1"/>
    <n v="0"/>
    <n v="0"/>
    <n v="0"/>
    <n v="0"/>
    <n v="0"/>
    <m/>
    <n v="51.8"/>
    <m/>
    <s v="Unique"/>
    <s v="Valid"/>
  </r>
  <r>
    <s v="USR-100623"/>
    <d v="2025-05-01T00:00:00"/>
    <x v="0"/>
    <x v="3"/>
    <x v="1"/>
    <x v="2"/>
    <x v="1"/>
    <n v="0"/>
    <n v="0"/>
    <n v="0"/>
    <n v="0"/>
    <n v="0"/>
    <n v="0"/>
    <n v="0"/>
    <m/>
    <n v="67.7"/>
    <m/>
    <s v="Unique"/>
    <s v="Valid"/>
  </r>
  <r>
    <s v="USR-100624"/>
    <d v="2025-04-02T00:00:00"/>
    <x v="0"/>
    <x v="2"/>
    <x v="1"/>
    <x v="1"/>
    <x v="0"/>
    <n v="0"/>
    <n v="0"/>
    <n v="0"/>
    <n v="0"/>
    <n v="0"/>
    <n v="0"/>
    <n v="0"/>
    <m/>
    <n v="75.8"/>
    <m/>
    <s v="Unique"/>
    <s v="Valid"/>
  </r>
  <r>
    <s v="USR-100625"/>
    <d v="2025-04-05T00:00:00"/>
    <x v="0"/>
    <x v="2"/>
    <x v="1"/>
    <x v="0"/>
    <x v="1"/>
    <n v="1"/>
    <n v="1"/>
    <n v="0"/>
    <n v="0"/>
    <n v="0"/>
    <n v="0"/>
    <n v="0"/>
    <m/>
    <n v="72.8"/>
    <m/>
    <s v="Unique"/>
    <s v="Valid"/>
  </r>
  <r>
    <s v="USR-100626"/>
    <d v="2025-02-24T00:00:00"/>
    <x v="0"/>
    <x v="0"/>
    <x v="0"/>
    <x v="4"/>
    <x v="1"/>
    <n v="1"/>
    <n v="1"/>
    <n v="0"/>
    <n v="0"/>
    <n v="0"/>
    <n v="0"/>
    <n v="0"/>
    <m/>
    <n v="54.4"/>
    <m/>
    <s v="Unique"/>
    <s v="Valid"/>
  </r>
  <r>
    <s v="USR-100627"/>
    <d v="2025-01-24T00:00:00"/>
    <x v="0"/>
    <x v="1"/>
    <x v="1"/>
    <x v="2"/>
    <x v="0"/>
    <n v="1"/>
    <n v="0"/>
    <n v="0"/>
    <n v="0"/>
    <n v="0"/>
    <n v="0"/>
    <n v="0"/>
    <m/>
    <n v="51.8"/>
    <m/>
    <s v="Unique"/>
    <s v="Valid"/>
  </r>
  <r>
    <s v="USR-100628"/>
    <d v="2025-04-10T00:00:00"/>
    <x v="0"/>
    <x v="3"/>
    <x v="1"/>
    <x v="2"/>
    <x v="1"/>
    <n v="0"/>
    <n v="0"/>
    <n v="0"/>
    <n v="0"/>
    <n v="0"/>
    <n v="0"/>
    <n v="0"/>
    <m/>
    <n v="40.299999999999997"/>
    <m/>
    <s v="Unique"/>
    <s v="Valid"/>
  </r>
  <r>
    <s v="USR-100629"/>
    <d v="2025-02-19T00:00:00"/>
    <x v="0"/>
    <x v="3"/>
    <x v="1"/>
    <x v="3"/>
    <x v="1"/>
    <n v="1"/>
    <n v="1"/>
    <n v="1"/>
    <n v="0"/>
    <n v="0"/>
    <n v="0"/>
    <n v="0"/>
    <m/>
    <n v="61.7"/>
    <m/>
    <s v="Unique"/>
    <s v="Valid"/>
  </r>
  <r>
    <s v="USR-100630"/>
    <d v="2025-03-22T00:00:00"/>
    <x v="0"/>
    <x v="0"/>
    <x v="1"/>
    <x v="4"/>
    <x v="1"/>
    <n v="0"/>
    <n v="0"/>
    <n v="0"/>
    <n v="0"/>
    <n v="0"/>
    <n v="0"/>
    <n v="0"/>
    <m/>
    <n v="45"/>
    <m/>
    <s v="Unique"/>
    <s v="Valid"/>
  </r>
  <r>
    <s v="USR-100631"/>
    <d v="2025-04-08T00:00:00"/>
    <x v="0"/>
    <x v="2"/>
    <x v="0"/>
    <x v="1"/>
    <x v="2"/>
    <n v="1"/>
    <n v="1"/>
    <n v="1"/>
    <n v="0"/>
    <n v="0"/>
    <n v="0"/>
    <n v="0"/>
    <m/>
    <n v="60"/>
    <m/>
    <s v="Unique"/>
    <s v="Valid"/>
  </r>
  <r>
    <s v="USR-100632"/>
    <d v="2025-03-16T00:00:00"/>
    <x v="0"/>
    <x v="0"/>
    <x v="1"/>
    <x v="4"/>
    <x v="1"/>
    <n v="1"/>
    <n v="0"/>
    <n v="0"/>
    <n v="0"/>
    <n v="0"/>
    <n v="0"/>
    <n v="0"/>
    <m/>
    <n v="60.02"/>
    <m/>
    <s v="Unique"/>
    <s v="Valid"/>
  </r>
  <r>
    <s v="USR-100633"/>
    <d v="2025-03-07T00:00:00"/>
    <x v="0"/>
    <x v="2"/>
    <x v="1"/>
    <x v="2"/>
    <x v="1"/>
    <n v="1"/>
    <n v="0"/>
    <n v="0"/>
    <n v="0"/>
    <n v="0"/>
    <n v="0"/>
    <n v="0"/>
    <m/>
    <n v="55.5"/>
    <m/>
    <s v="Unique"/>
    <s v="Valid"/>
  </r>
  <r>
    <s v="USR-100634"/>
    <d v="2025-03-16T00:00:00"/>
    <x v="0"/>
    <x v="3"/>
    <x v="1"/>
    <x v="3"/>
    <x v="0"/>
    <n v="0"/>
    <n v="0"/>
    <n v="0"/>
    <n v="0"/>
    <n v="0"/>
    <n v="0"/>
    <n v="0"/>
    <m/>
    <n v="51.8"/>
    <m/>
    <s v="Unique"/>
    <s v="Valid"/>
  </r>
  <r>
    <s v="USR-100635"/>
    <d v="2025-05-26T00:00:00"/>
    <x v="0"/>
    <x v="2"/>
    <x v="1"/>
    <x v="5"/>
    <x v="2"/>
    <n v="1"/>
    <n v="0"/>
    <n v="0"/>
    <n v="0"/>
    <n v="0"/>
    <n v="3"/>
    <n v="0"/>
    <m/>
    <n v="56"/>
    <m/>
    <s v="Unique"/>
    <s v="Valid"/>
  </r>
  <r>
    <s v="USR-100636"/>
    <d v="2025-01-14T00:00:00"/>
    <x v="0"/>
    <x v="1"/>
    <x v="1"/>
    <x v="1"/>
    <x v="1"/>
    <n v="0"/>
    <n v="0"/>
    <n v="0"/>
    <n v="0"/>
    <n v="0"/>
    <n v="0"/>
    <n v="0"/>
    <m/>
    <n v="52.5"/>
    <m/>
    <s v="Unique"/>
    <s v="Valid"/>
  </r>
  <r>
    <s v="USR-100637"/>
    <d v="2025-03-30T00:00:00"/>
    <x v="0"/>
    <x v="1"/>
    <x v="1"/>
    <x v="2"/>
    <x v="2"/>
    <n v="1"/>
    <n v="0"/>
    <n v="0"/>
    <n v="0"/>
    <n v="0"/>
    <n v="0"/>
    <n v="0"/>
    <m/>
    <n v="42.5"/>
    <m/>
    <s v="Unique"/>
    <s v="Valid"/>
  </r>
  <r>
    <s v="USR-100638"/>
    <d v="2025-05-12T00:00:00"/>
    <x v="0"/>
    <x v="2"/>
    <x v="0"/>
    <x v="0"/>
    <x v="1"/>
    <n v="1"/>
    <n v="1"/>
    <n v="1"/>
    <n v="0"/>
    <n v="0"/>
    <n v="0"/>
    <n v="0"/>
    <m/>
    <n v="65.3"/>
    <m/>
    <s v="Unique"/>
    <s v="Valid"/>
  </r>
  <r>
    <s v="USR-100639"/>
    <d v="2025-05-10T00:00:00"/>
    <x v="0"/>
    <x v="1"/>
    <x v="1"/>
    <x v="2"/>
    <x v="1"/>
    <n v="0"/>
    <n v="0"/>
    <n v="0"/>
    <n v="0"/>
    <n v="0"/>
    <n v="0"/>
    <n v="0"/>
    <m/>
    <n v="37.6"/>
    <m/>
    <s v="Unique"/>
    <s v="Valid"/>
  </r>
  <r>
    <s v="USR-100640"/>
    <d v="2025-04-09T00:00:00"/>
    <x v="0"/>
    <x v="2"/>
    <x v="1"/>
    <x v="4"/>
    <x v="0"/>
    <n v="0"/>
    <n v="0"/>
    <n v="0"/>
    <n v="0"/>
    <n v="0"/>
    <n v="0"/>
    <n v="0"/>
    <m/>
    <n v="57.8"/>
    <m/>
    <s v="Unique"/>
    <s v="Valid"/>
  </r>
  <r>
    <s v="USR-100641"/>
    <d v="2025-05-26T00:00:00"/>
    <x v="0"/>
    <x v="0"/>
    <x v="1"/>
    <x v="4"/>
    <x v="1"/>
    <n v="1"/>
    <n v="0"/>
    <n v="0"/>
    <n v="0"/>
    <n v="0"/>
    <n v="0"/>
    <n v="0"/>
    <m/>
    <n v="52.7"/>
    <m/>
    <s v="Unique"/>
    <s v="Valid"/>
  </r>
  <r>
    <s v="USR-100642"/>
    <d v="2025-02-12T00:00:00"/>
    <x v="0"/>
    <x v="0"/>
    <x v="1"/>
    <x v="1"/>
    <x v="1"/>
    <n v="1"/>
    <n v="0"/>
    <n v="0"/>
    <n v="0"/>
    <n v="0"/>
    <n v="0"/>
    <n v="0"/>
    <m/>
    <n v="51.7"/>
    <m/>
    <s v="Unique"/>
    <s v="Valid"/>
  </r>
  <r>
    <s v="USR-100643"/>
    <d v="2025-04-01T00:00:00"/>
    <x v="0"/>
    <x v="0"/>
    <x v="0"/>
    <x v="0"/>
    <x v="0"/>
    <n v="0"/>
    <n v="0"/>
    <n v="0"/>
    <n v="0"/>
    <n v="0"/>
    <n v="0"/>
    <n v="0"/>
    <m/>
    <n v="57"/>
    <m/>
    <s v="Unique"/>
    <s v="Valid"/>
  </r>
  <r>
    <s v="USR-100644"/>
    <d v="2025-01-18T00:00:00"/>
    <x v="0"/>
    <x v="3"/>
    <x v="0"/>
    <x v="1"/>
    <x v="0"/>
    <n v="0"/>
    <n v="0"/>
    <n v="0"/>
    <n v="0"/>
    <n v="0"/>
    <n v="0"/>
    <n v="0"/>
    <m/>
    <n v="39.5"/>
    <m/>
    <s v="Unique"/>
    <s v="Valid"/>
  </r>
  <r>
    <s v="USR-100645"/>
    <d v="2025-04-06T00:00:00"/>
    <x v="0"/>
    <x v="2"/>
    <x v="2"/>
    <x v="1"/>
    <x v="1"/>
    <n v="1"/>
    <n v="0"/>
    <n v="0"/>
    <n v="0"/>
    <n v="0"/>
    <n v="0"/>
    <n v="0"/>
    <m/>
    <n v="76.5"/>
    <m/>
    <s v="Unique"/>
    <s v="Valid"/>
  </r>
  <r>
    <s v="USR-100646"/>
    <d v="2025-04-17T00:00:00"/>
    <x v="0"/>
    <x v="2"/>
    <x v="1"/>
    <x v="1"/>
    <x v="1"/>
    <n v="1"/>
    <n v="0"/>
    <n v="0"/>
    <n v="0"/>
    <n v="0"/>
    <n v="0"/>
    <n v="0"/>
    <m/>
    <n v="32.4"/>
    <m/>
    <s v="Unique"/>
    <s v="Valid"/>
  </r>
  <r>
    <s v="USR-100647"/>
    <d v="2025-02-07T00:00:00"/>
    <x v="0"/>
    <x v="0"/>
    <x v="0"/>
    <x v="2"/>
    <x v="1"/>
    <n v="0"/>
    <n v="0"/>
    <n v="0"/>
    <n v="0"/>
    <n v="0"/>
    <n v="0"/>
    <n v="0"/>
    <m/>
    <n v="58.6"/>
    <m/>
    <s v="Unique"/>
    <s v="Valid"/>
  </r>
  <r>
    <s v="USR-100648"/>
    <d v="2025-03-04T00:00:00"/>
    <x v="0"/>
    <x v="2"/>
    <x v="1"/>
    <x v="1"/>
    <x v="0"/>
    <n v="1"/>
    <n v="0"/>
    <n v="0"/>
    <n v="0"/>
    <n v="0"/>
    <n v="0"/>
    <n v="0"/>
    <m/>
    <n v="78.599999999999994"/>
    <m/>
    <s v="Unique"/>
    <s v="Valid"/>
  </r>
  <r>
    <s v="USR-100649"/>
    <d v="2025-02-17T00:00:00"/>
    <x v="0"/>
    <x v="0"/>
    <x v="0"/>
    <x v="1"/>
    <x v="2"/>
    <n v="0"/>
    <n v="0"/>
    <n v="0"/>
    <n v="0"/>
    <n v="0"/>
    <n v="0"/>
    <n v="0"/>
    <m/>
    <n v="54.5"/>
    <m/>
    <s v="Unique"/>
    <s v="Valid"/>
  </r>
  <r>
    <s v="USR-100650"/>
    <d v="2025-05-06T00:00:00"/>
    <x v="0"/>
    <x v="3"/>
    <x v="1"/>
    <x v="3"/>
    <x v="1"/>
    <n v="1"/>
    <n v="0"/>
    <n v="0"/>
    <n v="0"/>
    <n v="0"/>
    <n v="0"/>
    <n v="0"/>
    <m/>
    <n v="57.6"/>
    <m/>
    <s v="Unique"/>
    <s v="Valid"/>
  </r>
  <r>
    <s v="USR-100651"/>
    <d v="2025-03-25T00:00:00"/>
    <x v="0"/>
    <x v="3"/>
    <x v="1"/>
    <x v="3"/>
    <x v="2"/>
    <n v="0"/>
    <n v="0"/>
    <n v="0"/>
    <n v="0"/>
    <n v="0"/>
    <n v="0"/>
    <n v="0"/>
    <m/>
    <n v="52.8"/>
    <m/>
    <s v="Unique"/>
    <s v="Valid"/>
  </r>
  <r>
    <s v="USR-100652"/>
    <d v="2025-03-04T00:00:00"/>
    <x v="0"/>
    <x v="1"/>
    <x v="1"/>
    <x v="0"/>
    <x v="2"/>
    <n v="1"/>
    <n v="0"/>
    <n v="0"/>
    <n v="0"/>
    <n v="0"/>
    <n v="0"/>
    <n v="0"/>
    <m/>
    <n v="52.9"/>
    <m/>
    <s v="Unique"/>
    <s v="Valid"/>
  </r>
  <r>
    <s v="USR-100653"/>
    <d v="2025-05-09T00:00:00"/>
    <x v="0"/>
    <x v="1"/>
    <x v="1"/>
    <x v="1"/>
    <x v="1"/>
    <n v="1"/>
    <n v="0"/>
    <n v="0"/>
    <n v="0"/>
    <n v="0"/>
    <n v="1"/>
    <n v="0"/>
    <m/>
    <n v="55.9"/>
    <m/>
    <s v="Unique"/>
    <s v="Valid"/>
  </r>
  <r>
    <s v="USR-100654"/>
    <d v="2025-05-17T00:00:00"/>
    <x v="0"/>
    <x v="1"/>
    <x v="1"/>
    <x v="3"/>
    <x v="2"/>
    <n v="1"/>
    <n v="0"/>
    <n v="0"/>
    <n v="0"/>
    <n v="0"/>
    <n v="0"/>
    <n v="0"/>
    <m/>
    <n v="74.2"/>
    <m/>
    <s v="Unique"/>
    <s v="Valid"/>
  </r>
  <r>
    <s v="USR-100655"/>
    <d v="2025-01-12T00:00:00"/>
    <x v="0"/>
    <x v="1"/>
    <x v="1"/>
    <x v="1"/>
    <x v="1"/>
    <n v="0"/>
    <n v="0"/>
    <n v="0"/>
    <n v="0"/>
    <n v="0"/>
    <n v="0"/>
    <n v="0"/>
    <m/>
    <n v="46.3"/>
    <m/>
    <s v="Unique"/>
    <s v="Valid"/>
  </r>
  <r>
    <s v="USR-100656"/>
    <d v="2025-03-12T00:00:00"/>
    <x v="0"/>
    <x v="1"/>
    <x v="1"/>
    <x v="1"/>
    <x v="2"/>
    <n v="1"/>
    <n v="0"/>
    <n v="0"/>
    <n v="0"/>
    <n v="0"/>
    <n v="0"/>
    <n v="0"/>
    <m/>
    <n v="62"/>
    <m/>
    <s v="Unique"/>
    <s v="Valid"/>
  </r>
  <r>
    <s v="USR-100657"/>
    <d v="2025-04-02T00:00:00"/>
    <x v="0"/>
    <x v="3"/>
    <x v="1"/>
    <x v="1"/>
    <x v="0"/>
    <n v="0"/>
    <n v="0"/>
    <n v="0"/>
    <n v="0"/>
    <n v="0"/>
    <n v="0"/>
    <n v="0"/>
    <m/>
    <n v="55.6"/>
    <m/>
    <s v="Unique"/>
    <s v="Valid"/>
  </r>
  <r>
    <s v="USR-100658"/>
    <d v="2025-01-13T00:00:00"/>
    <x v="0"/>
    <x v="3"/>
    <x v="1"/>
    <x v="1"/>
    <x v="0"/>
    <n v="1"/>
    <n v="0"/>
    <n v="0"/>
    <n v="0"/>
    <n v="0"/>
    <n v="0"/>
    <n v="0"/>
    <m/>
    <n v="62.8"/>
    <m/>
    <s v="Unique"/>
    <s v="Valid"/>
  </r>
  <r>
    <s v="USR-100659"/>
    <d v="2025-03-07T00:00:00"/>
    <x v="0"/>
    <x v="2"/>
    <x v="1"/>
    <x v="3"/>
    <x v="1"/>
    <n v="0"/>
    <n v="0"/>
    <n v="0"/>
    <n v="0"/>
    <n v="0"/>
    <n v="0"/>
    <n v="0"/>
    <m/>
    <n v="73.099999999999994"/>
    <m/>
    <s v="Unique"/>
    <s v="Valid"/>
  </r>
  <r>
    <s v="USR-100660"/>
    <d v="2025-04-20T00:00:00"/>
    <x v="0"/>
    <x v="3"/>
    <x v="0"/>
    <x v="4"/>
    <x v="1"/>
    <n v="1"/>
    <n v="1"/>
    <n v="1"/>
    <n v="1"/>
    <n v="347.52"/>
    <n v="0"/>
    <n v="0"/>
    <n v="2"/>
    <n v="57.2"/>
    <m/>
    <s v="Unique"/>
    <s v="Valid"/>
  </r>
  <r>
    <s v="USR-100661"/>
    <d v="2025-01-07T00:00:00"/>
    <x v="0"/>
    <x v="3"/>
    <x v="1"/>
    <x v="2"/>
    <x v="1"/>
    <n v="1"/>
    <n v="0"/>
    <n v="0"/>
    <n v="0"/>
    <n v="0"/>
    <n v="0"/>
    <n v="0"/>
    <m/>
    <n v="67.900000000000006"/>
    <m/>
    <s v="Unique"/>
    <s v="Valid"/>
  </r>
  <r>
    <s v="USR-100662"/>
    <d v="2025-04-23T00:00:00"/>
    <x v="0"/>
    <x v="3"/>
    <x v="1"/>
    <x v="3"/>
    <x v="1"/>
    <n v="0"/>
    <n v="0"/>
    <n v="0"/>
    <n v="0"/>
    <n v="0"/>
    <n v="0"/>
    <n v="0"/>
    <m/>
    <n v="50.1"/>
    <m/>
    <s v="Unique"/>
    <s v="Valid"/>
  </r>
  <r>
    <s v="USR-100663"/>
    <d v="2025-05-26T00:00:00"/>
    <x v="0"/>
    <x v="0"/>
    <x v="1"/>
    <x v="2"/>
    <x v="0"/>
    <n v="0"/>
    <n v="0"/>
    <n v="0"/>
    <n v="0"/>
    <n v="0"/>
    <n v="0"/>
    <n v="0"/>
    <m/>
    <n v="67.8"/>
    <m/>
    <s v="Unique"/>
    <s v="Valid"/>
  </r>
  <r>
    <s v="USR-100664"/>
    <d v="2025-03-17T00:00:00"/>
    <x v="0"/>
    <x v="0"/>
    <x v="0"/>
    <x v="4"/>
    <x v="0"/>
    <n v="1"/>
    <n v="1"/>
    <n v="1"/>
    <n v="0"/>
    <n v="0"/>
    <n v="0"/>
    <n v="0"/>
    <m/>
    <n v="60.8"/>
    <m/>
    <s v="Unique"/>
    <s v="Valid"/>
  </r>
  <r>
    <s v="USR-100665"/>
    <d v="2025-05-17T00:00:00"/>
    <x v="0"/>
    <x v="0"/>
    <x v="0"/>
    <x v="2"/>
    <x v="0"/>
    <n v="1"/>
    <n v="0"/>
    <n v="0"/>
    <n v="0"/>
    <n v="0"/>
    <n v="3"/>
    <n v="0"/>
    <m/>
    <n v="33.700000000000003"/>
    <m/>
    <s v="Unique"/>
    <s v="Valid"/>
  </r>
  <r>
    <s v="USR-100666"/>
    <d v="2025-02-21T00:00:00"/>
    <x v="0"/>
    <x v="0"/>
    <x v="1"/>
    <x v="2"/>
    <x v="0"/>
    <n v="0"/>
    <n v="0"/>
    <n v="0"/>
    <n v="0"/>
    <n v="0"/>
    <n v="0"/>
    <n v="0"/>
    <m/>
    <n v="45.2"/>
    <m/>
    <s v="Unique"/>
    <s v="Valid"/>
  </r>
  <r>
    <s v="USR-100667"/>
    <d v="2025-02-25T00:00:00"/>
    <x v="0"/>
    <x v="2"/>
    <x v="0"/>
    <x v="2"/>
    <x v="2"/>
    <n v="0"/>
    <n v="0"/>
    <n v="0"/>
    <n v="0"/>
    <n v="0"/>
    <n v="0"/>
    <n v="0"/>
    <m/>
    <n v="48.2"/>
    <m/>
    <s v="Unique"/>
    <s v="Valid"/>
  </r>
  <r>
    <s v="USR-100668"/>
    <d v="2025-01-30T00:00:00"/>
    <x v="0"/>
    <x v="3"/>
    <x v="1"/>
    <x v="4"/>
    <x v="1"/>
    <n v="1"/>
    <n v="1"/>
    <n v="0"/>
    <n v="0"/>
    <n v="0"/>
    <n v="1"/>
    <n v="0"/>
    <m/>
    <n v="44.8"/>
    <m/>
    <s v="Unique"/>
    <s v="Valid"/>
  </r>
  <r>
    <s v="USR-100669"/>
    <d v="2025-02-17T00:00:00"/>
    <x v="0"/>
    <x v="0"/>
    <x v="2"/>
    <x v="4"/>
    <x v="0"/>
    <n v="0"/>
    <n v="0"/>
    <n v="0"/>
    <n v="0"/>
    <n v="0"/>
    <n v="0"/>
    <n v="0"/>
    <m/>
    <n v="52.1"/>
    <m/>
    <s v="Unique"/>
    <s v="Valid"/>
  </r>
  <r>
    <s v="USR-100670"/>
    <d v="2025-05-17T00:00:00"/>
    <x v="0"/>
    <x v="0"/>
    <x v="0"/>
    <x v="2"/>
    <x v="0"/>
    <n v="1"/>
    <n v="0"/>
    <n v="0"/>
    <n v="0"/>
    <n v="0"/>
    <n v="0"/>
    <n v="0"/>
    <m/>
    <n v="30.7"/>
    <m/>
    <s v="Unique"/>
    <s v="Valid"/>
  </r>
  <r>
    <s v="USR-100671"/>
    <d v="2025-04-30T00:00:00"/>
    <x v="0"/>
    <x v="2"/>
    <x v="0"/>
    <x v="2"/>
    <x v="1"/>
    <n v="1"/>
    <n v="0"/>
    <n v="0"/>
    <n v="0"/>
    <n v="0"/>
    <n v="0"/>
    <n v="0"/>
    <m/>
    <n v="58.4"/>
    <m/>
    <s v="Unique"/>
    <s v="Valid"/>
  </r>
  <r>
    <s v="USR-100672"/>
    <d v="2025-03-22T00:00:00"/>
    <x v="0"/>
    <x v="1"/>
    <x v="1"/>
    <x v="3"/>
    <x v="1"/>
    <n v="1"/>
    <n v="1"/>
    <n v="0"/>
    <n v="0"/>
    <n v="0"/>
    <n v="0"/>
    <n v="0"/>
    <m/>
    <n v="52.6"/>
    <m/>
    <s v="Unique"/>
    <s v="Valid"/>
  </r>
  <r>
    <s v="USR-100673"/>
    <d v="2025-01-10T00:00:00"/>
    <x v="0"/>
    <x v="1"/>
    <x v="3"/>
    <x v="2"/>
    <x v="1"/>
    <n v="1"/>
    <n v="0"/>
    <n v="0"/>
    <n v="0"/>
    <n v="0"/>
    <n v="1"/>
    <n v="0"/>
    <m/>
    <n v="19.100000000000001"/>
    <m/>
    <s v="Unique"/>
    <s v="Valid"/>
  </r>
  <r>
    <s v="USR-100674"/>
    <d v="2025-03-21T00:00:00"/>
    <x v="0"/>
    <x v="3"/>
    <x v="3"/>
    <x v="2"/>
    <x v="1"/>
    <n v="1"/>
    <n v="0"/>
    <n v="0"/>
    <n v="0"/>
    <n v="0"/>
    <n v="0"/>
    <n v="0"/>
    <m/>
    <n v="36.799999999999997"/>
    <m/>
    <s v="Unique"/>
    <s v="Valid"/>
  </r>
  <r>
    <s v="USR-100675"/>
    <d v="2025-05-12T00:00:00"/>
    <x v="0"/>
    <x v="0"/>
    <x v="0"/>
    <x v="2"/>
    <x v="0"/>
    <n v="0"/>
    <n v="0"/>
    <n v="0"/>
    <n v="0"/>
    <n v="0"/>
    <n v="0"/>
    <n v="0"/>
    <m/>
    <n v="68.5"/>
    <m/>
    <s v="Unique"/>
    <s v="Valid"/>
  </r>
  <r>
    <s v="USR-100676"/>
    <d v="2025-05-24T00:00:00"/>
    <x v="0"/>
    <x v="1"/>
    <x v="1"/>
    <x v="2"/>
    <x v="1"/>
    <n v="1"/>
    <n v="1"/>
    <n v="1"/>
    <n v="0"/>
    <n v="0"/>
    <n v="0"/>
    <n v="0"/>
    <m/>
    <n v="40.1"/>
    <m/>
    <s v="Unique"/>
    <s v="Valid"/>
  </r>
  <r>
    <s v="USR-100677"/>
    <d v="2025-05-03T00:00:00"/>
    <x v="0"/>
    <x v="1"/>
    <x v="2"/>
    <x v="1"/>
    <x v="1"/>
    <n v="1"/>
    <n v="0"/>
    <n v="0"/>
    <n v="0"/>
    <n v="0"/>
    <n v="0"/>
    <n v="0"/>
    <m/>
    <n v="47.5"/>
    <m/>
    <s v="Unique"/>
    <s v="Valid"/>
  </r>
  <r>
    <s v="USR-100678"/>
    <d v="2025-01-14T00:00:00"/>
    <x v="0"/>
    <x v="3"/>
    <x v="1"/>
    <x v="1"/>
    <x v="0"/>
    <n v="1"/>
    <n v="0"/>
    <n v="0"/>
    <n v="0"/>
    <n v="0"/>
    <n v="0"/>
    <n v="0"/>
    <m/>
    <n v="77.099999999999994"/>
    <m/>
    <s v="Unique"/>
    <s v="Valid"/>
  </r>
  <r>
    <s v="USR-100679"/>
    <d v="2025-03-27T00:00:00"/>
    <x v="0"/>
    <x v="1"/>
    <x v="1"/>
    <x v="4"/>
    <x v="0"/>
    <n v="1"/>
    <n v="0"/>
    <n v="0"/>
    <n v="0"/>
    <n v="0"/>
    <n v="0"/>
    <n v="0"/>
    <m/>
    <n v="75.900000000000006"/>
    <m/>
    <s v="Unique"/>
    <s v="Valid"/>
  </r>
  <r>
    <s v="USR-100680"/>
    <d v="2025-02-28T00:00:00"/>
    <x v="0"/>
    <x v="0"/>
    <x v="0"/>
    <x v="3"/>
    <x v="2"/>
    <n v="0"/>
    <n v="0"/>
    <n v="0"/>
    <n v="0"/>
    <n v="0"/>
    <n v="1"/>
    <n v="0"/>
    <m/>
    <n v="52"/>
    <m/>
    <s v="Unique"/>
    <s v="Valid"/>
  </r>
  <r>
    <s v="USR-100681"/>
    <d v="2025-05-12T00:00:00"/>
    <x v="0"/>
    <x v="1"/>
    <x v="0"/>
    <x v="3"/>
    <x v="2"/>
    <n v="1"/>
    <n v="1"/>
    <n v="1"/>
    <n v="0"/>
    <n v="0"/>
    <n v="0"/>
    <n v="0"/>
    <m/>
    <n v="64.900000000000006"/>
    <m/>
    <s v="Unique"/>
    <s v="Valid"/>
  </r>
  <r>
    <s v="USR-100682"/>
    <d v="2025-03-14T00:00:00"/>
    <x v="0"/>
    <x v="0"/>
    <x v="1"/>
    <x v="1"/>
    <x v="1"/>
    <n v="1"/>
    <n v="0"/>
    <n v="0"/>
    <n v="0"/>
    <n v="0"/>
    <n v="0"/>
    <n v="0"/>
    <m/>
    <n v="48.2"/>
    <m/>
    <s v="Unique"/>
    <s v="Valid"/>
  </r>
  <r>
    <s v="USR-100683"/>
    <d v="2025-05-20T00:00:00"/>
    <x v="0"/>
    <x v="2"/>
    <x v="1"/>
    <x v="1"/>
    <x v="0"/>
    <n v="0"/>
    <n v="0"/>
    <n v="0"/>
    <n v="0"/>
    <n v="0"/>
    <n v="0"/>
    <n v="0"/>
    <m/>
    <n v="42.1"/>
    <m/>
    <s v="Unique"/>
    <s v="Valid"/>
  </r>
  <r>
    <s v="USR-100684"/>
    <d v="2025-02-24T00:00:00"/>
    <x v="0"/>
    <x v="3"/>
    <x v="0"/>
    <x v="3"/>
    <x v="1"/>
    <n v="0"/>
    <n v="0"/>
    <n v="0"/>
    <n v="0"/>
    <n v="0"/>
    <n v="0"/>
    <n v="0"/>
    <m/>
    <n v="27.6"/>
    <m/>
    <s v="Unique"/>
    <s v="Valid"/>
  </r>
  <r>
    <s v="USR-100685"/>
    <d v="2025-02-13T00:00:00"/>
    <x v="0"/>
    <x v="1"/>
    <x v="1"/>
    <x v="1"/>
    <x v="2"/>
    <n v="1"/>
    <n v="0"/>
    <n v="0"/>
    <n v="0"/>
    <n v="0"/>
    <n v="1"/>
    <n v="0"/>
    <m/>
    <n v="68.5"/>
    <m/>
    <s v="Unique"/>
    <s v="Valid"/>
  </r>
  <r>
    <s v="USR-100686"/>
    <d v="2025-02-06T00:00:00"/>
    <x v="0"/>
    <x v="3"/>
    <x v="0"/>
    <x v="1"/>
    <x v="1"/>
    <n v="1"/>
    <n v="1"/>
    <n v="1"/>
    <n v="0"/>
    <n v="0"/>
    <n v="0"/>
    <n v="0"/>
    <m/>
    <n v="59.2"/>
    <m/>
    <s v="Unique"/>
    <s v="Valid"/>
  </r>
  <r>
    <s v="USR-100687"/>
    <d v="2025-03-02T00:00:00"/>
    <x v="0"/>
    <x v="0"/>
    <x v="1"/>
    <x v="4"/>
    <x v="0"/>
    <n v="1"/>
    <n v="0"/>
    <n v="0"/>
    <n v="0"/>
    <n v="0"/>
    <n v="0"/>
    <n v="0"/>
    <m/>
    <n v="63.3"/>
    <m/>
    <s v="Unique"/>
    <s v="Valid"/>
  </r>
  <r>
    <s v="USR-100688"/>
    <d v="2025-04-28T00:00:00"/>
    <x v="0"/>
    <x v="2"/>
    <x v="0"/>
    <x v="2"/>
    <x v="1"/>
    <n v="0"/>
    <n v="0"/>
    <n v="0"/>
    <n v="0"/>
    <n v="0"/>
    <n v="0"/>
    <n v="0"/>
    <m/>
    <n v="55"/>
    <m/>
    <s v="Unique"/>
    <s v="Valid"/>
  </r>
  <r>
    <s v="USR-100689"/>
    <d v="2025-05-27T00:00:00"/>
    <x v="0"/>
    <x v="0"/>
    <x v="0"/>
    <x v="5"/>
    <x v="2"/>
    <n v="1"/>
    <n v="0"/>
    <n v="0"/>
    <n v="0"/>
    <n v="0"/>
    <n v="0"/>
    <n v="0"/>
    <m/>
    <n v="64.8"/>
    <m/>
    <s v="Unique"/>
    <s v="Valid"/>
  </r>
  <r>
    <s v="USR-100690"/>
    <d v="2025-04-07T00:00:00"/>
    <x v="0"/>
    <x v="3"/>
    <x v="0"/>
    <x v="1"/>
    <x v="0"/>
    <n v="0"/>
    <n v="0"/>
    <n v="0"/>
    <n v="0"/>
    <n v="0"/>
    <n v="2"/>
    <n v="0"/>
    <m/>
    <n v="41.8"/>
    <m/>
    <s v="Unique"/>
    <s v="Valid"/>
  </r>
  <r>
    <s v="USR-100691"/>
    <d v="2025-04-14T00:00:00"/>
    <x v="1"/>
    <x v="2"/>
    <x v="0"/>
    <x v="4"/>
    <x v="0"/>
    <n v="1"/>
    <n v="0"/>
    <n v="0"/>
    <n v="0"/>
    <n v="0"/>
    <n v="0"/>
    <n v="0"/>
    <m/>
    <n v="73.2"/>
    <m/>
    <s v="Unique"/>
    <s v="Valid"/>
  </r>
  <r>
    <s v="USR-100692"/>
    <d v="2025-05-09T00:00:00"/>
    <x v="1"/>
    <x v="2"/>
    <x v="0"/>
    <x v="1"/>
    <x v="0"/>
    <n v="1"/>
    <n v="1"/>
    <n v="1"/>
    <n v="0"/>
    <n v="0"/>
    <n v="3"/>
    <n v="0"/>
    <m/>
    <n v="55.7"/>
    <m/>
    <s v="Unique"/>
    <s v="Valid"/>
  </r>
  <r>
    <s v="USR-100693"/>
    <d v="2025-03-21T00:00:00"/>
    <x v="1"/>
    <x v="0"/>
    <x v="1"/>
    <x v="1"/>
    <x v="1"/>
    <n v="1"/>
    <n v="1"/>
    <n v="1"/>
    <n v="0"/>
    <n v="0"/>
    <n v="0"/>
    <n v="0"/>
    <m/>
    <n v="82.8"/>
    <m/>
    <s v="Unique"/>
    <s v="Valid"/>
  </r>
  <r>
    <s v="USR-100694"/>
    <d v="2025-03-27T00:00:00"/>
    <x v="1"/>
    <x v="0"/>
    <x v="0"/>
    <x v="4"/>
    <x v="1"/>
    <n v="1"/>
    <n v="0"/>
    <n v="0"/>
    <n v="0"/>
    <n v="0"/>
    <n v="0"/>
    <n v="0"/>
    <m/>
    <n v="60.02"/>
    <m/>
    <s v="Unique"/>
    <s v="Valid"/>
  </r>
  <r>
    <s v="USR-100695"/>
    <d v="2025-01-21T00:00:00"/>
    <x v="1"/>
    <x v="3"/>
    <x v="1"/>
    <x v="2"/>
    <x v="1"/>
    <n v="0"/>
    <n v="0"/>
    <n v="0"/>
    <n v="0"/>
    <n v="0"/>
    <n v="0"/>
    <n v="0"/>
    <m/>
    <n v="34.4"/>
    <m/>
    <s v="Unique"/>
    <s v="Valid"/>
  </r>
  <r>
    <s v="USR-100696"/>
    <d v="2025-03-19T00:00:00"/>
    <x v="1"/>
    <x v="2"/>
    <x v="0"/>
    <x v="0"/>
    <x v="1"/>
    <n v="1"/>
    <n v="0"/>
    <n v="0"/>
    <n v="0"/>
    <n v="0"/>
    <n v="0"/>
    <n v="0"/>
    <m/>
    <n v="45.2"/>
    <m/>
    <s v="Unique"/>
    <s v="Valid"/>
  </r>
  <r>
    <s v="USR-100697"/>
    <d v="2025-05-27T00:00:00"/>
    <x v="1"/>
    <x v="0"/>
    <x v="1"/>
    <x v="1"/>
    <x v="0"/>
    <n v="1"/>
    <n v="0"/>
    <n v="0"/>
    <n v="0"/>
    <n v="0"/>
    <n v="0"/>
    <n v="0"/>
    <m/>
    <n v="71.599999999999994"/>
    <m/>
    <s v="Unique"/>
    <s v="Valid"/>
  </r>
  <r>
    <s v="USR-100698"/>
    <d v="2025-01-01T00:00:00"/>
    <x v="1"/>
    <x v="0"/>
    <x v="1"/>
    <x v="4"/>
    <x v="1"/>
    <n v="1"/>
    <n v="1"/>
    <n v="1"/>
    <n v="0"/>
    <n v="0"/>
    <n v="0"/>
    <n v="0"/>
    <m/>
    <n v="69.099999999999994"/>
    <m/>
    <s v="Unique"/>
    <s v="Valid"/>
  </r>
  <r>
    <s v="USR-100699"/>
    <d v="2025-03-29T00:00:00"/>
    <x v="1"/>
    <x v="1"/>
    <x v="0"/>
    <x v="2"/>
    <x v="2"/>
    <n v="1"/>
    <n v="0"/>
    <n v="0"/>
    <n v="0"/>
    <n v="0"/>
    <n v="1"/>
    <n v="0"/>
    <m/>
    <n v="37.700000000000003"/>
    <m/>
    <s v="Unique"/>
    <s v="Valid"/>
  </r>
  <r>
    <s v="USR-100700"/>
    <d v="2025-03-17T00:00:00"/>
    <x v="1"/>
    <x v="1"/>
    <x v="0"/>
    <x v="1"/>
    <x v="0"/>
    <n v="1"/>
    <n v="0"/>
    <n v="0"/>
    <n v="0"/>
    <n v="0"/>
    <n v="1"/>
    <n v="0"/>
    <m/>
    <n v="60.8"/>
    <m/>
    <s v="Unique"/>
    <s v="Valid"/>
  </r>
  <r>
    <s v="USR-100701"/>
    <d v="2025-05-05T00:00:00"/>
    <x v="1"/>
    <x v="0"/>
    <x v="1"/>
    <x v="1"/>
    <x v="1"/>
    <n v="1"/>
    <n v="1"/>
    <n v="1"/>
    <n v="1"/>
    <n v="444.13"/>
    <n v="0"/>
    <n v="0"/>
    <n v="10"/>
    <n v="80.7"/>
    <m/>
    <s v="Unique"/>
    <s v="Valid"/>
  </r>
  <r>
    <s v="USR-100702"/>
    <d v="2025-05-04T00:00:00"/>
    <x v="1"/>
    <x v="3"/>
    <x v="1"/>
    <x v="4"/>
    <x v="1"/>
    <n v="1"/>
    <n v="0"/>
    <n v="0"/>
    <n v="0"/>
    <n v="0"/>
    <n v="0"/>
    <n v="0"/>
    <m/>
    <n v="69.2"/>
    <m/>
    <s v="Unique"/>
    <s v="Valid"/>
  </r>
  <r>
    <s v="USR-100703"/>
    <d v="2025-03-25T00:00:00"/>
    <x v="1"/>
    <x v="0"/>
    <x v="1"/>
    <x v="4"/>
    <x v="2"/>
    <n v="0"/>
    <n v="0"/>
    <n v="0"/>
    <n v="0"/>
    <n v="0"/>
    <n v="3"/>
    <n v="0"/>
    <m/>
    <n v="55"/>
    <m/>
    <s v="Unique"/>
    <s v="Valid"/>
  </r>
  <r>
    <s v="USR-100704"/>
    <d v="2025-04-17T00:00:00"/>
    <x v="1"/>
    <x v="1"/>
    <x v="1"/>
    <x v="0"/>
    <x v="1"/>
    <n v="0"/>
    <n v="0"/>
    <n v="0"/>
    <n v="0"/>
    <n v="0"/>
    <n v="1"/>
    <n v="0"/>
    <m/>
    <n v="73.599999999999994"/>
    <m/>
    <s v="Unique"/>
    <s v="Valid"/>
  </r>
  <r>
    <s v="USR-100705"/>
    <d v="2025-05-23T00:00:00"/>
    <x v="1"/>
    <x v="3"/>
    <x v="1"/>
    <x v="3"/>
    <x v="0"/>
    <n v="1"/>
    <n v="1"/>
    <n v="1"/>
    <n v="0"/>
    <n v="0"/>
    <n v="1"/>
    <n v="0"/>
    <m/>
    <n v="47.3"/>
    <m/>
    <s v="Unique"/>
    <s v="Valid"/>
  </r>
  <r>
    <s v="USR-100706"/>
    <d v="2025-01-13T00:00:00"/>
    <x v="1"/>
    <x v="0"/>
    <x v="1"/>
    <x v="1"/>
    <x v="0"/>
    <n v="0"/>
    <n v="0"/>
    <n v="0"/>
    <n v="0"/>
    <n v="0"/>
    <n v="0"/>
    <n v="0"/>
    <m/>
    <n v="43.6"/>
    <m/>
    <s v="Unique"/>
    <s v="Valid"/>
  </r>
  <r>
    <s v="USR-100707"/>
    <d v="2025-01-29T00:00:00"/>
    <x v="1"/>
    <x v="0"/>
    <x v="0"/>
    <x v="1"/>
    <x v="0"/>
    <n v="1"/>
    <n v="0"/>
    <n v="0"/>
    <n v="0"/>
    <n v="0"/>
    <n v="0"/>
    <n v="0"/>
    <m/>
    <n v="60.02"/>
    <m/>
    <s v="Unique"/>
    <s v="Valid"/>
  </r>
  <r>
    <s v="USR-100708"/>
    <d v="2025-05-11T00:00:00"/>
    <x v="1"/>
    <x v="3"/>
    <x v="1"/>
    <x v="0"/>
    <x v="1"/>
    <n v="0"/>
    <n v="0"/>
    <n v="0"/>
    <n v="0"/>
    <n v="0"/>
    <n v="0"/>
    <n v="0"/>
    <m/>
    <n v="55.2"/>
    <m/>
    <s v="Unique"/>
    <s v="Valid"/>
  </r>
  <r>
    <s v="USR-100709"/>
    <d v="2025-04-22T00:00:00"/>
    <x v="1"/>
    <x v="3"/>
    <x v="1"/>
    <x v="1"/>
    <x v="0"/>
    <n v="1"/>
    <n v="0"/>
    <n v="0"/>
    <n v="0"/>
    <n v="0"/>
    <n v="0"/>
    <n v="0"/>
    <m/>
    <n v="49.4"/>
    <m/>
    <s v="Unique"/>
    <s v="Valid"/>
  </r>
  <r>
    <s v="USR-100710"/>
    <d v="2025-03-03T00:00:00"/>
    <x v="1"/>
    <x v="3"/>
    <x v="1"/>
    <x v="4"/>
    <x v="1"/>
    <n v="1"/>
    <n v="1"/>
    <n v="1"/>
    <n v="0"/>
    <n v="0"/>
    <n v="1"/>
    <n v="0"/>
    <m/>
    <n v="60.1"/>
    <m/>
    <s v="Unique"/>
    <s v="Valid"/>
  </r>
  <r>
    <s v="USR-100711"/>
    <d v="2025-03-18T00:00:00"/>
    <x v="1"/>
    <x v="0"/>
    <x v="1"/>
    <x v="3"/>
    <x v="1"/>
    <n v="1"/>
    <n v="0"/>
    <n v="0"/>
    <n v="0"/>
    <n v="0"/>
    <n v="0"/>
    <n v="0"/>
    <m/>
    <n v="55.9"/>
    <m/>
    <s v="Unique"/>
    <s v="Valid"/>
  </r>
  <r>
    <s v="USR-100712"/>
    <d v="2025-04-05T00:00:00"/>
    <x v="1"/>
    <x v="0"/>
    <x v="1"/>
    <x v="1"/>
    <x v="0"/>
    <n v="1"/>
    <n v="0"/>
    <n v="0"/>
    <n v="0"/>
    <n v="0"/>
    <n v="0"/>
    <n v="0"/>
    <m/>
    <n v="51.5"/>
    <m/>
    <s v="Unique"/>
    <s v="Valid"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11"/>
    <n v="57.9"/>
    <m/>
    <s v="Unique"/>
    <s v="Valid"/>
  </r>
  <r>
    <s v="USR-100714"/>
    <d v="2025-04-20T00:00:00"/>
    <x v="1"/>
    <x v="3"/>
    <x v="1"/>
    <x v="3"/>
    <x v="1"/>
    <n v="1"/>
    <n v="1"/>
    <n v="1"/>
    <n v="1"/>
    <n v="277.18"/>
    <n v="2"/>
    <n v="0"/>
    <n v="8"/>
    <n v="59.2"/>
    <m/>
    <s v="Unique"/>
    <s v="Valid"/>
  </r>
  <r>
    <s v="USR-100715"/>
    <d v="2025-02-15T00:00:00"/>
    <x v="1"/>
    <x v="3"/>
    <x v="1"/>
    <x v="1"/>
    <x v="1"/>
    <n v="0"/>
    <n v="0"/>
    <n v="0"/>
    <n v="0"/>
    <n v="0"/>
    <n v="0"/>
    <n v="0"/>
    <m/>
    <n v="64.2"/>
    <m/>
    <s v="Unique"/>
    <s v="Valid"/>
  </r>
  <r>
    <s v="USR-100716"/>
    <d v="2025-01-21T00:00:00"/>
    <x v="1"/>
    <x v="3"/>
    <x v="1"/>
    <x v="1"/>
    <x v="1"/>
    <n v="1"/>
    <n v="0"/>
    <n v="0"/>
    <n v="0"/>
    <n v="0"/>
    <n v="0"/>
    <n v="0"/>
    <m/>
    <n v="68.8"/>
    <m/>
    <s v="Unique"/>
    <s v="Valid"/>
  </r>
  <r>
    <s v="USR-100717"/>
    <d v="2025-05-23T00:00:00"/>
    <x v="1"/>
    <x v="0"/>
    <x v="1"/>
    <x v="2"/>
    <x v="2"/>
    <n v="1"/>
    <n v="1"/>
    <n v="1"/>
    <n v="0"/>
    <n v="0"/>
    <n v="0"/>
    <n v="0"/>
    <m/>
    <n v="77.900000000000006"/>
    <m/>
    <s v="Unique"/>
    <s v="Valid"/>
  </r>
  <r>
    <s v="USR-100718"/>
    <d v="2025-01-22T00:00:00"/>
    <x v="1"/>
    <x v="1"/>
    <x v="1"/>
    <x v="2"/>
    <x v="0"/>
    <n v="0"/>
    <n v="0"/>
    <n v="0"/>
    <n v="0"/>
    <n v="0"/>
    <n v="0"/>
    <n v="0"/>
    <m/>
    <n v="92.1"/>
    <m/>
    <s v="Unique"/>
    <s v="Valid"/>
  </r>
  <r>
    <s v="USR-100719"/>
    <d v="2025-04-24T00:00:00"/>
    <x v="1"/>
    <x v="1"/>
    <x v="1"/>
    <x v="2"/>
    <x v="2"/>
    <n v="0"/>
    <n v="0"/>
    <n v="0"/>
    <n v="0"/>
    <n v="0"/>
    <n v="0"/>
    <n v="0"/>
    <m/>
    <n v="63.6"/>
    <m/>
    <s v="Unique"/>
    <s v="Valid"/>
  </r>
  <r>
    <s v="USR-100720"/>
    <d v="2025-01-17T00:00:00"/>
    <x v="1"/>
    <x v="1"/>
    <x v="0"/>
    <x v="0"/>
    <x v="1"/>
    <n v="0"/>
    <n v="0"/>
    <n v="0"/>
    <n v="0"/>
    <n v="0"/>
    <n v="2"/>
    <n v="0"/>
    <m/>
    <n v="61.6"/>
    <m/>
    <s v="Unique"/>
    <s v="Valid"/>
  </r>
  <r>
    <s v="USR-100721"/>
    <d v="2025-01-22T00:00:00"/>
    <x v="1"/>
    <x v="2"/>
    <x v="1"/>
    <x v="3"/>
    <x v="0"/>
    <n v="1"/>
    <n v="1"/>
    <n v="0"/>
    <n v="0"/>
    <n v="0"/>
    <n v="0"/>
    <n v="0"/>
    <m/>
    <n v="82.3"/>
    <m/>
    <s v="Unique"/>
    <s v="Valid"/>
  </r>
  <r>
    <s v="USR-100722"/>
    <d v="2025-05-04T00:00:00"/>
    <x v="1"/>
    <x v="2"/>
    <x v="0"/>
    <x v="2"/>
    <x v="1"/>
    <n v="1"/>
    <n v="0"/>
    <n v="0"/>
    <n v="0"/>
    <n v="0"/>
    <n v="0"/>
    <n v="0"/>
    <m/>
    <n v="79.3"/>
    <m/>
    <s v="Unique"/>
    <s v="Valid"/>
  </r>
  <r>
    <s v="USR-100723"/>
    <d v="2025-03-13T00:00:00"/>
    <x v="1"/>
    <x v="3"/>
    <x v="1"/>
    <x v="5"/>
    <x v="1"/>
    <n v="0"/>
    <n v="0"/>
    <n v="0"/>
    <n v="0"/>
    <n v="0"/>
    <n v="0"/>
    <n v="0"/>
    <m/>
    <n v="57.7"/>
    <m/>
    <s v="Unique"/>
    <s v="Valid"/>
  </r>
  <r>
    <s v="USR-100724"/>
    <d v="2025-01-02T00:00:00"/>
    <x v="1"/>
    <x v="0"/>
    <x v="1"/>
    <x v="1"/>
    <x v="0"/>
    <n v="1"/>
    <n v="0"/>
    <n v="0"/>
    <n v="0"/>
    <n v="0"/>
    <n v="0"/>
    <n v="0"/>
    <m/>
    <n v="63.1"/>
    <m/>
    <s v="Unique"/>
    <s v="Valid"/>
  </r>
  <r>
    <s v="USR-100725"/>
    <d v="2025-01-13T00:00:00"/>
    <x v="1"/>
    <x v="2"/>
    <x v="1"/>
    <x v="2"/>
    <x v="0"/>
    <n v="0"/>
    <n v="0"/>
    <n v="0"/>
    <n v="0"/>
    <n v="0"/>
    <n v="0"/>
    <n v="0"/>
    <m/>
    <n v="72.3"/>
    <m/>
    <s v="Unique"/>
    <s v="Valid"/>
  </r>
  <r>
    <s v="USR-100726"/>
    <d v="2025-02-09T00:00:00"/>
    <x v="1"/>
    <x v="2"/>
    <x v="1"/>
    <x v="4"/>
    <x v="1"/>
    <n v="1"/>
    <n v="1"/>
    <n v="1"/>
    <n v="0"/>
    <n v="0"/>
    <n v="0"/>
    <n v="0"/>
    <m/>
    <n v="78"/>
    <m/>
    <s v="Unique"/>
    <s v="Valid"/>
  </r>
  <r>
    <s v="USR-100727"/>
    <d v="2025-04-09T00:00:00"/>
    <x v="1"/>
    <x v="2"/>
    <x v="0"/>
    <x v="4"/>
    <x v="1"/>
    <n v="1"/>
    <n v="1"/>
    <n v="0"/>
    <n v="0"/>
    <n v="0"/>
    <n v="2"/>
    <n v="0"/>
    <m/>
    <n v="59.1"/>
    <m/>
    <s v="Unique"/>
    <s v="Valid"/>
  </r>
  <r>
    <s v="USR-100728"/>
    <d v="2025-01-02T00:00:00"/>
    <x v="1"/>
    <x v="3"/>
    <x v="1"/>
    <x v="2"/>
    <x v="1"/>
    <n v="1"/>
    <n v="1"/>
    <n v="1"/>
    <n v="1"/>
    <n v="604.09"/>
    <n v="0"/>
    <n v="0"/>
    <n v="7"/>
    <n v="47.1"/>
    <m/>
    <s v="Unique"/>
    <s v="Valid"/>
  </r>
  <r>
    <s v="USR-100729"/>
    <d v="2025-02-04T00:00:00"/>
    <x v="1"/>
    <x v="3"/>
    <x v="1"/>
    <x v="5"/>
    <x v="2"/>
    <n v="1"/>
    <n v="0"/>
    <n v="0"/>
    <n v="0"/>
    <n v="0"/>
    <n v="0"/>
    <n v="0"/>
    <m/>
    <n v="64.900000000000006"/>
    <m/>
    <s v="Unique"/>
    <s v="Valid"/>
  </r>
  <r>
    <s v="USR-100730"/>
    <d v="2025-02-19T00:00:00"/>
    <x v="1"/>
    <x v="3"/>
    <x v="2"/>
    <x v="2"/>
    <x v="1"/>
    <n v="0"/>
    <n v="0"/>
    <n v="0"/>
    <n v="0"/>
    <n v="0"/>
    <n v="0"/>
    <n v="0"/>
    <m/>
    <n v="67.3"/>
    <m/>
    <s v="Unique"/>
    <s v="Valid"/>
  </r>
  <r>
    <s v="USR-100731"/>
    <d v="2025-04-01T00:00:00"/>
    <x v="1"/>
    <x v="2"/>
    <x v="1"/>
    <x v="2"/>
    <x v="0"/>
    <n v="1"/>
    <n v="0"/>
    <n v="0"/>
    <n v="0"/>
    <n v="0"/>
    <n v="2"/>
    <n v="0"/>
    <m/>
    <n v="52.9"/>
    <m/>
    <s v="Unique"/>
    <s v="Valid"/>
  </r>
  <r>
    <s v="USR-100732"/>
    <d v="2025-01-29T00:00:00"/>
    <x v="1"/>
    <x v="0"/>
    <x v="1"/>
    <x v="3"/>
    <x v="1"/>
    <n v="1"/>
    <n v="1"/>
    <n v="1"/>
    <n v="1"/>
    <n v="442.37"/>
    <n v="1"/>
    <n v="0"/>
    <n v="4"/>
    <n v="69.900000000000006"/>
    <m/>
    <s v="Unique"/>
    <s v="Valid"/>
  </r>
  <r>
    <s v="USR-100733"/>
    <d v="2025-05-18T00:00:00"/>
    <x v="1"/>
    <x v="0"/>
    <x v="1"/>
    <x v="3"/>
    <x v="0"/>
    <n v="1"/>
    <n v="1"/>
    <n v="1"/>
    <n v="0"/>
    <n v="0"/>
    <n v="0"/>
    <n v="0"/>
    <m/>
    <n v="78.900000000000006"/>
    <m/>
    <s v="Unique"/>
    <s v="Valid"/>
  </r>
  <r>
    <s v="USR-100734"/>
    <d v="2025-04-15T00:00:00"/>
    <x v="1"/>
    <x v="2"/>
    <x v="0"/>
    <x v="4"/>
    <x v="2"/>
    <n v="1"/>
    <n v="1"/>
    <n v="0"/>
    <n v="0"/>
    <n v="0"/>
    <n v="0"/>
    <n v="0"/>
    <m/>
    <n v="83.3"/>
    <m/>
    <s v="Unique"/>
    <s v="Valid"/>
  </r>
  <r>
    <s v="USR-100735"/>
    <d v="2025-03-28T00:00:00"/>
    <x v="1"/>
    <x v="2"/>
    <x v="0"/>
    <x v="0"/>
    <x v="1"/>
    <n v="1"/>
    <n v="0"/>
    <n v="0"/>
    <n v="0"/>
    <n v="0"/>
    <n v="1"/>
    <n v="0"/>
    <m/>
    <n v="24.5"/>
    <m/>
    <s v="Unique"/>
    <s v="Valid"/>
  </r>
  <r>
    <s v="USR-100736"/>
    <d v="2025-04-01T00:00:00"/>
    <x v="1"/>
    <x v="1"/>
    <x v="1"/>
    <x v="2"/>
    <x v="0"/>
    <n v="1"/>
    <n v="1"/>
    <n v="0"/>
    <n v="0"/>
    <n v="0"/>
    <n v="1"/>
    <n v="0"/>
    <m/>
    <n v="56.9"/>
    <m/>
    <s v="Unique"/>
    <s v="Valid"/>
  </r>
  <r>
    <s v="USR-100737"/>
    <d v="2025-02-11T00:00:00"/>
    <x v="1"/>
    <x v="1"/>
    <x v="1"/>
    <x v="4"/>
    <x v="0"/>
    <n v="1"/>
    <n v="0"/>
    <n v="0"/>
    <n v="0"/>
    <n v="0"/>
    <n v="0"/>
    <n v="0"/>
    <m/>
    <n v="69.900000000000006"/>
    <m/>
    <s v="Unique"/>
    <s v="Valid"/>
  </r>
  <r>
    <s v="USR-100738"/>
    <d v="2025-03-04T00:00:00"/>
    <x v="1"/>
    <x v="3"/>
    <x v="1"/>
    <x v="1"/>
    <x v="1"/>
    <n v="1"/>
    <n v="1"/>
    <n v="1"/>
    <n v="0"/>
    <n v="0"/>
    <n v="0"/>
    <n v="0"/>
    <m/>
    <n v="81.5"/>
    <m/>
    <s v="Unique"/>
    <s v="Valid"/>
  </r>
  <r>
    <s v="USR-100739"/>
    <d v="2025-01-21T00:00:00"/>
    <x v="1"/>
    <x v="0"/>
    <x v="2"/>
    <x v="4"/>
    <x v="0"/>
    <n v="0"/>
    <n v="0"/>
    <n v="0"/>
    <n v="0"/>
    <n v="0"/>
    <n v="2"/>
    <n v="0"/>
    <m/>
    <n v="37.9"/>
    <m/>
    <s v="Unique"/>
    <s v="Valid"/>
  </r>
  <r>
    <s v="USR-100740"/>
    <d v="2025-02-14T00:00:00"/>
    <x v="1"/>
    <x v="0"/>
    <x v="1"/>
    <x v="3"/>
    <x v="1"/>
    <n v="0"/>
    <n v="0"/>
    <n v="0"/>
    <n v="0"/>
    <n v="0"/>
    <n v="1"/>
    <n v="0"/>
    <m/>
    <n v="61.7"/>
    <m/>
    <s v="Unique"/>
    <s v="Valid"/>
  </r>
  <r>
    <s v="USR-100741"/>
    <d v="2025-03-30T00:00:00"/>
    <x v="1"/>
    <x v="0"/>
    <x v="0"/>
    <x v="5"/>
    <x v="2"/>
    <n v="1"/>
    <n v="0"/>
    <n v="0"/>
    <n v="0"/>
    <n v="0"/>
    <n v="2"/>
    <n v="0"/>
    <m/>
    <n v="53.2"/>
    <m/>
    <s v="Unique"/>
    <s v="Valid"/>
  </r>
  <r>
    <s v="USR-100742"/>
    <d v="2025-01-08T00:00:00"/>
    <x v="1"/>
    <x v="0"/>
    <x v="1"/>
    <x v="3"/>
    <x v="1"/>
    <n v="0"/>
    <n v="0"/>
    <n v="0"/>
    <n v="0"/>
    <n v="0"/>
    <n v="0"/>
    <n v="0"/>
    <m/>
    <n v="61.9"/>
    <m/>
    <s v="Unique"/>
    <s v="Valid"/>
  </r>
  <r>
    <s v="USR-100743"/>
    <d v="2025-02-07T00:00:00"/>
    <x v="1"/>
    <x v="0"/>
    <x v="1"/>
    <x v="4"/>
    <x v="1"/>
    <n v="1"/>
    <n v="1"/>
    <n v="1"/>
    <n v="0"/>
    <n v="0"/>
    <n v="0"/>
    <n v="0"/>
    <m/>
    <n v="68.900000000000006"/>
    <m/>
    <s v="Unique"/>
    <s v="Valid"/>
  </r>
  <r>
    <s v="USR-100744"/>
    <d v="2025-02-01T00:00:00"/>
    <x v="1"/>
    <x v="0"/>
    <x v="2"/>
    <x v="2"/>
    <x v="0"/>
    <n v="0"/>
    <n v="0"/>
    <n v="0"/>
    <n v="0"/>
    <n v="0"/>
    <n v="0"/>
    <n v="0"/>
    <m/>
    <n v="66.3"/>
    <m/>
    <s v="Unique"/>
    <s v="Valid"/>
  </r>
  <r>
    <s v="USR-100745"/>
    <d v="2025-01-04T00:00:00"/>
    <x v="1"/>
    <x v="2"/>
    <x v="1"/>
    <x v="0"/>
    <x v="1"/>
    <n v="1"/>
    <n v="1"/>
    <n v="1"/>
    <n v="0"/>
    <n v="0"/>
    <n v="0"/>
    <n v="0"/>
    <m/>
    <n v="54.6"/>
    <m/>
    <s v="Unique"/>
    <s v="Valid"/>
  </r>
  <r>
    <s v="USR-100746"/>
    <d v="2025-05-16T00:00:00"/>
    <x v="1"/>
    <x v="3"/>
    <x v="0"/>
    <x v="3"/>
    <x v="1"/>
    <n v="0"/>
    <n v="0"/>
    <n v="0"/>
    <n v="0"/>
    <n v="0"/>
    <n v="0"/>
    <n v="0"/>
    <m/>
    <n v="53.8"/>
    <m/>
    <s v="Unique"/>
    <s v="Valid"/>
  </r>
  <r>
    <s v="USR-100747"/>
    <d v="2025-02-28T00:00:00"/>
    <x v="1"/>
    <x v="1"/>
    <x v="1"/>
    <x v="3"/>
    <x v="1"/>
    <n v="1"/>
    <n v="0"/>
    <n v="0"/>
    <n v="0"/>
    <n v="0"/>
    <n v="0"/>
    <n v="0"/>
    <m/>
    <n v="59.5"/>
    <m/>
    <s v="Unique"/>
    <s v="Valid"/>
  </r>
  <r>
    <s v="USR-100748"/>
    <d v="2025-04-12T00:00:00"/>
    <x v="1"/>
    <x v="0"/>
    <x v="1"/>
    <x v="3"/>
    <x v="1"/>
    <n v="1"/>
    <n v="0"/>
    <n v="0"/>
    <n v="0"/>
    <n v="0"/>
    <n v="0"/>
    <n v="0"/>
    <m/>
    <n v="52.6"/>
    <m/>
    <s v="Unique"/>
    <s v="Valid"/>
  </r>
  <r>
    <s v="USR-100749"/>
    <d v="2025-03-23T00:00:00"/>
    <x v="1"/>
    <x v="3"/>
    <x v="0"/>
    <x v="1"/>
    <x v="1"/>
    <n v="0"/>
    <n v="0"/>
    <n v="0"/>
    <n v="0"/>
    <n v="0"/>
    <n v="0"/>
    <n v="0"/>
    <m/>
    <n v="49"/>
    <m/>
    <s v="Unique"/>
    <s v="Valid"/>
  </r>
  <r>
    <s v="USR-100750"/>
    <d v="2025-05-29T00:00:00"/>
    <x v="1"/>
    <x v="0"/>
    <x v="2"/>
    <x v="1"/>
    <x v="1"/>
    <n v="1"/>
    <n v="0"/>
    <n v="0"/>
    <n v="0"/>
    <n v="0"/>
    <n v="0"/>
    <n v="0"/>
    <m/>
    <n v="59.3"/>
    <m/>
    <s v="Unique"/>
    <s v="Valid"/>
  </r>
  <r>
    <s v="USR-100751"/>
    <d v="2025-05-21T00:00:00"/>
    <x v="1"/>
    <x v="3"/>
    <x v="0"/>
    <x v="1"/>
    <x v="0"/>
    <n v="0"/>
    <n v="0"/>
    <n v="0"/>
    <n v="0"/>
    <n v="0"/>
    <n v="0"/>
    <n v="0"/>
    <m/>
    <n v="67.2"/>
    <m/>
    <s v="Unique"/>
    <s v="Valid"/>
  </r>
  <r>
    <s v="USR-100752"/>
    <d v="2025-01-05T00:00:00"/>
    <x v="1"/>
    <x v="3"/>
    <x v="1"/>
    <x v="3"/>
    <x v="2"/>
    <n v="0"/>
    <n v="0"/>
    <n v="0"/>
    <n v="0"/>
    <n v="0"/>
    <n v="0"/>
    <n v="0"/>
    <m/>
    <n v="73.5"/>
    <m/>
    <s v="Unique"/>
    <s v="Valid"/>
  </r>
  <r>
    <s v="USR-100753"/>
    <d v="2025-03-19T00:00:00"/>
    <x v="1"/>
    <x v="2"/>
    <x v="2"/>
    <x v="1"/>
    <x v="1"/>
    <n v="1"/>
    <n v="0"/>
    <n v="0"/>
    <n v="0"/>
    <n v="0"/>
    <n v="0"/>
    <n v="0"/>
    <m/>
    <n v="61.2"/>
    <m/>
    <s v="Unique"/>
    <s v="Valid"/>
  </r>
  <r>
    <s v="USR-100754"/>
    <d v="2025-04-24T00:00:00"/>
    <x v="1"/>
    <x v="2"/>
    <x v="1"/>
    <x v="1"/>
    <x v="1"/>
    <n v="1"/>
    <n v="0"/>
    <n v="0"/>
    <n v="0"/>
    <n v="0"/>
    <n v="1"/>
    <n v="0"/>
    <m/>
    <n v="56.4"/>
    <m/>
    <s v="Unique"/>
    <s v="Valid"/>
  </r>
  <r>
    <s v="USR-100755"/>
    <d v="2025-03-10T00:00:00"/>
    <x v="1"/>
    <x v="0"/>
    <x v="2"/>
    <x v="1"/>
    <x v="1"/>
    <n v="0"/>
    <n v="0"/>
    <n v="0"/>
    <n v="0"/>
    <n v="0"/>
    <n v="3"/>
    <n v="0"/>
    <m/>
    <n v="72.599999999999994"/>
    <m/>
    <s v="Unique"/>
    <s v="Valid"/>
  </r>
  <r>
    <s v="USR-100756"/>
    <d v="2025-02-22T00:00:00"/>
    <x v="1"/>
    <x v="3"/>
    <x v="2"/>
    <x v="3"/>
    <x v="0"/>
    <n v="1"/>
    <n v="0"/>
    <n v="0"/>
    <n v="0"/>
    <n v="0"/>
    <n v="0"/>
    <n v="0"/>
    <m/>
    <n v="61.7"/>
    <m/>
    <s v="Unique"/>
    <s v="Valid"/>
  </r>
  <r>
    <s v="USR-100757"/>
    <d v="2025-05-17T00:00:00"/>
    <x v="1"/>
    <x v="2"/>
    <x v="1"/>
    <x v="4"/>
    <x v="1"/>
    <n v="0"/>
    <n v="0"/>
    <n v="0"/>
    <n v="0"/>
    <n v="0"/>
    <n v="1"/>
    <n v="0"/>
    <m/>
    <n v="66.900000000000006"/>
    <m/>
    <s v="Unique"/>
    <s v="Valid"/>
  </r>
  <r>
    <s v="USR-100758"/>
    <d v="2025-05-09T00:00:00"/>
    <x v="1"/>
    <x v="2"/>
    <x v="2"/>
    <x v="3"/>
    <x v="2"/>
    <n v="1"/>
    <n v="1"/>
    <n v="1"/>
    <n v="1"/>
    <n v="1506.24"/>
    <n v="1"/>
    <n v="0"/>
    <n v="7"/>
    <n v="64.900000000000006"/>
    <m/>
    <s v="Unique"/>
    <s v="Valid"/>
  </r>
  <r>
    <s v="USR-100759"/>
    <d v="2025-04-26T00:00:00"/>
    <x v="1"/>
    <x v="2"/>
    <x v="2"/>
    <x v="1"/>
    <x v="2"/>
    <n v="1"/>
    <n v="0"/>
    <n v="0"/>
    <n v="0"/>
    <n v="0"/>
    <n v="0"/>
    <n v="0"/>
    <m/>
    <n v="57.5"/>
    <m/>
    <s v="Unique"/>
    <s v="Valid"/>
  </r>
  <r>
    <s v="USR-100760"/>
    <d v="2025-03-15T00:00:00"/>
    <x v="1"/>
    <x v="1"/>
    <x v="0"/>
    <x v="4"/>
    <x v="1"/>
    <n v="1"/>
    <n v="1"/>
    <n v="1"/>
    <n v="0"/>
    <n v="0"/>
    <n v="0"/>
    <n v="0"/>
    <m/>
    <n v="76.3"/>
    <m/>
    <s v="Unique"/>
    <s v="Valid"/>
  </r>
  <r>
    <s v="USR-100761"/>
    <d v="2025-04-03T00:00:00"/>
    <x v="1"/>
    <x v="0"/>
    <x v="1"/>
    <x v="2"/>
    <x v="1"/>
    <n v="0"/>
    <n v="0"/>
    <n v="0"/>
    <n v="0"/>
    <n v="0"/>
    <n v="0"/>
    <n v="0"/>
    <m/>
    <n v="47.5"/>
    <m/>
    <s v="Unique"/>
    <s v="Valid"/>
  </r>
  <r>
    <s v="USR-100762"/>
    <d v="2025-03-26T00:00:00"/>
    <x v="1"/>
    <x v="3"/>
    <x v="1"/>
    <x v="2"/>
    <x v="1"/>
    <n v="0"/>
    <n v="0"/>
    <n v="0"/>
    <n v="0"/>
    <n v="0"/>
    <n v="0"/>
    <n v="0"/>
    <m/>
    <n v="60.02"/>
    <m/>
    <s v="Unique"/>
    <s v="Valid"/>
  </r>
  <r>
    <s v="USR-100763"/>
    <d v="2025-02-05T00:00:00"/>
    <x v="1"/>
    <x v="1"/>
    <x v="0"/>
    <x v="1"/>
    <x v="0"/>
    <n v="1"/>
    <n v="1"/>
    <n v="0"/>
    <n v="0"/>
    <n v="0"/>
    <n v="2"/>
    <n v="0"/>
    <m/>
    <n v="71.599999999999994"/>
    <m/>
    <s v="Unique"/>
    <s v="Valid"/>
  </r>
  <r>
    <s v="USR-100764"/>
    <d v="2025-05-08T00:00:00"/>
    <x v="1"/>
    <x v="3"/>
    <x v="1"/>
    <x v="4"/>
    <x v="0"/>
    <n v="1"/>
    <n v="1"/>
    <n v="0"/>
    <n v="0"/>
    <n v="0"/>
    <n v="0"/>
    <n v="0"/>
    <m/>
    <n v="55.8"/>
    <m/>
    <s v="Unique"/>
    <s v="Valid"/>
  </r>
  <r>
    <s v="USR-100765"/>
    <d v="2025-03-25T00:00:00"/>
    <x v="1"/>
    <x v="3"/>
    <x v="0"/>
    <x v="1"/>
    <x v="0"/>
    <n v="0"/>
    <n v="0"/>
    <n v="0"/>
    <n v="0"/>
    <n v="0"/>
    <n v="1"/>
    <n v="0"/>
    <m/>
    <n v="60.1"/>
    <m/>
    <s v="Unique"/>
    <s v="Valid"/>
  </r>
  <r>
    <s v="USR-100766"/>
    <d v="2025-01-14T00:00:00"/>
    <x v="1"/>
    <x v="1"/>
    <x v="3"/>
    <x v="0"/>
    <x v="0"/>
    <n v="1"/>
    <n v="1"/>
    <n v="1"/>
    <n v="0"/>
    <n v="0"/>
    <n v="1"/>
    <n v="0"/>
    <m/>
    <n v="59.3"/>
    <m/>
    <s v="Unique"/>
    <s v="Valid"/>
  </r>
  <r>
    <s v="USR-100767"/>
    <d v="2025-03-26T00:00:00"/>
    <x v="1"/>
    <x v="0"/>
    <x v="1"/>
    <x v="1"/>
    <x v="1"/>
    <n v="1"/>
    <n v="1"/>
    <n v="0"/>
    <n v="0"/>
    <n v="0"/>
    <n v="2"/>
    <n v="0"/>
    <m/>
    <n v="49.3"/>
    <m/>
    <s v="Unique"/>
    <s v="Valid"/>
  </r>
  <r>
    <s v="USR-100768"/>
    <d v="2025-01-16T00:00:00"/>
    <x v="1"/>
    <x v="2"/>
    <x v="1"/>
    <x v="3"/>
    <x v="1"/>
    <n v="1"/>
    <n v="0"/>
    <n v="0"/>
    <n v="0"/>
    <n v="0"/>
    <n v="0"/>
    <n v="0"/>
    <m/>
    <n v="75"/>
    <m/>
    <s v="Unique"/>
    <s v="Valid"/>
  </r>
  <r>
    <s v="USR-100769"/>
    <d v="2025-01-04T00:00:00"/>
    <x v="1"/>
    <x v="2"/>
    <x v="1"/>
    <x v="4"/>
    <x v="1"/>
    <n v="1"/>
    <n v="0"/>
    <n v="0"/>
    <n v="0"/>
    <n v="0"/>
    <n v="0"/>
    <n v="0"/>
    <m/>
    <n v="70.2"/>
    <m/>
    <s v="Unique"/>
    <s v="Valid"/>
  </r>
  <r>
    <s v="USR-100770"/>
    <d v="2025-02-09T00:00:00"/>
    <x v="1"/>
    <x v="3"/>
    <x v="0"/>
    <x v="1"/>
    <x v="2"/>
    <n v="1"/>
    <n v="1"/>
    <n v="1"/>
    <n v="0"/>
    <n v="0"/>
    <n v="0"/>
    <n v="0"/>
    <m/>
    <n v="56.6"/>
    <m/>
    <s v="Unique"/>
    <s v="Valid"/>
  </r>
  <r>
    <s v="USR-100771"/>
    <d v="2025-03-05T00:00:00"/>
    <x v="1"/>
    <x v="2"/>
    <x v="0"/>
    <x v="1"/>
    <x v="1"/>
    <n v="1"/>
    <n v="0"/>
    <n v="0"/>
    <n v="0"/>
    <n v="0"/>
    <n v="0"/>
    <n v="0"/>
    <m/>
    <n v="65.400000000000006"/>
    <m/>
    <s v="Unique"/>
    <s v="Valid"/>
  </r>
  <r>
    <s v="USR-100772"/>
    <d v="2025-03-10T00:00:00"/>
    <x v="1"/>
    <x v="2"/>
    <x v="1"/>
    <x v="3"/>
    <x v="0"/>
    <n v="1"/>
    <n v="0"/>
    <n v="0"/>
    <n v="0"/>
    <n v="0"/>
    <n v="0"/>
    <n v="0"/>
    <m/>
    <n v="47.6"/>
    <m/>
    <s v="Unique"/>
    <s v="Valid"/>
  </r>
  <r>
    <s v="USR-100773"/>
    <d v="2025-02-27T00:00:00"/>
    <x v="1"/>
    <x v="2"/>
    <x v="0"/>
    <x v="2"/>
    <x v="1"/>
    <n v="1"/>
    <n v="0"/>
    <n v="0"/>
    <n v="0"/>
    <n v="0"/>
    <n v="0"/>
    <n v="0"/>
    <m/>
    <n v="56.7"/>
    <m/>
    <s v="Unique"/>
    <s v="Valid"/>
  </r>
  <r>
    <s v="USR-100774"/>
    <d v="2025-03-10T00:00:00"/>
    <x v="1"/>
    <x v="0"/>
    <x v="0"/>
    <x v="3"/>
    <x v="0"/>
    <n v="1"/>
    <n v="1"/>
    <n v="0"/>
    <n v="0"/>
    <n v="0"/>
    <n v="0"/>
    <n v="0"/>
    <m/>
    <n v="71.400000000000006"/>
    <m/>
    <s v="Unique"/>
    <s v="Valid"/>
  </r>
  <r>
    <s v="USR-100775"/>
    <d v="2025-04-23T00:00:00"/>
    <x v="1"/>
    <x v="1"/>
    <x v="1"/>
    <x v="4"/>
    <x v="1"/>
    <n v="0"/>
    <n v="0"/>
    <n v="0"/>
    <n v="0"/>
    <n v="0"/>
    <n v="2"/>
    <n v="0"/>
    <m/>
    <n v="60.5"/>
    <m/>
    <s v="Unique"/>
    <s v="Valid"/>
  </r>
  <r>
    <s v="USR-100776"/>
    <d v="2025-04-12T00:00:00"/>
    <x v="1"/>
    <x v="0"/>
    <x v="0"/>
    <x v="2"/>
    <x v="1"/>
    <n v="1"/>
    <n v="0"/>
    <n v="0"/>
    <n v="0"/>
    <n v="0"/>
    <n v="0"/>
    <n v="0"/>
    <m/>
    <n v="46.7"/>
    <m/>
    <s v="Unique"/>
    <s v="Valid"/>
  </r>
  <r>
    <s v="USR-100777"/>
    <d v="2025-01-26T00:00:00"/>
    <x v="1"/>
    <x v="2"/>
    <x v="0"/>
    <x v="3"/>
    <x v="1"/>
    <n v="0"/>
    <n v="0"/>
    <n v="0"/>
    <n v="0"/>
    <n v="0"/>
    <n v="0"/>
    <n v="0"/>
    <m/>
    <n v="61"/>
    <m/>
    <s v="Unique"/>
    <s v="Valid"/>
  </r>
  <r>
    <s v="USR-100778"/>
    <d v="2025-05-24T00:00:00"/>
    <x v="1"/>
    <x v="1"/>
    <x v="2"/>
    <x v="2"/>
    <x v="1"/>
    <n v="0"/>
    <n v="0"/>
    <n v="0"/>
    <n v="0"/>
    <n v="0"/>
    <n v="0"/>
    <n v="0"/>
    <m/>
    <n v="60.9"/>
    <m/>
    <s v="Unique"/>
    <s v="Valid"/>
  </r>
  <r>
    <s v="USR-100779"/>
    <d v="2025-01-08T00:00:00"/>
    <x v="1"/>
    <x v="3"/>
    <x v="1"/>
    <x v="1"/>
    <x v="1"/>
    <n v="1"/>
    <n v="0"/>
    <n v="0"/>
    <n v="0"/>
    <n v="0"/>
    <n v="0"/>
    <n v="0"/>
    <m/>
    <n v="67.099999999999994"/>
    <m/>
    <s v="Unique"/>
    <s v="Valid"/>
  </r>
  <r>
    <s v="USR-100780"/>
    <d v="2025-04-15T00:00:00"/>
    <x v="1"/>
    <x v="0"/>
    <x v="1"/>
    <x v="3"/>
    <x v="1"/>
    <n v="1"/>
    <n v="1"/>
    <n v="0"/>
    <n v="0"/>
    <n v="0"/>
    <n v="0"/>
    <n v="0"/>
    <m/>
    <n v="59.6"/>
    <m/>
    <s v="Unique"/>
    <s v="Valid"/>
  </r>
  <r>
    <s v="USR-100781"/>
    <d v="2025-01-15T00:00:00"/>
    <x v="1"/>
    <x v="3"/>
    <x v="0"/>
    <x v="2"/>
    <x v="1"/>
    <n v="1"/>
    <n v="0"/>
    <n v="0"/>
    <n v="0"/>
    <n v="0"/>
    <n v="0"/>
    <n v="0"/>
    <m/>
    <n v="83.8"/>
    <m/>
    <s v="Unique"/>
    <s v="Valid"/>
  </r>
  <r>
    <s v="USR-100782"/>
    <d v="2025-02-28T00:00:00"/>
    <x v="1"/>
    <x v="0"/>
    <x v="1"/>
    <x v="1"/>
    <x v="0"/>
    <n v="1"/>
    <n v="1"/>
    <n v="1"/>
    <n v="0"/>
    <n v="0"/>
    <n v="0"/>
    <n v="0"/>
    <m/>
    <n v="70.8"/>
    <m/>
    <s v="Unique"/>
    <s v="Valid"/>
  </r>
  <r>
    <s v="USR-100783"/>
    <d v="2025-01-01T00:00:00"/>
    <x v="1"/>
    <x v="0"/>
    <x v="2"/>
    <x v="1"/>
    <x v="0"/>
    <n v="0"/>
    <n v="0"/>
    <n v="0"/>
    <n v="0"/>
    <n v="0"/>
    <n v="0"/>
    <n v="0"/>
    <m/>
    <n v="65.900000000000006"/>
    <m/>
    <s v="Unique"/>
    <s v="Valid"/>
  </r>
  <r>
    <s v="USR-100784"/>
    <d v="2025-04-17T00:00:00"/>
    <x v="1"/>
    <x v="1"/>
    <x v="1"/>
    <x v="3"/>
    <x v="1"/>
    <n v="1"/>
    <n v="0"/>
    <n v="0"/>
    <n v="0"/>
    <n v="0"/>
    <n v="0"/>
    <n v="0"/>
    <m/>
    <n v="58"/>
    <m/>
    <s v="Unique"/>
    <s v="Valid"/>
  </r>
  <r>
    <s v="USR-100785"/>
    <d v="2025-02-19T00:00:00"/>
    <x v="1"/>
    <x v="0"/>
    <x v="1"/>
    <x v="0"/>
    <x v="0"/>
    <n v="1"/>
    <n v="1"/>
    <n v="0"/>
    <n v="0"/>
    <n v="0"/>
    <n v="0"/>
    <n v="0"/>
    <m/>
    <n v="80.3"/>
    <m/>
    <s v="Unique"/>
    <s v="Valid"/>
  </r>
  <r>
    <s v="USR-100786"/>
    <d v="2025-03-14T00:00:00"/>
    <x v="1"/>
    <x v="0"/>
    <x v="0"/>
    <x v="1"/>
    <x v="1"/>
    <n v="1"/>
    <n v="0"/>
    <n v="0"/>
    <n v="0"/>
    <n v="0"/>
    <n v="0"/>
    <n v="0"/>
    <m/>
    <n v="55.7"/>
    <m/>
    <s v="Unique"/>
    <s v="Valid"/>
  </r>
  <r>
    <s v="USR-100787"/>
    <d v="2025-04-21T00:00:00"/>
    <x v="1"/>
    <x v="0"/>
    <x v="1"/>
    <x v="1"/>
    <x v="1"/>
    <n v="1"/>
    <n v="1"/>
    <n v="0"/>
    <n v="0"/>
    <n v="0"/>
    <n v="0"/>
    <n v="0"/>
    <m/>
    <n v="84.9"/>
    <m/>
    <s v="Unique"/>
    <s v="Valid"/>
  </r>
  <r>
    <s v="USR-100788"/>
    <d v="2025-02-14T00:00:00"/>
    <x v="1"/>
    <x v="0"/>
    <x v="1"/>
    <x v="1"/>
    <x v="1"/>
    <n v="1"/>
    <n v="0"/>
    <n v="0"/>
    <n v="0"/>
    <n v="0"/>
    <n v="0"/>
    <n v="0"/>
    <m/>
    <n v="63.3"/>
    <m/>
    <s v="Unique"/>
    <s v="Valid"/>
  </r>
  <r>
    <s v="USR-100789"/>
    <d v="2025-05-30T00:00:00"/>
    <x v="1"/>
    <x v="1"/>
    <x v="1"/>
    <x v="1"/>
    <x v="1"/>
    <n v="0"/>
    <n v="0"/>
    <n v="0"/>
    <n v="0"/>
    <n v="0"/>
    <n v="0"/>
    <n v="0"/>
    <m/>
    <n v="53.1"/>
    <m/>
    <s v="Unique"/>
    <s v="Valid"/>
  </r>
  <r>
    <s v="USR-100790"/>
    <d v="2025-01-20T00:00:00"/>
    <x v="1"/>
    <x v="1"/>
    <x v="1"/>
    <x v="1"/>
    <x v="1"/>
    <n v="0"/>
    <n v="0"/>
    <n v="0"/>
    <n v="0"/>
    <n v="0"/>
    <n v="0"/>
    <n v="0"/>
    <m/>
    <n v="66"/>
    <m/>
    <s v="Unique"/>
    <s v="Valid"/>
  </r>
  <r>
    <s v="USR-100791"/>
    <d v="2025-03-17T00:00:00"/>
    <x v="1"/>
    <x v="1"/>
    <x v="1"/>
    <x v="4"/>
    <x v="2"/>
    <n v="0"/>
    <n v="0"/>
    <n v="0"/>
    <n v="0"/>
    <n v="0"/>
    <n v="0"/>
    <n v="0"/>
    <m/>
    <n v="54.7"/>
    <m/>
    <s v="Unique"/>
    <s v="Valid"/>
  </r>
  <r>
    <s v="USR-100792"/>
    <d v="2025-03-04T00:00:00"/>
    <x v="1"/>
    <x v="1"/>
    <x v="1"/>
    <x v="4"/>
    <x v="1"/>
    <n v="1"/>
    <n v="1"/>
    <n v="0"/>
    <n v="0"/>
    <n v="0"/>
    <n v="1"/>
    <n v="0"/>
    <m/>
    <n v="41.2"/>
    <m/>
    <s v="Unique"/>
    <s v="Valid"/>
  </r>
  <r>
    <s v="USR-100793"/>
    <d v="2025-02-22T00:00:00"/>
    <x v="1"/>
    <x v="3"/>
    <x v="1"/>
    <x v="1"/>
    <x v="2"/>
    <n v="0"/>
    <n v="0"/>
    <n v="0"/>
    <n v="0"/>
    <n v="0"/>
    <n v="0"/>
    <n v="0"/>
    <m/>
    <n v="66.7"/>
    <m/>
    <s v="Unique"/>
    <s v="Valid"/>
  </r>
  <r>
    <s v="USR-100794"/>
    <d v="2025-05-02T00:00:00"/>
    <x v="1"/>
    <x v="0"/>
    <x v="1"/>
    <x v="2"/>
    <x v="2"/>
    <n v="0"/>
    <n v="0"/>
    <n v="0"/>
    <n v="0"/>
    <n v="0"/>
    <n v="0"/>
    <n v="0"/>
    <m/>
    <n v="39.4"/>
    <m/>
    <s v="Unique"/>
    <s v="Valid"/>
  </r>
  <r>
    <s v="USR-100795"/>
    <d v="2025-03-13T00:00:00"/>
    <x v="1"/>
    <x v="1"/>
    <x v="0"/>
    <x v="1"/>
    <x v="2"/>
    <n v="0"/>
    <n v="0"/>
    <n v="0"/>
    <n v="0"/>
    <n v="0"/>
    <n v="3"/>
    <n v="0"/>
    <m/>
    <n v="67"/>
    <m/>
    <s v="Unique"/>
    <s v="Valid"/>
  </r>
  <r>
    <s v="USR-100796"/>
    <d v="2025-05-31T00:00:00"/>
    <x v="1"/>
    <x v="3"/>
    <x v="1"/>
    <x v="1"/>
    <x v="0"/>
    <n v="1"/>
    <n v="0"/>
    <n v="0"/>
    <n v="0"/>
    <n v="0"/>
    <n v="0"/>
    <n v="0"/>
    <m/>
    <n v="50.4"/>
    <m/>
    <s v="Unique"/>
    <s v="Valid"/>
  </r>
  <r>
    <s v="USR-100797"/>
    <d v="2025-03-07T00:00:00"/>
    <x v="1"/>
    <x v="1"/>
    <x v="0"/>
    <x v="4"/>
    <x v="1"/>
    <n v="1"/>
    <n v="0"/>
    <n v="0"/>
    <n v="0"/>
    <n v="0"/>
    <n v="0"/>
    <n v="0"/>
    <m/>
    <n v="53.8"/>
    <m/>
    <s v="Unique"/>
    <s v="Valid"/>
  </r>
  <r>
    <s v="USR-100798"/>
    <d v="2025-02-22T00:00:00"/>
    <x v="1"/>
    <x v="1"/>
    <x v="1"/>
    <x v="2"/>
    <x v="0"/>
    <n v="0"/>
    <n v="0"/>
    <n v="0"/>
    <n v="0"/>
    <n v="0"/>
    <n v="1"/>
    <n v="0"/>
    <m/>
    <n v="82.7"/>
    <m/>
    <s v="Unique"/>
    <s v="Valid"/>
  </r>
  <r>
    <s v="USR-100799"/>
    <d v="2025-01-05T00:00:00"/>
    <x v="1"/>
    <x v="1"/>
    <x v="0"/>
    <x v="2"/>
    <x v="1"/>
    <n v="1"/>
    <n v="1"/>
    <n v="1"/>
    <n v="0"/>
    <n v="0"/>
    <n v="0"/>
    <n v="0"/>
    <m/>
    <n v="63.9"/>
    <m/>
    <s v="Unique"/>
    <s v="Valid"/>
  </r>
  <r>
    <s v="USR-100800"/>
    <d v="2025-01-21T00:00:00"/>
    <x v="1"/>
    <x v="1"/>
    <x v="1"/>
    <x v="3"/>
    <x v="1"/>
    <n v="1"/>
    <n v="0"/>
    <n v="0"/>
    <n v="0"/>
    <n v="0"/>
    <n v="0"/>
    <n v="0"/>
    <m/>
    <n v="61.9"/>
    <m/>
    <s v="Unique"/>
    <s v="Valid"/>
  </r>
  <r>
    <s v="USR-100801"/>
    <d v="2025-01-25T00:00:00"/>
    <x v="1"/>
    <x v="0"/>
    <x v="0"/>
    <x v="4"/>
    <x v="1"/>
    <n v="1"/>
    <n v="1"/>
    <n v="1"/>
    <n v="0"/>
    <n v="0"/>
    <n v="0"/>
    <n v="0"/>
    <m/>
    <n v="75"/>
    <m/>
    <s v="Unique"/>
    <s v="Valid"/>
  </r>
  <r>
    <s v="USR-100802"/>
    <d v="2025-04-04T00:00:00"/>
    <x v="1"/>
    <x v="1"/>
    <x v="1"/>
    <x v="2"/>
    <x v="0"/>
    <n v="1"/>
    <n v="1"/>
    <n v="1"/>
    <n v="0"/>
    <n v="0"/>
    <n v="0"/>
    <n v="0"/>
    <m/>
    <n v="43"/>
    <m/>
    <s v="Unique"/>
    <s v="Valid"/>
  </r>
  <r>
    <s v="USR-100803"/>
    <d v="2025-03-25T00:00:00"/>
    <x v="1"/>
    <x v="0"/>
    <x v="0"/>
    <x v="4"/>
    <x v="2"/>
    <n v="0"/>
    <n v="0"/>
    <n v="0"/>
    <n v="0"/>
    <n v="0"/>
    <n v="0"/>
    <n v="0"/>
    <m/>
    <n v="54.3"/>
    <m/>
    <s v="Unique"/>
    <s v="Valid"/>
  </r>
  <r>
    <s v="USR-100804"/>
    <d v="2025-03-19T00:00:00"/>
    <x v="1"/>
    <x v="1"/>
    <x v="1"/>
    <x v="4"/>
    <x v="1"/>
    <n v="0"/>
    <n v="0"/>
    <n v="0"/>
    <n v="0"/>
    <n v="0"/>
    <n v="2"/>
    <n v="0"/>
    <m/>
    <n v="44.3"/>
    <m/>
    <s v="Unique"/>
    <s v="Valid"/>
  </r>
  <r>
    <s v="USR-100805"/>
    <d v="2025-04-24T00:00:00"/>
    <x v="1"/>
    <x v="1"/>
    <x v="0"/>
    <x v="1"/>
    <x v="1"/>
    <n v="1"/>
    <n v="1"/>
    <n v="1"/>
    <n v="1"/>
    <n v="402.88"/>
    <n v="0"/>
    <n v="0"/>
    <n v="12"/>
    <n v="76"/>
    <m/>
    <s v="Unique"/>
    <s v="Valid"/>
  </r>
  <r>
    <s v="USR-100806"/>
    <d v="2025-04-04T00:00:00"/>
    <x v="1"/>
    <x v="3"/>
    <x v="2"/>
    <x v="1"/>
    <x v="1"/>
    <n v="1"/>
    <n v="0"/>
    <n v="0"/>
    <n v="0"/>
    <n v="0"/>
    <n v="2"/>
    <n v="0"/>
    <m/>
    <n v="65.3"/>
    <m/>
    <s v="Unique"/>
    <s v="Valid"/>
  </r>
  <r>
    <s v="USR-100807"/>
    <d v="2025-03-28T00:00:00"/>
    <x v="1"/>
    <x v="3"/>
    <x v="0"/>
    <x v="2"/>
    <x v="2"/>
    <n v="1"/>
    <n v="0"/>
    <n v="0"/>
    <n v="0"/>
    <n v="0"/>
    <n v="0"/>
    <n v="0"/>
    <m/>
    <n v="71.2"/>
    <m/>
    <s v="Unique"/>
    <s v="Valid"/>
  </r>
  <r>
    <s v="USR-100808"/>
    <d v="2025-05-15T00:00:00"/>
    <x v="1"/>
    <x v="3"/>
    <x v="2"/>
    <x v="2"/>
    <x v="1"/>
    <n v="1"/>
    <n v="0"/>
    <n v="0"/>
    <n v="0"/>
    <n v="0"/>
    <n v="0"/>
    <n v="0"/>
    <m/>
    <n v="77.900000000000006"/>
    <m/>
    <s v="Unique"/>
    <s v="Valid"/>
  </r>
  <r>
    <s v="USR-100809"/>
    <d v="2025-03-13T00:00:00"/>
    <x v="1"/>
    <x v="1"/>
    <x v="1"/>
    <x v="2"/>
    <x v="1"/>
    <n v="0"/>
    <n v="0"/>
    <n v="0"/>
    <n v="0"/>
    <n v="0"/>
    <n v="0"/>
    <n v="0"/>
    <m/>
    <n v="48.6"/>
    <m/>
    <s v="Unique"/>
    <s v="Valid"/>
  </r>
  <r>
    <s v="USR-100810"/>
    <d v="2025-03-26T00:00:00"/>
    <x v="1"/>
    <x v="0"/>
    <x v="1"/>
    <x v="4"/>
    <x v="2"/>
    <n v="1"/>
    <n v="0"/>
    <n v="0"/>
    <n v="0"/>
    <n v="0"/>
    <n v="0"/>
    <n v="0"/>
    <m/>
    <n v="61.9"/>
    <m/>
    <s v="Unique"/>
    <s v="Valid"/>
  </r>
  <r>
    <s v="USR-100811"/>
    <d v="2025-01-09T00:00:00"/>
    <x v="1"/>
    <x v="0"/>
    <x v="1"/>
    <x v="4"/>
    <x v="0"/>
    <n v="0"/>
    <n v="0"/>
    <n v="0"/>
    <n v="0"/>
    <n v="0"/>
    <n v="1"/>
    <n v="0"/>
    <m/>
    <n v="58.7"/>
    <m/>
    <s v="Unique"/>
    <s v="Valid"/>
  </r>
  <r>
    <s v="USR-100812"/>
    <d v="2025-05-06T00:00:00"/>
    <x v="1"/>
    <x v="3"/>
    <x v="0"/>
    <x v="2"/>
    <x v="1"/>
    <n v="1"/>
    <n v="0"/>
    <n v="0"/>
    <n v="0"/>
    <n v="0"/>
    <n v="0"/>
    <n v="0"/>
    <m/>
    <n v="69.599999999999994"/>
    <m/>
    <s v="Unique"/>
    <s v="Valid"/>
  </r>
  <r>
    <s v="USR-100813"/>
    <d v="2025-02-17T00:00:00"/>
    <x v="1"/>
    <x v="3"/>
    <x v="1"/>
    <x v="1"/>
    <x v="1"/>
    <n v="1"/>
    <n v="0"/>
    <n v="0"/>
    <n v="0"/>
    <n v="0"/>
    <n v="0"/>
    <n v="0"/>
    <m/>
    <n v="51.5"/>
    <m/>
    <s v="Unique"/>
    <s v="Valid"/>
  </r>
  <r>
    <s v="USR-100814"/>
    <d v="2025-04-05T00:00:00"/>
    <x v="1"/>
    <x v="2"/>
    <x v="1"/>
    <x v="2"/>
    <x v="1"/>
    <n v="1"/>
    <n v="1"/>
    <n v="1"/>
    <n v="1"/>
    <n v="277.69"/>
    <n v="3"/>
    <n v="0"/>
    <n v="8"/>
    <n v="46"/>
    <m/>
    <s v="Unique"/>
    <s v="Valid"/>
  </r>
  <r>
    <s v="USR-100815"/>
    <d v="2025-04-13T00:00:00"/>
    <x v="1"/>
    <x v="1"/>
    <x v="2"/>
    <x v="1"/>
    <x v="1"/>
    <n v="1"/>
    <n v="0"/>
    <n v="0"/>
    <n v="0"/>
    <n v="0"/>
    <n v="0"/>
    <n v="0"/>
    <m/>
    <n v="81.7"/>
    <m/>
    <s v="Unique"/>
    <s v="Valid"/>
  </r>
  <r>
    <s v="USR-100816"/>
    <d v="2025-05-20T00:00:00"/>
    <x v="1"/>
    <x v="2"/>
    <x v="0"/>
    <x v="3"/>
    <x v="1"/>
    <n v="1"/>
    <n v="0"/>
    <n v="0"/>
    <n v="0"/>
    <n v="0"/>
    <n v="0"/>
    <n v="0"/>
    <m/>
    <n v="48.3"/>
    <m/>
    <s v="Unique"/>
    <s v="Valid"/>
  </r>
  <r>
    <s v="USR-100817"/>
    <d v="2025-03-31T00:00:00"/>
    <x v="1"/>
    <x v="2"/>
    <x v="1"/>
    <x v="0"/>
    <x v="1"/>
    <n v="1"/>
    <n v="1"/>
    <n v="0"/>
    <n v="0"/>
    <n v="0"/>
    <n v="0"/>
    <n v="0"/>
    <m/>
    <n v="85.6"/>
    <m/>
    <s v="Unique"/>
    <s v="Valid"/>
  </r>
  <r>
    <s v="USR-100818"/>
    <d v="2025-04-03T00:00:00"/>
    <x v="1"/>
    <x v="1"/>
    <x v="2"/>
    <x v="2"/>
    <x v="0"/>
    <n v="1"/>
    <n v="0"/>
    <n v="0"/>
    <n v="0"/>
    <n v="0"/>
    <n v="0"/>
    <n v="0"/>
    <m/>
    <n v="53.8"/>
    <m/>
    <s v="Unique"/>
    <s v="Valid"/>
  </r>
  <r>
    <s v="USR-100819"/>
    <d v="2025-02-04T00:00:00"/>
    <x v="1"/>
    <x v="3"/>
    <x v="1"/>
    <x v="1"/>
    <x v="1"/>
    <n v="1"/>
    <n v="1"/>
    <n v="1"/>
    <n v="1"/>
    <n v="460.83"/>
    <n v="2"/>
    <n v="0"/>
    <n v="0"/>
    <n v="69.7"/>
    <m/>
    <s v="Unique"/>
    <s v="Valid"/>
  </r>
  <r>
    <s v="USR-100820"/>
    <d v="2025-05-19T00:00:00"/>
    <x v="1"/>
    <x v="2"/>
    <x v="1"/>
    <x v="1"/>
    <x v="1"/>
    <n v="1"/>
    <n v="0"/>
    <n v="0"/>
    <n v="0"/>
    <n v="0"/>
    <n v="0"/>
    <n v="0"/>
    <m/>
    <n v="74.8"/>
    <m/>
    <s v="Unique"/>
    <s v="Valid"/>
  </r>
  <r>
    <s v="USR-100821"/>
    <d v="2025-03-08T00:00:00"/>
    <x v="1"/>
    <x v="2"/>
    <x v="0"/>
    <x v="2"/>
    <x v="0"/>
    <n v="0"/>
    <n v="0"/>
    <n v="0"/>
    <n v="0"/>
    <n v="0"/>
    <n v="0"/>
    <n v="0"/>
    <m/>
    <n v="87.9"/>
    <m/>
    <s v="Unique"/>
    <s v="Valid"/>
  </r>
  <r>
    <s v="USR-100822"/>
    <d v="2025-05-10T00:00:00"/>
    <x v="1"/>
    <x v="0"/>
    <x v="1"/>
    <x v="4"/>
    <x v="0"/>
    <n v="1"/>
    <n v="0"/>
    <n v="0"/>
    <n v="0"/>
    <n v="0"/>
    <n v="1"/>
    <n v="0"/>
    <m/>
    <n v="49.1"/>
    <m/>
    <s v="Unique"/>
    <s v="Valid"/>
  </r>
  <r>
    <s v="USR-100823"/>
    <d v="2025-01-02T00:00:00"/>
    <x v="1"/>
    <x v="2"/>
    <x v="0"/>
    <x v="4"/>
    <x v="0"/>
    <n v="1"/>
    <n v="0"/>
    <n v="0"/>
    <n v="0"/>
    <n v="0"/>
    <n v="2"/>
    <n v="0"/>
    <m/>
    <n v="73"/>
    <m/>
    <s v="Unique"/>
    <s v="Valid"/>
  </r>
  <r>
    <s v="USR-100824"/>
    <d v="2025-01-17T00:00:00"/>
    <x v="1"/>
    <x v="1"/>
    <x v="1"/>
    <x v="1"/>
    <x v="0"/>
    <n v="0"/>
    <n v="0"/>
    <n v="0"/>
    <n v="0"/>
    <n v="0"/>
    <n v="0"/>
    <n v="0"/>
    <m/>
    <n v="79.5"/>
    <m/>
    <s v="Unique"/>
    <s v="Valid"/>
  </r>
  <r>
    <s v="USR-100825"/>
    <d v="2025-05-21T00:00:00"/>
    <x v="1"/>
    <x v="1"/>
    <x v="1"/>
    <x v="3"/>
    <x v="0"/>
    <n v="1"/>
    <n v="1"/>
    <n v="1"/>
    <n v="1"/>
    <n v="782.23"/>
    <n v="1"/>
    <n v="0"/>
    <n v="6"/>
    <n v="93.2"/>
    <m/>
    <s v="Unique"/>
    <s v="Valid"/>
  </r>
  <r>
    <s v="USR-100826"/>
    <d v="2025-05-25T00:00:00"/>
    <x v="1"/>
    <x v="2"/>
    <x v="0"/>
    <x v="3"/>
    <x v="1"/>
    <n v="1"/>
    <n v="0"/>
    <n v="0"/>
    <n v="0"/>
    <n v="0"/>
    <n v="3"/>
    <n v="0"/>
    <m/>
    <n v="77.5"/>
    <m/>
    <s v="Unique"/>
    <s v="Valid"/>
  </r>
  <r>
    <s v="USR-100827"/>
    <d v="2025-01-05T00:00:00"/>
    <x v="1"/>
    <x v="1"/>
    <x v="1"/>
    <x v="0"/>
    <x v="0"/>
    <n v="1"/>
    <n v="0"/>
    <n v="0"/>
    <n v="0"/>
    <n v="0"/>
    <n v="0"/>
    <n v="0"/>
    <m/>
    <n v="61"/>
    <m/>
    <s v="Unique"/>
    <s v="Valid"/>
  </r>
  <r>
    <s v="USR-100828"/>
    <d v="2025-02-24T00:00:00"/>
    <x v="1"/>
    <x v="3"/>
    <x v="0"/>
    <x v="1"/>
    <x v="1"/>
    <n v="1"/>
    <n v="1"/>
    <n v="0"/>
    <n v="0"/>
    <n v="0"/>
    <n v="0"/>
    <n v="0"/>
    <m/>
    <n v="64.900000000000006"/>
    <m/>
    <s v="Unique"/>
    <s v="Valid"/>
  </r>
  <r>
    <s v="USR-100829"/>
    <d v="2025-01-21T00:00:00"/>
    <x v="1"/>
    <x v="2"/>
    <x v="1"/>
    <x v="2"/>
    <x v="0"/>
    <n v="1"/>
    <n v="0"/>
    <n v="0"/>
    <n v="0"/>
    <n v="0"/>
    <n v="0"/>
    <n v="0"/>
    <m/>
    <n v="87.5"/>
    <m/>
    <s v="Unique"/>
    <s v="Valid"/>
  </r>
  <r>
    <s v="USR-100830"/>
    <d v="2025-04-24T00:00:00"/>
    <x v="1"/>
    <x v="0"/>
    <x v="1"/>
    <x v="1"/>
    <x v="0"/>
    <n v="1"/>
    <n v="1"/>
    <n v="1"/>
    <n v="1"/>
    <n v="1171.99"/>
    <n v="0"/>
    <n v="0"/>
    <n v="5"/>
    <n v="80.599999999999994"/>
    <m/>
    <s v="Unique"/>
    <s v="Valid"/>
  </r>
  <r>
    <s v="USR-100831"/>
    <d v="2025-01-07T00:00:00"/>
    <x v="1"/>
    <x v="1"/>
    <x v="0"/>
    <x v="1"/>
    <x v="1"/>
    <n v="1"/>
    <n v="0"/>
    <n v="0"/>
    <n v="0"/>
    <n v="0"/>
    <n v="0"/>
    <n v="0"/>
    <m/>
    <n v="66.900000000000006"/>
    <m/>
    <s v="Unique"/>
    <s v="Valid"/>
  </r>
  <r>
    <s v="USR-100832"/>
    <d v="2025-05-31T00:00:00"/>
    <x v="1"/>
    <x v="3"/>
    <x v="2"/>
    <x v="1"/>
    <x v="0"/>
    <n v="1"/>
    <n v="1"/>
    <n v="1"/>
    <n v="0"/>
    <n v="0"/>
    <n v="0"/>
    <n v="0"/>
    <m/>
    <n v="58.8"/>
    <m/>
    <s v="Unique"/>
    <s v="Valid"/>
  </r>
  <r>
    <s v="USR-100833"/>
    <d v="2025-04-02T00:00:00"/>
    <x v="1"/>
    <x v="0"/>
    <x v="0"/>
    <x v="1"/>
    <x v="0"/>
    <n v="1"/>
    <n v="1"/>
    <n v="1"/>
    <n v="1"/>
    <n v="1010.4"/>
    <n v="0"/>
    <n v="0"/>
    <n v="4"/>
    <n v="42.9"/>
    <m/>
    <s v="Unique"/>
    <s v="Valid"/>
  </r>
  <r>
    <s v="USR-100834"/>
    <d v="2025-04-21T00:00:00"/>
    <x v="1"/>
    <x v="2"/>
    <x v="1"/>
    <x v="1"/>
    <x v="1"/>
    <n v="1"/>
    <n v="1"/>
    <n v="1"/>
    <n v="0"/>
    <n v="0"/>
    <n v="1"/>
    <n v="0"/>
    <m/>
    <n v="60.2"/>
    <m/>
    <s v="Unique"/>
    <s v="Valid"/>
  </r>
  <r>
    <s v="USR-100835"/>
    <d v="2025-05-05T00:00:00"/>
    <x v="1"/>
    <x v="2"/>
    <x v="1"/>
    <x v="2"/>
    <x v="0"/>
    <n v="1"/>
    <n v="0"/>
    <n v="0"/>
    <n v="0"/>
    <n v="0"/>
    <n v="0"/>
    <n v="0"/>
    <m/>
    <n v="42.7"/>
    <m/>
    <s v="Unique"/>
    <s v="Valid"/>
  </r>
  <r>
    <s v="USR-100836"/>
    <d v="2025-01-06T00:00:00"/>
    <x v="1"/>
    <x v="0"/>
    <x v="0"/>
    <x v="4"/>
    <x v="1"/>
    <n v="1"/>
    <n v="1"/>
    <n v="1"/>
    <n v="1"/>
    <n v="431.27"/>
    <n v="0"/>
    <n v="0"/>
    <n v="7"/>
    <n v="60.8"/>
    <m/>
    <s v="Unique"/>
    <s v="Valid"/>
  </r>
  <r>
    <s v="USR-100837"/>
    <d v="2025-04-24T00:00:00"/>
    <x v="1"/>
    <x v="3"/>
    <x v="1"/>
    <x v="3"/>
    <x v="1"/>
    <n v="1"/>
    <n v="1"/>
    <n v="1"/>
    <n v="1"/>
    <n v="428.8"/>
    <n v="0"/>
    <n v="0"/>
    <n v="9"/>
    <n v="79.3"/>
    <m/>
    <s v="Unique"/>
    <s v="Valid"/>
  </r>
  <r>
    <s v="USR-100838"/>
    <d v="2025-04-21T00:00:00"/>
    <x v="1"/>
    <x v="3"/>
    <x v="1"/>
    <x v="1"/>
    <x v="0"/>
    <n v="1"/>
    <n v="0"/>
    <n v="0"/>
    <n v="0"/>
    <n v="0"/>
    <n v="1"/>
    <n v="0"/>
    <m/>
    <n v="88.6"/>
    <m/>
    <s v="Unique"/>
    <s v="Valid"/>
  </r>
  <r>
    <s v="USR-100839"/>
    <d v="2025-02-09T00:00:00"/>
    <x v="1"/>
    <x v="1"/>
    <x v="1"/>
    <x v="1"/>
    <x v="0"/>
    <n v="1"/>
    <n v="1"/>
    <n v="1"/>
    <n v="0"/>
    <n v="0"/>
    <n v="0"/>
    <n v="0"/>
    <m/>
    <n v="63.1"/>
    <m/>
    <s v="Unique"/>
    <s v="Valid"/>
  </r>
  <r>
    <s v="USR-100840"/>
    <d v="2025-01-09T00:00:00"/>
    <x v="1"/>
    <x v="2"/>
    <x v="1"/>
    <x v="1"/>
    <x v="2"/>
    <n v="1"/>
    <n v="0"/>
    <n v="0"/>
    <n v="0"/>
    <n v="0"/>
    <n v="0"/>
    <n v="0"/>
    <m/>
    <n v="39.700000000000003"/>
    <m/>
    <s v="Unique"/>
    <s v="Valid"/>
  </r>
  <r>
    <s v="USR-100841"/>
    <d v="2025-02-16T00:00:00"/>
    <x v="1"/>
    <x v="0"/>
    <x v="1"/>
    <x v="2"/>
    <x v="0"/>
    <n v="0"/>
    <n v="0"/>
    <n v="0"/>
    <n v="0"/>
    <n v="0"/>
    <n v="0"/>
    <n v="0"/>
    <m/>
    <n v="67.2"/>
    <m/>
    <s v="Unique"/>
    <s v="Valid"/>
  </r>
  <r>
    <s v="USR-100842"/>
    <d v="2025-02-21T00:00:00"/>
    <x v="1"/>
    <x v="3"/>
    <x v="1"/>
    <x v="1"/>
    <x v="1"/>
    <n v="1"/>
    <n v="1"/>
    <n v="1"/>
    <n v="0"/>
    <n v="0"/>
    <n v="0"/>
    <n v="0"/>
    <m/>
    <n v="62.3"/>
    <m/>
    <s v="Unique"/>
    <s v="Valid"/>
  </r>
  <r>
    <s v="USR-100843"/>
    <d v="2025-02-08T00:00:00"/>
    <x v="1"/>
    <x v="3"/>
    <x v="1"/>
    <x v="1"/>
    <x v="2"/>
    <n v="1"/>
    <n v="0"/>
    <n v="0"/>
    <n v="0"/>
    <n v="0"/>
    <n v="0"/>
    <n v="0"/>
    <m/>
    <n v="60.02"/>
    <m/>
    <s v="Unique"/>
    <s v="Valid"/>
  </r>
  <r>
    <s v="USR-100844"/>
    <d v="2025-01-22T00:00:00"/>
    <x v="1"/>
    <x v="3"/>
    <x v="1"/>
    <x v="2"/>
    <x v="2"/>
    <n v="0"/>
    <n v="0"/>
    <n v="0"/>
    <n v="0"/>
    <n v="0"/>
    <n v="0"/>
    <n v="0"/>
    <m/>
    <n v="60.7"/>
    <m/>
    <s v="Unique"/>
    <s v="Valid"/>
  </r>
  <r>
    <s v="USR-100845"/>
    <d v="2025-04-01T00:00:00"/>
    <x v="1"/>
    <x v="1"/>
    <x v="1"/>
    <x v="1"/>
    <x v="0"/>
    <n v="1"/>
    <n v="0"/>
    <n v="0"/>
    <n v="0"/>
    <n v="0"/>
    <n v="0"/>
    <n v="0"/>
    <m/>
    <n v="61.5"/>
    <m/>
    <s v="Unique"/>
    <s v="Valid"/>
  </r>
  <r>
    <s v="USR-100846"/>
    <d v="2025-01-21T00:00:00"/>
    <x v="1"/>
    <x v="0"/>
    <x v="1"/>
    <x v="2"/>
    <x v="0"/>
    <n v="1"/>
    <n v="0"/>
    <n v="0"/>
    <n v="0"/>
    <n v="0"/>
    <n v="0"/>
    <n v="0"/>
    <m/>
    <n v="75"/>
    <m/>
    <s v="Unique"/>
    <s v="Valid"/>
  </r>
  <r>
    <s v="USR-100847"/>
    <d v="2025-01-02T00:00:00"/>
    <x v="1"/>
    <x v="2"/>
    <x v="0"/>
    <x v="1"/>
    <x v="1"/>
    <n v="1"/>
    <n v="1"/>
    <n v="0"/>
    <n v="0"/>
    <n v="0"/>
    <n v="0"/>
    <n v="0"/>
    <m/>
    <n v="51.9"/>
    <m/>
    <s v="Unique"/>
    <s v="Valid"/>
  </r>
  <r>
    <s v="USR-100848"/>
    <d v="2025-05-12T00:00:00"/>
    <x v="1"/>
    <x v="3"/>
    <x v="0"/>
    <x v="2"/>
    <x v="1"/>
    <n v="0"/>
    <n v="0"/>
    <n v="0"/>
    <n v="0"/>
    <n v="0"/>
    <n v="0"/>
    <n v="0"/>
    <m/>
    <n v="34.5"/>
    <m/>
    <s v="Unique"/>
    <s v="Valid"/>
  </r>
  <r>
    <s v="USR-100849"/>
    <d v="2025-03-05T00:00:00"/>
    <x v="1"/>
    <x v="3"/>
    <x v="1"/>
    <x v="4"/>
    <x v="0"/>
    <n v="0"/>
    <n v="0"/>
    <n v="0"/>
    <n v="0"/>
    <n v="0"/>
    <n v="0"/>
    <n v="0"/>
    <m/>
    <n v="54.5"/>
    <m/>
    <s v="Unique"/>
    <s v="Valid"/>
  </r>
  <r>
    <s v="USR-100850"/>
    <d v="2025-01-24T00:00:00"/>
    <x v="1"/>
    <x v="2"/>
    <x v="1"/>
    <x v="1"/>
    <x v="1"/>
    <n v="0"/>
    <n v="0"/>
    <n v="0"/>
    <n v="0"/>
    <n v="0"/>
    <n v="0"/>
    <n v="0"/>
    <m/>
    <n v="46"/>
    <m/>
    <s v="Unique"/>
    <s v="Valid"/>
  </r>
  <r>
    <s v="USR-100851"/>
    <d v="2025-01-31T00:00:00"/>
    <x v="1"/>
    <x v="2"/>
    <x v="0"/>
    <x v="0"/>
    <x v="1"/>
    <n v="1"/>
    <n v="1"/>
    <n v="1"/>
    <n v="0"/>
    <n v="0"/>
    <n v="0"/>
    <n v="0"/>
    <m/>
    <n v="88.4"/>
    <m/>
    <s v="Unique"/>
    <s v="Valid"/>
  </r>
  <r>
    <s v="USR-100852"/>
    <d v="2025-01-24T00:00:00"/>
    <x v="1"/>
    <x v="0"/>
    <x v="2"/>
    <x v="1"/>
    <x v="0"/>
    <n v="1"/>
    <n v="0"/>
    <n v="0"/>
    <n v="0"/>
    <n v="0"/>
    <n v="0"/>
    <n v="0"/>
    <m/>
    <n v="69.5"/>
    <m/>
    <s v="Unique"/>
    <s v="Valid"/>
  </r>
  <r>
    <s v="USR-100853"/>
    <d v="2025-02-14T00:00:00"/>
    <x v="1"/>
    <x v="0"/>
    <x v="0"/>
    <x v="3"/>
    <x v="0"/>
    <n v="1"/>
    <n v="1"/>
    <n v="1"/>
    <n v="0"/>
    <n v="0"/>
    <n v="0"/>
    <n v="0"/>
    <m/>
    <n v="74.2"/>
    <m/>
    <s v="Unique"/>
    <s v="Valid"/>
  </r>
  <r>
    <s v="USR-100854"/>
    <d v="2025-05-27T00:00:00"/>
    <x v="1"/>
    <x v="0"/>
    <x v="1"/>
    <x v="1"/>
    <x v="1"/>
    <n v="1"/>
    <n v="1"/>
    <n v="1"/>
    <n v="0"/>
    <n v="0"/>
    <n v="0"/>
    <n v="0"/>
    <m/>
    <n v="72.099999999999994"/>
    <m/>
    <s v="Unique"/>
    <s v="Valid"/>
  </r>
  <r>
    <s v="USR-100855"/>
    <d v="2025-02-28T00:00:00"/>
    <x v="1"/>
    <x v="0"/>
    <x v="1"/>
    <x v="2"/>
    <x v="1"/>
    <n v="1"/>
    <n v="1"/>
    <n v="1"/>
    <n v="1"/>
    <n v="398.33"/>
    <n v="0"/>
    <n v="0"/>
    <n v="5"/>
    <n v="85.1"/>
    <m/>
    <s v="Unique"/>
    <s v="Valid"/>
  </r>
  <r>
    <s v="USR-100856"/>
    <d v="2025-05-27T00:00:00"/>
    <x v="1"/>
    <x v="0"/>
    <x v="1"/>
    <x v="1"/>
    <x v="0"/>
    <n v="1"/>
    <n v="1"/>
    <n v="1"/>
    <n v="0"/>
    <n v="0"/>
    <n v="0"/>
    <n v="0"/>
    <m/>
    <n v="49.5"/>
    <m/>
    <s v="Unique"/>
    <s v="Valid"/>
  </r>
  <r>
    <s v="USR-100857"/>
    <d v="2025-05-17T00:00:00"/>
    <x v="1"/>
    <x v="3"/>
    <x v="1"/>
    <x v="2"/>
    <x v="2"/>
    <n v="0"/>
    <n v="0"/>
    <n v="0"/>
    <n v="0"/>
    <n v="0"/>
    <n v="1"/>
    <n v="0"/>
    <m/>
    <n v="79"/>
    <m/>
    <s v="Unique"/>
    <s v="Valid"/>
  </r>
  <r>
    <s v="USR-100858"/>
    <d v="2025-01-10T00:00:00"/>
    <x v="1"/>
    <x v="1"/>
    <x v="0"/>
    <x v="4"/>
    <x v="1"/>
    <n v="0"/>
    <n v="0"/>
    <n v="0"/>
    <n v="0"/>
    <n v="0"/>
    <n v="0"/>
    <n v="0"/>
    <m/>
    <n v="71.8"/>
    <m/>
    <s v="Unique"/>
    <s v="Valid"/>
  </r>
  <r>
    <s v="USR-100859"/>
    <d v="2025-04-22T00:00:00"/>
    <x v="1"/>
    <x v="0"/>
    <x v="1"/>
    <x v="0"/>
    <x v="0"/>
    <n v="1"/>
    <n v="1"/>
    <n v="1"/>
    <n v="1"/>
    <n v="1117.54"/>
    <n v="0"/>
    <n v="0"/>
    <n v="6"/>
    <n v="60.4"/>
    <m/>
    <s v="Unique"/>
    <s v="Valid"/>
  </r>
  <r>
    <s v="USR-100860"/>
    <d v="2025-03-02T00:00:00"/>
    <x v="1"/>
    <x v="3"/>
    <x v="0"/>
    <x v="1"/>
    <x v="0"/>
    <n v="1"/>
    <n v="0"/>
    <n v="0"/>
    <n v="0"/>
    <n v="0"/>
    <n v="2"/>
    <n v="0"/>
    <m/>
    <n v="38.299999999999997"/>
    <m/>
    <s v="Unique"/>
    <s v="Valid"/>
  </r>
  <r>
    <s v="USR-100861"/>
    <d v="2025-03-23T00:00:00"/>
    <x v="1"/>
    <x v="2"/>
    <x v="1"/>
    <x v="2"/>
    <x v="1"/>
    <n v="1"/>
    <n v="1"/>
    <n v="1"/>
    <n v="0"/>
    <n v="0"/>
    <n v="0"/>
    <n v="0"/>
    <m/>
    <n v="79.599999999999994"/>
    <m/>
    <s v="Unique"/>
    <s v="Valid"/>
  </r>
  <r>
    <s v="USR-100862"/>
    <d v="2025-02-12T00:00:00"/>
    <x v="1"/>
    <x v="2"/>
    <x v="1"/>
    <x v="0"/>
    <x v="1"/>
    <n v="1"/>
    <n v="1"/>
    <n v="1"/>
    <n v="0"/>
    <n v="0"/>
    <n v="0"/>
    <n v="0"/>
    <m/>
    <n v="71.900000000000006"/>
    <m/>
    <s v="Unique"/>
    <s v="Valid"/>
  </r>
  <r>
    <s v="USR-100863"/>
    <d v="2025-05-03T00:00:00"/>
    <x v="1"/>
    <x v="3"/>
    <x v="1"/>
    <x v="3"/>
    <x v="0"/>
    <n v="1"/>
    <n v="0"/>
    <n v="0"/>
    <n v="0"/>
    <n v="0"/>
    <n v="0"/>
    <n v="0"/>
    <m/>
    <n v="54.6"/>
    <m/>
    <s v="Unique"/>
    <s v="Valid"/>
  </r>
  <r>
    <s v="USR-100864"/>
    <d v="2025-03-28T00:00:00"/>
    <x v="1"/>
    <x v="0"/>
    <x v="0"/>
    <x v="4"/>
    <x v="1"/>
    <n v="1"/>
    <n v="0"/>
    <n v="0"/>
    <n v="0"/>
    <n v="0"/>
    <n v="3"/>
    <n v="0"/>
    <m/>
    <n v="49.3"/>
    <m/>
    <s v="Unique"/>
    <s v="Valid"/>
  </r>
  <r>
    <s v="USR-100865"/>
    <d v="2025-03-12T00:00:00"/>
    <x v="1"/>
    <x v="0"/>
    <x v="1"/>
    <x v="4"/>
    <x v="0"/>
    <n v="0"/>
    <n v="0"/>
    <n v="0"/>
    <n v="0"/>
    <n v="0"/>
    <n v="1"/>
    <n v="0"/>
    <m/>
    <n v="66.900000000000006"/>
    <m/>
    <s v="Unique"/>
    <s v="Valid"/>
  </r>
  <r>
    <s v="USR-100866"/>
    <d v="2025-04-27T00:00:00"/>
    <x v="1"/>
    <x v="2"/>
    <x v="1"/>
    <x v="2"/>
    <x v="1"/>
    <n v="1"/>
    <n v="0"/>
    <n v="0"/>
    <n v="0"/>
    <n v="0"/>
    <n v="1"/>
    <n v="0"/>
    <m/>
    <n v="77.8"/>
    <m/>
    <s v="Unique"/>
    <s v="Valid"/>
  </r>
  <r>
    <s v="USR-100867"/>
    <d v="2025-04-02T00:00:00"/>
    <x v="1"/>
    <x v="3"/>
    <x v="1"/>
    <x v="3"/>
    <x v="0"/>
    <n v="1"/>
    <n v="0"/>
    <n v="0"/>
    <n v="0"/>
    <n v="0"/>
    <n v="0"/>
    <n v="0"/>
    <m/>
    <n v="63"/>
    <m/>
    <s v="Unique"/>
    <s v="Valid"/>
  </r>
  <r>
    <s v="USR-100868"/>
    <d v="2025-04-21T00:00:00"/>
    <x v="1"/>
    <x v="0"/>
    <x v="1"/>
    <x v="4"/>
    <x v="1"/>
    <n v="0"/>
    <n v="0"/>
    <n v="0"/>
    <n v="0"/>
    <n v="0"/>
    <n v="0"/>
    <n v="0"/>
    <m/>
    <n v="79.8"/>
    <m/>
    <s v="Unique"/>
    <s v="Valid"/>
  </r>
  <r>
    <s v="USR-100869"/>
    <d v="2025-01-26T00:00:00"/>
    <x v="1"/>
    <x v="1"/>
    <x v="0"/>
    <x v="1"/>
    <x v="0"/>
    <n v="0"/>
    <n v="0"/>
    <n v="0"/>
    <n v="0"/>
    <n v="0"/>
    <n v="0"/>
    <n v="0"/>
    <m/>
    <n v="69.900000000000006"/>
    <m/>
    <s v="Unique"/>
    <s v="Valid"/>
  </r>
  <r>
    <s v="USR-100870"/>
    <d v="2025-01-06T00:00:00"/>
    <x v="1"/>
    <x v="1"/>
    <x v="1"/>
    <x v="1"/>
    <x v="1"/>
    <n v="0"/>
    <n v="0"/>
    <n v="0"/>
    <n v="0"/>
    <n v="0"/>
    <n v="1"/>
    <n v="0"/>
    <m/>
    <n v="66.400000000000006"/>
    <m/>
    <s v="Unique"/>
    <s v="Valid"/>
  </r>
  <r>
    <s v="USR-100871"/>
    <d v="2025-02-07T00:00:00"/>
    <x v="1"/>
    <x v="2"/>
    <x v="1"/>
    <x v="1"/>
    <x v="1"/>
    <n v="1"/>
    <n v="0"/>
    <n v="0"/>
    <n v="0"/>
    <n v="0"/>
    <n v="0"/>
    <n v="0"/>
    <m/>
    <n v="27.6"/>
    <m/>
    <s v="Unique"/>
    <s v="Valid"/>
  </r>
  <r>
    <s v="USR-100872"/>
    <d v="2025-05-07T00:00:00"/>
    <x v="1"/>
    <x v="1"/>
    <x v="1"/>
    <x v="1"/>
    <x v="2"/>
    <n v="1"/>
    <n v="0"/>
    <n v="0"/>
    <n v="0"/>
    <n v="0"/>
    <n v="1"/>
    <n v="0"/>
    <m/>
    <n v="56.5"/>
    <m/>
    <s v="Unique"/>
    <s v="Valid"/>
  </r>
  <r>
    <s v="USR-100873"/>
    <d v="2025-04-22T00:00:00"/>
    <x v="1"/>
    <x v="1"/>
    <x v="3"/>
    <x v="4"/>
    <x v="1"/>
    <n v="1"/>
    <n v="0"/>
    <n v="0"/>
    <n v="0"/>
    <n v="0"/>
    <n v="0"/>
    <n v="0"/>
    <m/>
    <n v="67.8"/>
    <m/>
    <s v="Unique"/>
    <s v="Valid"/>
  </r>
  <r>
    <s v="USR-100874"/>
    <d v="2025-05-04T00:00:00"/>
    <x v="1"/>
    <x v="1"/>
    <x v="0"/>
    <x v="4"/>
    <x v="1"/>
    <n v="1"/>
    <n v="0"/>
    <n v="0"/>
    <n v="0"/>
    <n v="0"/>
    <n v="0"/>
    <n v="0"/>
    <m/>
    <n v="80"/>
    <m/>
    <s v="Unique"/>
    <s v="Valid"/>
  </r>
  <r>
    <s v="USR-100875"/>
    <d v="2025-05-16T00:00:00"/>
    <x v="1"/>
    <x v="3"/>
    <x v="1"/>
    <x v="4"/>
    <x v="0"/>
    <n v="1"/>
    <n v="1"/>
    <n v="1"/>
    <n v="0"/>
    <n v="0"/>
    <n v="1"/>
    <n v="0"/>
    <m/>
    <n v="80.900000000000006"/>
    <m/>
    <s v="Unique"/>
    <s v="Valid"/>
  </r>
  <r>
    <s v="USR-100876"/>
    <d v="2025-02-11T00:00:00"/>
    <x v="1"/>
    <x v="1"/>
    <x v="1"/>
    <x v="2"/>
    <x v="1"/>
    <n v="0"/>
    <n v="0"/>
    <n v="0"/>
    <n v="0"/>
    <n v="0"/>
    <n v="0"/>
    <n v="0"/>
    <m/>
    <n v="34.5"/>
    <m/>
    <s v="Unique"/>
    <s v="Valid"/>
  </r>
  <r>
    <s v="USR-100877"/>
    <d v="2025-05-09T00:00:00"/>
    <x v="1"/>
    <x v="2"/>
    <x v="0"/>
    <x v="1"/>
    <x v="2"/>
    <n v="1"/>
    <n v="0"/>
    <n v="0"/>
    <n v="0"/>
    <n v="0"/>
    <n v="0"/>
    <n v="0"/>
    <m/>
    <n v="73.5"/>
    <m/>
    <s v="Unique"/>
    <s v="Valid"/>
  </r>
  <r>
    <s v="USR-100878"/>
    <d v="2025-02-09T00:00:00"/>
    <x v="1"/>
    <x v="3"/>
    <x v="0"/>
    <x v="2"/>
    <x v="1"/>
    <n v="1"/>
    <n v="1"/>
    <n v="0"/>
    <n v="0"/>
    <n v="0"/>
    <n v="0"/>
    <n v="0"/>
    <m/>
    <n v="70"/>
    <m/>
    <s v="Unique"/>
    <s v="Valid"/>
  </r>
  <r>
    <s v="USR-100879"/>
    <d v="2025-05-22T00:00:00"/>
    <x v="1"/>
    <x v="1"/>
    <x v="1"/>
    <x v="4"/>
    <x v="0"/>
    <n v="0"/>
    <n v="0"/>
    <n v="0"/>
    <n v="0"/>
    <n v="0"/>
    <n v="0"/>
    <n v="0"/>
    <m/>
    <n v="86.9"/>
    <m/>
    <s v="Unique"/>
    <s v="Valid"/>
  </r>
  <r>
    <s v="USR-100880"/>
    <d v="2025-05-24T00:00:00"/>
    <x v="1"/>
    <x v="2"/>
    <x v="1"/>
    <x v="4"/>
    <x v="0"/>
    <n v="0"/>
    <n v="0"/>
    <n v="0"/>
    <n v="0"/>
    <n v="0"/>
    <n v="0"/>
    <n v="0"/>
    <m/>
    <n v="66.900000000000006"/>
    <m/>
    <s v="Unique"/>
    <s v="Valid"/>
  </r>
  <r>
    <s v="USR-100881"/>
    <d v="2025-04-27T00:00:00"/>
    <x v="1"/>
    <x v="3"/>
    <x v="0"/>
    <x v="4"/>
    <x v="0"/>
    <n v="1"/>
    <n v="1"/>
    <n v="1"/>
    <n v="0"/>
    <n v="0"/>
    <n v="0"/>
    <n v="0"/>
    <m/>
    <n v="58.3"/>
    <m/>
    <s v="Unique"/>
    <s v="Valid"/>
  </r>
  <r>
    <s v="USR-100882"/>
    <d v="2025-03-19T00:00:00"/>
    <x v="1"/>
    <x v="2"/>
    <x v="1"/>
    <x v="2"/>
    <x v="1"/>
    <n v="1"/>
    <n v="0"/>
    <n v="0"/>
    <n v="0"/>
    <n v="0"/>
    <n v="0"/>
    <n v="0"/>
    <m/>
    <n v="45"/>
    <m/>
    <s v="Unique"/>
    <s v="Valid"/>
  </r>
  <r>
    <s v="USR-100883"/>
    <d v="2025-05-20T00:00:00"/>
    <x v="1"/>
    <x v="3"/>
    <x v="1"/>
    <x v="1"/>
    <x v="2"/>
    <n v="0"/>
    <n v="0"/>
    <n v="0"/>
    <n v="0"/>
    <n v="0"/>
    <n v="0"/>
    <n v="0"/>
    <m/>
    <n v="60.8"/>
    <m/>
    <s v="Unique"/>
    <s v="Valid"/>
  </r>
  <r>
    <s v="USR-100884"/>
    <d v="2025-05-10T00:00:00"/>
    <x v="1"/>
    <x v="0"/>
    <x v="1"/>
    <x v="0"/>
    <x v="2"/>
    <n v="1"/>
    <n v="0"/>
    <n v="0"/>
    <n v="0"/>
    <n v="0"/>
    <n v="4"/>
    <n v="0"/>
    <m/>
    <n v="53.7"/>
    <m/>
    <s v="Unique"/>
    <s v="Valid"/>
  </r>
  <r>
    <s v="USR-100885"/>
    <d v="2025-03-29T00:00:00"/>
    <x v="1"/>
    <x v="2"/>
    <x v="1"/>
    <x v="4"/>
    <x v="1"/>
    <n v="1"/>
    <n v="1"/>
    <n v="1"/>
    <n v="0"/>
    <n v="0"/>
    <n v="0"/>
    <n v="0"/>
    <m/>
    <n v="48.8"/>
    <m/>
    <s v="Unique"/>
    <s v="Valid"/>
  </r>
  <r>
    <s v="USR-100886"/>
    <d v="2025-04-03T00:00:00"/>
    <x v="1"/>
    <x v="1"/>
    <x v="0"/>
    <x v="3"/>
    <x v="0"/>
    <n v="0"/>
    <n v="0"/>
    <n v="0"/>
    <n v="0"/>
    <n v="0"/>
    <n v="0"/>
    <n v="0"/>
    <m/>
    <n v="52.9"/>
    <m/>
    <s v="Unique"/>
    <s v="Valid"/>
  </r>
  <r>
    <s v="USR-100887"/>
    <d v="2025-05-30T00:00:00"/>
    <x v="1"/>
    <x v="3"/>
    <x v="1"/>
    <x v="0"/>
    <x v="1"/>
    <n v="1"/>
    <n v="0"/>
    <n v="0"/>
    <n v="0"/>
    <n v="0"/>
    <n v="0"/>
    <n v="0"/>
    <m/>
    <n v="42.4"/>
    <m/>
    <s v="Unique"/>
    <s v="Valid"/>
  </r>
  <r>
    <s v="USR-100888"/>
    <d v="2025-04-06T00:00:00"/>
    <x v="1"/>
    <x v="2"/>
    <x v="0"/>
    <x v="0"/>
    <x v="1"/>
    <n v="1"/>
    <n v="0"/>
    <n v="0"/>
    <n v="0"/>
    <n v="0"/>
    <n v="0"/>
    <n v="0"/>
    <m/>
    <n v="58.7"/>
    <m/>
    <s v="Unique"/>
    <s v="Valid"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1"/>
    <n v="67.8"/>
    <m/>
    <s v="Unique"/>
    <s v="Valid"/>
  </r>
  <r>
    <s v="USR-100890"/>
    <d v="2025-02-24T00:00:00"/>
    <x v="1"/>
    <x v="3"/>
    <x v="0"/>
    <x v="2"/>
    <x v="0"/>
    <n v="1"/>
    <n v="0"/>
    <n v="0"/>
    <n v="0"/>
    <n v="0"/>
    <n v="0"/>
    <n v="0"/>
    <m/>
    <n v="62.6"/>
    <m/>
    <s v="Unique"/>
    <s v="Valid"/>
  </r>
  <r>
    <s v="USR-100891"/>
    <d v="2025-03-04T00:00:00"/>
    <x v="1"/>
    <x v="1"/>
    <x v="1"/>
    <x v="0"/>
    <x v="0"/>
    <n v="1"/>
    <n v="0"/>
    <n v="0"/>
    <n v="0"/>
    <n v="0"/>
    <n v="0"/>
    <n v="0"/>
    <m/>
    <n v="82.4"/>
    <m/>
    <s v="Unique"/>
    <s v="Valid"/>
  </r>
  <r>
    <s v="USR-100892"/>
    <d v="2025-04-02T00:00:00"/>
    <x v="1"/>
    <x v="0"/>
    <x v="1"/>
    <x v="1"/>
    <x v="1"/>
    <n v="1"/>
    <n v="1"/>
    <n v="1"/>
    <n v="0"/>
    <n v="0"/>
    <n v="0"/>
    <n v="0"/>
    <m/>
    <n v="50.4"/>
    <m/>
    <s v="Unique"/>
    <s v="Valid"/>
  </r>
  <r>
    <s v="USR-100893"/>
    <d v="2025-05-11T00:00:00"/>
    <x v="1"/>
    <x v="0"/>
    <x v="1"/>
    <x v="0"/>
    <x v="2"/>
    <n v="0"/>
    <n v="0"/>
    <n v="0"/>
    <n v="0"/>
    <n v="0"/>
    <n v="0"/>
    <n v="0"/>
    <m/>
    <n v="68.400000000000006"/>
    <m/>
    <s v="Unique"/>
    <s v="Valid"/>
  </r>
  <r>
    <s v="USR-100894"/>
    <d v="2025-05-10T00:00:00"/>
    <x v="1"/>
    <x v="1"/>
    <x v="2"/>
    <x v="2"/>
    <x v="0"/>
    <n v="1"/>
    <n v="1"/>
    <n v="1"/>
    <n v="0"/>
    <n v="0"/>
    <n v="0"/>
    <n v="0"/>
    <m/>
    <n v="58.8"/>
    <m/>
    <s v="Unique"/>
    <s v="Valid"/>
  </r>
  <r>
    <s v="USR-100895"/>
    <d v="2025-05-06T00:00:00"/>
    <x v="1"/>
    <x v="1"/>
    <x v="1"/>
    <x v="3"/>
    <x v="1"/>
    <n v="1"/>
    <n v="1"/>
    <n v="0"/>
    <n v="0"/>
    <n v="0"/>
    <n v="2"/>
    <n v="0"/>
    <m/>
    <n v="28.3"/>
    <m/>
    <s v="Unique"/>
    <s v="Valid"/>
  </r>
  <r>
    <s v="USR-100896"/>
    <d v="2025-02-11T00:00:00"/>
    <x v="1"/>
    <x v="1"/>
    <x v="0"/>
    <x v="2"/>
    <x v="1"/>
    <n v="1"/>
    <n v="1"/>
    <n v="0"/>
    <n v="0"/>
    <n v="0"/>
    <n v="0"/>
    <n v="0"/>
    <m/>
    <n v="44.1"/>
    <m/>
    <s v="Unique"/>
    <s v="Valid"/>
  </r>
  <r>
    <s v="USR-100897"/>
    <d v="2025-05-09T00:00:00"/>
    <x v="1"/>
    <x v="3"/>
    <x v="1"/>
    <x v="2"/>
    <x v="2"/>
    <n v="1"/>
    <n v="1"/>
    <n v="0"/>
    <n v="0"/>
    <n v="0"/>
    <n v="0"/>
    <n v="0"/>
    <m/>
    <n v="66.7"/>
    <m/>
    <s v="Unique"/>
    <s v="Valid"/>
  </r>
  <r>
    <s v="USR-100898"/>
    <d v="2025-02-02T00:00:00"/>
    <x v="1"/>
    <x v="3"/>
    <x v="1"/>
    <x v="5"/>
    <x v="1"/>
    <n v="1"/>
    <n v="0"/>
    <n v="0"/>
    <n v="0"/>
    <n v="0"/>
    <n v="0"/>
    <n v="0"/>
    <m/>
    <n v="100"/>
    <m/>
    <s v="Unique"/>
    <s v="Valid"/>
  </r>
  <r>
    <s v="USR-100899"/>
    <d v="2025-04-03T00:00:00"/>
    <x v="1"/>
    <x v="3"/>
    <x v="1"/>
    <x v="4"/>
    <x v="1"/>
    <n v="1"/>
    <n v="1"/>
    <n v="0"/>
    <n v="0"/>
    <n v="0"/>
    <n v="0"/>
    <n v="0"/>
    <m/>
    <n v="87.5"/>
    <m/>
    <s v="Unique"/>
    <s v="Valid"/>
  </r>
  <r>
    <s v="USR-100900"/>
    <d v="2025-02-15T00:00:00"/>
    <x v="1"/>
    <x v="0"/>
    <x v="0"/>
    <x v="1"/>
    <x v="0"/>
    <n v="1"/>
    <n v="0"/>
    <n v="0"/>
    <n v="0"/>
    <n v="0"/>
    <n v="2"/>
    <n v="0"/>
    <m/>
    <n v="65.400000000000006"/>
    <m/>
    <s v="Unique"/>
    <s v="Valid"/>
  </r>
  <r>
    <s v="USR-100901"/>
    <d v="2025-04-18T00:00:00"/>
    <x v="1"/>
    <x v="3"/>
    <x v="0"/>
    <x v="1"/>
    <x v="1"/>
    <n v="1"/>
    <n v="0"/>
    <n v="0"/>
    <n v="0"/>
    <n v="0"/>
    <n v="0"/>
    <n v="0"/>
    <m/>
    <n v="22.9"/>
    <m/>
    <s v="Unique"/>
    <s v="Valid"/>
  </r>
  <r>
    <s v="USR-100902"/>
    <d v="2025-03-14T00:00:00"/>
    <x v="1"/>
    <x v="1"/>
    <x v="0"/>
    <x v="1"/>
    <x v="2"/>
    <n v="0"/>
    <n v="0"/>
    <n v="0"/>
    <n v="0"/>
    <n v="0"/>
    <n v="0"/>
    <n v="0"/>
    <m/>
    <n v="64.599999999999994"/>
    <m/>
    <s v="Unique"/>
    <s v="Valid"/>
  </r>
  <r>
    <s v="USR-100903"/>
    <d v="2025-03-29T00:00:00"/>
    <x v="1"/>
    <x v="3"/>
    <x v="1"/>
    <x v="3"/>
    <x v="1"/>
    <n v="1"/>
    <n v="0"/>
    <n v="0"/>
    <n v="0"/>
    <n v="0"/>
    <n v="2"/>
    <n v="0"/>
    <m/>
    <n v="54.4"/>
    <m/>
    <s v="Unique"/>
    <s v="Valid"/>
  </r>
  <r>
    <s v="USR-100904"/>
    <d v="2025-02-13T00:00:00"/>
    <x v="1"/>
    <x v="0"/>
    <x v="0"/>
    <x v="1"/>
    <x v="1"/>
    <n v="1"/>
    <n v="1"/>
    <n v="1"/>
    <n v="0"/>
    <n v="0"/>
    <n v="0"/>
    <n v="0"/>
    <m/>
    <n v="56.8"/>
    <m/>
    <s v="Unique"/>
    <s v="Valid"/>
  </r>
  <r>
    <s v="USR-100905"/>
    <d v="2025-01-23T00:00:00"/>
    <x v="1"/>
    <x v="3"/>
    <x v="1"/>
    <x v="2"/>
    <x v="1"/>
    <n v="1"/>
    <n v="1"/>
    <n v="1"/>
    <n v="1"/>
    <n v="341.38"/>
    <n v="0"/>
    <n v="0"/>
    <n v="2"/>
    <n v="63.6"/>
    <m/>
    <s v="Unique"/>
    <s v="Valid"/>
  </r>
  <r>
    <s v="USR-100906"/>
    <d v="2025-02-24T00:00:00"/>
    <x v="1"/>
    <x v="2"/>
    <x v="1"/>
    <x v="4"/>
    <x v="1"/>
    <n v="1"/>
    <n v="0"/>
    <n v="0"/>
    <n v="0"/>
    <n v="0"/>
    <n v="0"/>
    <n v="0"/>
    <m/>
    <n v="58.2"/>
    <m/>
    <s v="Unique"/>
    <s v="Valid"/>
  </r>
  <r>
    <s v="USR-100907"/>
    <d v="2025-02-28T00:00:00"/>
    <x v="1"/>
    <x v="1"/>
    <x v="1"/>
    <x v="2"/>
    <x v="1"/>
    <n v="1"/>
    <n v="1"/>
    <n v="0"/>
    <n v="0"/>
    <n v="0"/>
    <n v="0"/>
    <n v="0"/>
    <m/>
    <n v="54.6"/>
    <m/>
    <s v="Unique"/>
    <s v="Valid"/>
  </r>
  <r>
    <s v="USR-100908"/>
    <d v="2025-01-07T00:00:00"/>
    <x v="1"/>
    <x v="1"/>
    <x v="2"/>
    <x v="1"/>
    <x v="0"/>
    <n v="1"/>
    <n v="0"/>
    <n v="0"/>
    <n v="0"/>
    <n v="0"/>
    <n v="0"/>
    <n v="0"/>
    <m/>
    <n v="81.900000000000006"/>
    <m/>
    <s v="Unique"/>
    <s v="Valid"/>
  </r>
  <r>
    <s v="USR-100909"/>
    <d v="2025-03-21T00:00:00"/>
    <x v="1"/>
    <x v="1"/>
    <x v="0"/>
    <x v="0"/>
    <x v="1"/>
    <n v="1"/>
    <n v="0"/>
    <n v="0"/>
    <n v="0"/>
    <n v="0"/>
    <n v="3"/>
    <n v="0"/>
    <m/>
    <n v="53.3"/>
    <m/>
    <s v="Unique"/>
    <s v="Valid"/>
  </r>
  <r>
    <s v="USR-100910"/>
    <d v="2025-02-18T00:00:00"/>
    <x v="1"/>
    <x v="0"/>
    <x v="0"/>
    <x v="1"/>
    <x v="0"/>
    <n v="0"/>
    <n v="0"/>
    <n v="0"/>
    <n v="0"/>
    <n v="0"/>
    <n v="0"/>
    <n v="0"/>
    <m/>
    <n v="54.2"/>
    <m/>
    <s v="Unique"/>
    <s v="Valid"/>
  </r>
  <r>
    <s v="USR-100911"/>
    <d v="2025-01-05T00:00:00"/>
    <x v="1"/>
    <x v="0"/>
    <x v="1"/>
    <x v="2"/>
    <x v="1"/>
    <n v="1"/>
    <n v="1"/>
    <n v="0"/>
    <n v="0"/>
    <n v="0"/>
    <n v="0"/>
    <n v="0"/>
    <m/>
    <n v="65.599999999999994"/>
    <m/>
    <s v="Unique"/>
    <s v="Valid"/>
  </r>
  <r>
    <s v="USR-100912"/>
    <d v="2025-03-11T00:00:00"/>
    <x v="1"/>
    <x v="2"/>
    <x v="0"/>
    <x v="1"/>
    <x v="0"/>
    <n v="1"/>
    <n v="0"/>
    <n v="0"/>
    <n v="0"/>
    <n v="0"/>
    <n v="1"/>
    <n v="0"/>
    <m/>
    <n v="56.5"/>
    <m/>
    <s v="Unique"/>
    <s v="Valid"/>
  </r>
  <r>
    <s v="USR-100913"/>
    <d v="2025-01-09T00:00:00"/>
    <x v="1"/>
    <x v="0"/>
    <x v="0"/>
    <x v="1"/>
    <x v="0"/>
    <n v="1"/>
    <n v="0"/>
    <n v="0"/>
    <n v="0"/>
    <n v="0"/>
    <n v="0"/>
    <n v="0"/>
    <m/>
    <n v="59.7"/>
    <m/>
    <s v="Unique"/>
    <s v="Valid"/>
  </r>
  <r>
    <s v="USR-100914"/>
    <d v="2025-01-08T00:00:00"/>
    <x v="1"/>
    <x v="3"/>
    <x v="1"/>
    <x v="1"/>
    <x v="1"/>
    <n v="1"/>
    <n v="1"/>
    <n v="1"/>
    <n v="0"/>
    <n v="0"/>
    <n v="0"/>
    <n v="0"/>
    <m/>
    <n v="72.5"/>
    <m/>
    <s v="Unique"/>
    <s v="Valid"/>
  </r>
  <r>
    <s v="USR-100915"/>
    <d v="2025-05-01T00:00:00"/>
    <x v="1"/>
    <x v="2"/>
    <x v="0"/>
    <x v="2"/>
    <x v="1"/>
    <n v="1"/>
    <n v="0"/>
    <n v="0"/>
    <n v="0"/>
    <n v="0"/>
    <n v="0"/>
    <n v="0"/>
    <m/>
    <n v="64.3"/>
    <m/>
    <s v="Unique"/>
    <s v="Valid"/>
  </r>
  <r>
    <s v="USR-100916"/>
    <d v="2025-03-03T00:00:00"/>
    <x v="1"/>
    <x v="3"/>
    <x v="1"/>
    <x v="4"/>
    <x v="1"/>
    <n v="1"/>
    <n v="0"/>
    <n v="0"/>
    <n v="0"/>
    <n v="0"/>
    <n v="0"/>
    <n v="0"/>
    <m/>
    <n v="64.5"/>
    <m/>
    <s v="Unique"/>
    <s v="Valid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m/>
    <s v="Duplicate"/>
    <s v="Valid"/>
  </r>
  <r>
    <s v="USR-100918"/>
    <d v="2025-02-17T00:00:00"/>
    <x v="1"/>
    <x v="3"/>
    <x v="0"/>
    <x v="1"/>
    <x v="0"/>
    <n v="0"/>
    <n v="0"/>
    <n v="0"/>
    <n v="0"/>
    <n v="0"/>
    <n v="0"/>
    <n v="0"/>
    <m/>
    <n v="58.4"/>
    <m/>
    <s v="Unique"/>
    <s v="Valid"/>
  </r>
  <r>
    <s v="USR-100919"/>
    <d v="2025-05-21T00:00:00"/>
    <x v="1"/>
    <x v="2"/>
    <x v="1"/>
    <x v="1"/>
    <x v="0"/>
    <n v="1"/>
    <n v="0"/>
    <n v="0"/>
    <n v="0"/>
    <n v="0"/>
    <n v="0"/>
    <n v="0"/>
    <m/>
    <n v="56.6"/>
    <m/>
    <s v="Unique"/>
    <s v="Valid"/>
  </r>
  <r>
    <s v="USR-100920"/>
    <d v="2025-01-30T00:00:00"/>
    <x v="1"/>
    <x v="3"/>
    <x v="1"/>
    <x v="1"/>
    <x v="1"/>
    <n v="1"/>
    <n v="0"/>
    <n v="0"/>
    <n v="0"/>
    <n v="0"/>
    <n v="0"/>
    <n v="0"/>
    <m/>
    <n v="61.8"/>
    <m/>
    <s v="Unique"/>
    <s v="Valid"/>
  </r>
  <r>
    <s v="USR-100921"/>
    <d v="2025-03-20T00:00:00"/>
    <x v="1"/>
    <x v="1"/>
    <x v="1"/>
    <x v="0"/>
    <x v="1"/>
    <n v="1"/>
    <n v="1"/>
    <n v="1"/>
    <n v="1"/>
    <n v="513.52"/>
    <n v="0"/>
    <n v="0"/>
    <n v="8"/>
    <n v="43.4"/>
    <m/>
    <s v="Unique"/>
    <s v="Valid"/>
  </r>
  <r>
    <s v="USR-100922"/>
    <d v="2025-04-10T00:00:00"/>
    <x v="1"/>
    <x v="1"/>
    <x v="2"/>
    <x v="2"/>
    <x v="1"/>
    <n v="0"/>
    <n v="0"/>
    <n v="0"/>
    <n v="0"/>
    <n v="0"/>
    <n v="0"/>
    <n v="0"/>
    <m/>
    <n v="43"/>
    <m/>
    <s v="Unique"/>
    <s v="Valid"/>
  </r>
  <r>
    <s v="USR-100923"/>
    <d v="2025-03-07T00:00:00"/>
    <x v="1"/>
    <x v="0"/>
    <x v="0"/>
    <x v="1"/>
    <x v="1"/>
    <n v="1"/>
    <n v="1"/>
    <n v="1"/>
    <n v="0"/>
    <n v="0"/>
    <n v="0"/>
    <n v="0"/>
    <m/>
    <n v="51.1"/>
    <m/>
    <s v="Unique"/>
    <s v="Valid"/>
  </r>
  <r>
    <s v="USR-100924"/>
    <d v="2025-03-12T00:00:00"/>
    <x v="1"/>
    <x v="1"/>
    <x v="1"/>
    <x v="0"/>
    <x v="0"/>
    <n v="1"/>
    <n v="0"/>
    <n v="0"/>
    <n v="0"/>
    <n v="0"/>
    <n v="0"/>
    <n v="0"/>
    <m/>
    <n v="48.8"/>
    <m/>
    <s v="Unique"/>
    <s v="Valid"/>
  </r>
  <r>
    <s v="USR-100925"/>
    <d v="2025-02-24T00:00:00"/>
    <x v="1"/>
    <x v="2"/>
    <x v="1"/>
    <x v="3"/>
    <x v="1"/>
    <n v="0"/>
    <n v="0"/>
    <n v="0"/>
    <n v="0"/>
    <n v="0"/>
    <n v="0"/>
    <n v="0"/>
    <m/>
    <n v="73.2"/>
    <m/>
    <s v="Unique"/>
    <s v="Valid"/>
  </r>
  <r>
    <s v="USR-100926"/>
    <d v="2025-01-15T00:00:00"/>
    <x v="1"/>
    <x v="2"/>
    <x v="1"/>
    <x v="3"/>
    <x v="1"/>
    <n v="1"/>
    <n v="1"/>
    <n v="1"/>
    <n v="0"/>
    <n v="0"/>
    <n v="0"/>
    <n v="0"/>
    <m/>
    <n v="80"/>
    <m/>
    <s v="Unique"/>
    <s v="Valid"/>
  </r>
  <r>
    <s v="USR-100927"/>
    <d v="2025-01-07T00:00:00"/>
    <x v="1"/>
    <x v="0"/>
    <x v="0"/>
    <x v="2"/>
    <x v="1"/>
    <n v="1"/>
    <n v="0"/>
    <n v="0"/>
    <n v="0"/>
    <n v="0"/>
    <n v="0"/>
    <n v="0"/>
    <m/>
    <n v="52.3"/>
    <m/>
    <s v="Unique"/>
    <s v="Valid"/>
  </r>
  <r>
    <s v="USR-100928"/>
    <d v="2025-03-02T00:00:00"/>
    <x v="1"/>
    <x v="0"/>
    <x v="0"/>
    <x v="1"/>
    <x v="1"/>
    <n v="0"/>
    <n v="0"/>
    <n v="0"/>
    <n v="0"/>
    <n v="0"/>
    <n v="0"/>
    <n v="0"/>
    <m/>
    <n v="49.1"/>
    <m/>
    <s v="Unique"/>
    <s v="Valid"/>
  </r>
  <r>
    <s v="USR-100929"/>
    <d v="2025-01-05T00:00:00"/>
    <x v="1"/>
    <x v="3"/>
    <x v="0"/>
    <x v="3"/>
    <x v="0"/>
    <n v="0"/>
    <n v="0"/>
    <n v="0"/>
    <n v="0"/>
    <n v="0"/>
    <n v="0"/>
    <n v="0"/>
    <m/>
    <n v="45.3"/>
    <m/>
    <s v="Unique"/>
    <s v="Valid"/>
  </r>
  <r>
    <s v="USR-100930"/>
    <d v="2025-03-03T00:00:00"/>
    <x v="1"/>
    <x v="3"/>
    <x v="1"/>
    <x v="1"/>
    <x v="1"/>
    <n v="1"/>
    <n v="1"/>
    <n v="0"/>
    <n v="0"/>
    <n v="0"/>
    <n v="0"/>
    <n v="0"/>
    <m/>
    <n v="49.1"/>
    <m/>
    <s v="Unique"/>
    <s v="Valid"/>
  </r>
  <r>
    <s v="USR-100931"/>
    <d v="2025-03-31T00:00:00"/>
    <x v="1"/>
    <x v="2"/>
    <x v="0"/>
    <x v="3"/>
    <x v="1"/>
    <n v="1"/>
    <n v="1"/>
    <n v="1"/>
    <n v="1"/>
    <n v="476.44"/>
    <n v="0"/>
    <n v="0"/>
    <n v="3"/>
    <n v="88.6"/>
    <m/>
    <s v="Unique"/>
    <s v="Valid"/>
  </r>
  <r>
    <s v="USR-100932"/>
    <d v="2025-01-14T00:00:00"/>
    <x v="1"/>
    <x v="2"/>
    <x v="0"/>
    <x v="2"/>
    <x v="2"/>
    <n v="0"/>
    <n v="0"/>
    <n v="0"/>
    <n v="0"/>
    <n v="0"/>
    <n v="1"/>
    <n v="0"/>
    <m/>
    <n v="54.4"/>
    <m/>
    <s v="Unique"/>
    <s v="Valid"/>
  </r>
  <r>
    <s v="USR-100933"/>
    <d v="2025-01-15T00:00:00"/>
    <x v="1"/>
    <x v="1"/>
    <x v="0"/>
    <x v="2"/>
    <x v="2"/>
    <n v="1"/>
    <n v="0"/>
    <n v="0"/>
    <n v="0"/>
    <n v="0"/>
    <n v="0"/>
    <n v="0"/>
    <m/>
    <n v="72.900000000000006"/>
    <m/>
    <s v="Unique"/>
    <s v="Valid"/>
  </r>
  <r>
    <s v="USR-100934"/>
    <d v="2025-04-25T00:00:00"/>
    <x v="1"/>
    <x v="1"/>
    <x v="0"/>
    <x v="1"/>
    <x v="1"/>
    <n v="1"/>
    <n v="0"/>
    <n v="0"/>
    <n v="0"/>
    <n v="0"/>
    <n v="0"/>
    <n v="0"/>
    <m/>
    <n v="53.2"/>
    <m/>
    <s v="Unique"/>
    <s v="Valid"/>
  </r>
  <r>
    <s v="USR-100935"/>
    <d v="2025-03-21T00:00:00"/>
    <x v="1"/>
    <x v="2"/>
    <x v="1"/>
    <x v="1"/>
    <x v="0"/>
    <n v="1"/>
    <n v="1"/>
    <n v="0"/>
    <n v="0"/>
    <n v="0"/>
    <n v="0"/>
    <n v="0"/>
    <m/>
    <n v="48.7"/>
    <m/>
    <s v="Unique"/>
    <s v="Valid"/>
  </r>
  <r>
    <s v="USR-100936"/>
    <d v="2025-04-26T00:00:00"/>
    <x v="1"/>
    <x v="3"/>
    <x v="1"/>
    <x v="2"/>
    <x v="0"/>
    <n v="1"/>
    <n v="1"/>
    <n v="1"/>
    <n v="0"/>
    <n v="0"/>
    <n v="0"/>
    <n v="0"/>
    <m/>
    <n v="59.9"/>
    <m/>
    <s v="Unique"/>
    <s v="Valid"/>
  </r>
  <r>
    <s v="USR-100937"/>
    <d v="2025-05-21T00:00:00"/>
    <x v="1"/>
    <x v="3"/>
    <x v="0"/>
    <x v="5"/>
    <x v="0"/>
    <n v="0"/>
    <n v="0"/>
    <n v="0"/>
    <n v="0"/>
    <n v="0"/>
    <n v="0"/>
    <n v="0"/>
    <m/>
    <n v="82"/>
    <m/>
    <s v="Unique"/>
    <s v="Valid"/>
  </r>
  <r>
    <s v="USR-100938"/>
    <d v="2025-04-18T00:00:00"/>
    <x v="1"/>
    <x v="2"/>
    <x v="1"/>
    <x v="2"/>
    <x v="1"/>
    <n v="0"/>
    <n v="0"/>
    <n v="0"/>
    <n v="0"/>
    <n v="0"/>
    <n v="0"/>
    <n v="0"/>
    <m/>
    <n v="72.099999999999994"/>
    <m/>
    <s v="Unique"/>
    <s v="Valid"/>
  </r>
  <r>
    <s v="USR-100939"/>
    <d v="2025-01-29T00:00:00"/>
    <x v="1"/>
    <x v="0"/>
    <x v="0"/>
    <x v="0"/>
    <x v="2"/>
    <n v="1"/>
    <n v="1"/>
    <n v="0"/>
    <n v="0"/>
    <n v="0"/>
    <n v="0"/>
    <n v="0"/>
    <m/>
    <n v="68.3"/>
    <m/>
    <s v="Unique"/>
    <s v="Valid"/>
  </r>
  <r>
    <s v="USR-100940"/>
    <d v="2025-05-28T00:00:00"/>
    <x v="1"/>
    <x v="1"/>
    <x v="1"/>
    <x v="1"/>
    <x v="2"/>
    <n v="0"/>
    <n v="0"/>
    <n v="0"/>
    <n v="0"/>
    <n v="0"/>
    <n v="0"/>
    <n v="0"/>
    <m/>
    <n v="100"/>
    <m/>
    <s v="Unique"/>
    <s v="Valid"/>
  </r>
  <r>
    <s v="USR-100941"/>
    <d v="2025-01-15T00:00:00"/>
    <x v="1"/>
    <x v="2"/>
    <x v="1"/>
    <x v="0"/>
    <x v="1"/>
    <n v="1"/>
    <n v="1"/>
    <n v="1"/>
    <n v="0"/>
    <n v="0"/>
    <n v="2"/>
    <n v="0"/>
    <m/>
    <n v="76.5"/>
    <m/>
    <s v="Unique"/>
    <s v="Valid"/>
  </r>
  <r>
    <s v="USR-100942"/>
    <d v="2025-01-03T00:00:00"/>
    <x v="1"/>
    <x v="3"/>
    <x v="1"/>
    <x v="1"/>
    <x v="0"/>
    <n v="1"/>
    <n v="1"/>
    <n v="0"/>
    <n v="0"/>
    <n v="0"/>
    <n v="0"/>
    <n v="0"/>
    <m/>
    <n v="62"/>
    <m/>
    <s v="Unique"/>
    <s v="Valid"/>
  </r>
  <r>
    <s v="USR-100943"/>
    <d v="2025-02-04T00:00:00"/>
    <x v="1"/>
    <x v="3"/>
    <x v="1"/>
    <x v="2"/>
    <x v="1"/>
    <n v="1"/>
    <n v="1"/>
    <n v="1"/>
    <n v="1"/>
    <n v="324.68"/>
    <n v="1"/>
    <n v="0"/>
    <n v="7"/>
    <n v="50.1"/>
    <m/>
    <s v="Unique"/>
    <s v="Valid"/>
  </r>
  <r>
    <s v="USR-100944"/>
    <d v="2025-02-22T00:00:00"/>
    <x v="1"/>
    <x v="3"/>
    <x v="1"/>
    <x v="3"/>
    <x v="2"/>
    <n v="1"/>
    <n v="0"/>
    <n v="0"/>
    <n v="0"/>
    <n v="0"/>
    <n v="0"/>
    <n v="0"/>
    <m/>
    <n v="62.1"/>
    <m/>
    <s v="Unique"/>
    <s v="Valid"/>
  </r>
  <r>
    <s v="USR-100945"/>
    <d v="2025-05-06T00:00:00"/>
    <x v="1"/>
    <x v="1"/>
    <x v="1"/>
    <x v="1"/>
    <x v="0"/>
    <n v="1"/>
    <n v="0"/>
    <n v="0"/>
    <n v="0"/>
    <n v="0"/>
    <n v="0"/>
    <n v="0"/>
    <m/>
    <n v="49.7"/>
    <m/>
    <s v="Unique"/>
    <s v="Valid"/>
  </r>
  <r>
    <s v="USR-100946"/>
    <d v="2025-01-31T00:00:00"/>
    <x v="1"/>
    <x v="3"/>
    <x v="1"/>
    <x v="1"/>
    <x v="1"/>
    <n v="1"/>
    <n v="0"/>
    <n v="0"/>
    <n v="0"/>
    <n v="0"/>
    <n v="3"/>
    <n v="0"/>
    <m/>
    <n v="71.099999999999994"/>
    <m/>
    <s v="Unique"/>
    <s v="Valid"/>
  </r>
  <r>
    <s v="USR-100947"/>
    <d v="2025-02-18T00:00:00"/>
    <x v="1"/>
    <x v="0"/>
    <x v="1"/>
    <x v="4"/>
    <x v="0"/>
    <n v="0"/>
    <n v="0"/>
    <n v="0"/>
    <n v="0"/>
    <n v="0"/>
    <n v="0"/>
    <n v="0"/>
    <m/>
    <n v="70.8"/>
    <m/>
    <s v="Unique"/>
    <s v="Valid"/>
  </r>
  <r>
    <s v="USR-100948"/>
    <d v="2025-04-23T00:00:00"/>
    <x v="1"/>
    <x v="2"/>
    <x v="1"/>
    <x v="2"/>
    <x v="1"/>
    <n v="1"/>
    <n v="1"/>
    <n v="1"/>
    <n v="1"/>
    <n v="301.98"/>
    <n v="0"/>
    <n v="0"/>
    <n v="10"/>
    <n v="52.2"/>
    <m/>
    <s v="Unique"/>
    <s v="Valid"/>
  </r>
  <r>
    <s v="USR-100949"/>
    <d v="2025-02-06T00:00:00"/>
    <x v="1"/>
    <x v="0"/>
    <x v="1"/>
    <x v="1"/>
    <x v="1"/>
    <n v="1"/>
    <n v="1"/>
    <n v="1"/>
    <n v="0"/>
    <n v="0"/>
    <n v="0"/>
    <n v="0"/>
    <m/>
    <n v="73"/>
    <m/>
    <s v="Unique"/>
    <s v="Valid"/>
  </r>
  <r>
    <s v="USR-100950"/>
    <d v="2025-04-26T00:00:00"/>
    <x v="1"/>
    <x v="3"/>
    <x v="0"/>
    <x v="2"/>
    <x v="1"/>
    <n v="0"/>
    <n v="0"/>
    <n v="0"/>
    <n v="0"/>
    <n v="0"/>
    <n v="0"/>
    <n v="0"/>
    <m/>
    <n v="78.2"/>
    <m/>
    <s v="Unique"/>
    <s v="Valid"/>
  </r>
  <r>
    <s v="USR-100951"/>
    <d v="2025-03-30T00:00:00"/>
    <x v="1"/>
    <x v="1"/>
    <x v="0"/>
    <x v="2"/>
    <x v="0"/>
    <n v="1"/>
    <n v="0"/>
    <n v="0"/>
    <n v="0"/>
    <n v="0"/>
    <n v="0"/>
    <n v="0"/>
    <m/>
    <n v="68.8"/>
    <m/>
    <s v="Unique"/>
    <s v="Valid"/>
  </r>
  <r>
    <s v="USR-100952"/>
    <d v="2025-04-13T00:00:00"/>
    <x v="1"/>
    <x v="1"/>
    <x v="1"/>
    <x v="5"/>
    <x v="2"/>
    <n v="1"/>
    <n v="0"/>
    <n v="0"/>
    <n v="0"/>
    <n v="0"/>
    <n v="0"/>
    <n v="0"/>
    <m/>
    <n v="57.1"/>
    <m/>
    <s v="Unique"/>
    <s v="Valid"/>
  </r>
  <r>
    <s v="USR-100953"/>
    <d v="2025-04-04T00:00:00"/>
    <x v="1"/>
    <x v="2"/>
    <x v="0"/>
    <x v="1"/>
    <x v="2"/>
    <n v="0"/>
    <n v="0"/>
    <n v="0"/>
    <n v="0"/>
    <n v="0"/>
    <n v="1"/>
    <n v="0"/>
    <m/>
    <n v="74.599999999999994"/>
    <m/>
    <s v="Unique"/>
    <s v="Valid"/>
  </r>
  <r>
    <s v="USR-100954"/>
    <d v="2025-04-03T00:00:00"/>
    <x v="1"/>
    <x v="0"/>
    <x v="0"/>
    <x v="3"/>
    <x v="1"/>
    <n v="1"/>
    <n v="0"/>
    <n v="0"/>
    <n v="0"/>
    <n v="0"/>
    <n v="1"/>
    <n v="0"/>
    <m/>
    <n v="64.099999999999994"/>
    <m/>
    <s v="Unique"/>
    <s v="Valid"/>
  </r>
  <r>
    <s v="USR-100955"/>
    <d v="2025-03-14T00:00:00"/>
    <x v="1"/>
    <x v="1"/>
    <x v="1"/>
    <x v="2"/>
    <x v="2"/>
    <n v="1"/>
    <n v="0"/>
    <n v="0"/>
    <n v="0"/>
    <n v="0"/>
    <n v="0"/>
    <n v="0"/>
    <m/>
    <n v="67.3"/>
    <m/>
    <s v="Unique"/>
    <s v="Valid"/>
  </r>
  <r>
    <s v="USR-100956"/>
    <d v="2025-01-14T00:00:00"/>
    <x v="1"/>
    <x v="1"/>
    <x v="1"/>
    <x v="3"/>
    <x v="1"/>
    <n v="0"/>
    <n v="0"/>
    <n v="0"/>
    <n v="0"/>
    <n v="0"/>
    <n v="2"/>
    <n v="0"/>
    <m/>
    <n v="41"/>
    <m/>
    <s v="Unique"/>
    <s v="Valid"/>
  </r>
  <r>
    <s v="USR-100957"/>
    <d v="2025-05-05T00:00:00"/>
    <x v="1"/>
    <x v="1"/>
    <x v="1"/>
    <x v="2"/>
    <x v="1"/>
    <n v="0"/>
    <n v="0"/>
    <n v="0"/>
    <n v="0"/>
    <n v="0"/>
    <n v="0"/>
    <n v="0"/>
    <m/>
    <n v="48.1"/>
    <m/>
    <s v="Unique"/>
    <s v="Valid"/>
  </r>
  <r>
    <s v="USR-100958"/>
    <d v="2025-05-02T00:00:00"/>
    <x v="1"/>
    <x v="1"/>
    <x v="0"/>
    <x v="4"/>
    <x v="1"/>
    <n v="0"/>
    <n v="0"/>
    <n v="0"/>
    <n v="0"/>
    <n v="0"/>
    <n v="1"/>
    <n v="0"/>
    <m/>
    <n v="60.8"/>
    <m/>
    <s v="Unique"/>
    <s v="Valid"/>
  </r>
  <r>
    <s v="USR-100959"/>
    <d v="2025-05-21T00:00:00"/>
    <x v="1"/>
    <x v="2"/>
    <x v="1"/>
    <x v="1"/>
    <x v="1"/>
    <n v="1"/>
    <n v="0"/>
    <n v="0"/>
    <n v="0"/>
    <n v="0"/>
    <n v="0"/>
    <n v="0"/>
    <m/>
    <n v="63.1"/>
    <m/>
    <s v="Unique"/>
    <s v="Valid"/>
  </r>
  <r>
    <s v="USR-100960"/>
    <d v="2025-05-16T00:00:00"/>
    <x v="1"/>
    <x v="0"/>
    <x v="1"/>
    <x v="3"/>
    <x v="2"/>
    <n v="1"/>
    <n v="0"/>
    <n v="0"/>
    <n v="0"/>
    <n v="0"/>
    <n v="2"/>
    <n v="0"/>
    <m/>
    <n v="49.7"/>
    <m/>
    <s v="Unique"/>
    <s v="Valid"/>
  </r>
  <r>
    <s v="USR-100961"/>
    <d v="2025-05-24T00:00:00"/>
    <x v="1"/>
    <x v="2"/>
    <x v="0"/>
    <x v="1"/>
    <x v="2"/>
    <n v="1"/>
    <n v="1"/>
    <n v="1"/>
    <n v="0"/>
    <n v="0"/>
    <n v="1"/>
    <n v="0"/>
    <m/>
    <n v="83.4"/>
    <m/>
    <s v="Unique"/>
    <s v="Valid"/>
  </r>
  <r>
    <s v="USR-100962"/>
    <d v="2025-03-18T00:00:00"/>
    <x v="1"/>
    <x v="2"/>
    <x v="1"/>
    <x v="1"/>
    <x v="0"/>
    <n v="1"/>
    <n v="0"/>
    <n v="0"/>
    <n v="0"/>
    <n v="0"/>
    <n v="0"/>
    <n v="0"/>
    <m/>
    <n v="75.900000000000006"/>
    <m/>
    <s v="Unique"/>
    <s v="Valid"/>
  </r>
  <r>
    <s v="USR-100963"/>
    <d v="2025-01-11T00:00:00"/>
    <x v="1"/>
    <x v="2"/>
    <x v="0"/>
    <x v="2"/>
    <x v="1"/>
    <n v="0"/>
    <n v="0"/>
    <n v="0"/>
    <n v="0"/>
    <n v="0"/>
    <n v="1"/>
    <n v="0"/>
    <m/>
    <n v="71.8"/>
    <m/>
    <s v="Unique"/>
    <s v="Valid"/>
  </r>
  <r>
    <s v="USR-100964"/>
    <d v="2025-02-09T00:00:00"/>
    <x v="1"/>
    <x v="3"/>
    <x v="1"/>
    <x v="1"/>
    <x v="0"/>
    <n v="0"/>
    <n v="0"/>
    <n v="0"/>
    <n v="0"/>
    <n v="0"/>
    <n v="0"/>
    <n v="0"/>
    <m/>
    <n v="37.9"/>
    <m/>
    <s v="Unique"/>
    <s v="Valid"/>
  </r>
  <r>
    <s v="USR-100965"/>
    <d v="2025-03-01T00:00:00"/>
    <x v="1"/>
    <x v="0"/>
    <x v="0"/>
    <x v="4"/>
    <x v="1"/>
    <n v="1"/>
    <n v="0"/>
    <n v="0"/>
    <n v="0"/>
    <n v="0"/>
    <n v="0"/>
    <n v="0"/>
    <m/>
    <n v="59.8"/>
    <m/>
    <s v="Unique"/>
    <s v="Valid"/>
  </r>
  <r>
    <s v="USR-100966"/>
    <d v="2025-05-07T00:00:00"/>
    <x v="1"/>
    <x v="0"/>
    <x v="1"/>
    <x v="1"/>
    <x v="0"/>
    <n v="0"/>
    <n v="0"/>
    <n v="0"/>
    <n v="0"/>
    <n v="0"/>
    <n v="0"/>
    <n v="0"/>
    <m/>
    <n v="66.900000000000006"/>
    <m/>
    <s v="Unique"/>
    <s v="Valid"/>
  </r>
  <r>
    <s v="USR-100967"/>
    <d v="2025-02-19T00:00:00"/>
    <x v="1"/>
    <x v="3"/>
    <x v="0"/>
    <x v="5"/>
    <x v="1"/>
    <n v="1"/>
    <n v="0"/>
    <n v="0"/>
    <n v="0"/>
    <n v="0"/>
    <n v="0"/>
    <n v="0"/>
    <m/>
    <n v="59"/>
    <m/>
    <s v="Unique"/>
    <s v="Valid"/>
  </r>
  <r>
    <s v="USR-100968"/>
    <d v="2025-02-26T00:00:00"/>
    <x v="1"/>
    <x v="1"/>
    <x v="1"/>
    <x v="1"/>
    <x v="2"/>
    <n v="1"/>
    <n v="0"/>
    <n v="0"/>
    <n v="0"/>
    <n v="0"/>
    <n v="0"/>
    <n v="0"/>
    <m/>
    <n v="80.099999999999994"/>
    <m/>
    <s v="Unique"/>
    <s v="Valid"/>
  </r>
  <r>
    <s v="USR-100969"/>
    <d v="2025-03-23T00:00:00"/>
    <x v="1"/>
    <x v="3"/>
    <x v="1"/>
    <x v="4"/>
    <x v="1"/>
    <n v="0"/>
    <n v="0"/>
    <n v="0"/>
    <n v="0"/>
    <n v="0"/>
    <n v="0"/>
    <n v="0"/>
    <m/>
    <n v="64.3"/>
    <m/>
    <s v="Unique"/>
    <s v="Valid"/>
  </r>
  <r>
    <s v="USR-100970"/>
    <d v="2025-04-25T00:00:00"/>
    <x v="1"/>
    <x v="3"/>
    <x v="0"/>
    <x v="4"/>
    <x v="1"/>
    <n v="0"/>
    <n v="0"/>
    <n v="0"/>
    <n v="0"/>
    <n v="0"/>
    <n v="1"/>
    <n v="0"/>
    <m/>
    <n v="57.4"/>
    <m/>
    <s v="Unique"/>
    <s v="Valid"/>
  </r>
  <r>
    <s v="USR-100971"/>
    <d v="2025-05-10T00:00:00"/>
    <x v="1"/>
    <x v="0"/>
    <x v="0"/>
    <x v="4"/>
    <x v="1"/>
    <n v="1"/>
    <n v="1"/>
    <n v="1"/>
    <n v="0"/>
    <n v="0"/>
    <n v="0"/>
    <n v="0"/>
    <m/>
    <n v="83.6"/>
    <m/>
    <s v="Unique"/>
    <s v="Valid"/>
  </r>
  <r>
    <s v="USR-100972"/>
    <d v="2025-04-22T00:00:00"/>
    <x v="1"/>
    <x v="2"/>
    <x v="1"/>
    <x v="2"/>
    <x v="2"/>
    <n v="0"/>
    <n v="0"/>
    <n v="0"/>
    <n v="0"/>
    <n v="0"/>
    <n v="0"/>
    <n v="0"/>
    <m/>
    <n v="45.8"/>
    <m/>
    <s v="Unique"/>
    <s v="Valid"/>
  </r>
  <r>
    <s v="USR-100973"/>
    <d v="2025-02-18T00:00:00"/>
    <x v="1"/>
    <x v="1"/>
    <x v="1"/>
    <x v="3"/>
    <x v="0"/>
    <n v="1"/>
    <n v="1"/>
    <n v="1"/>
    <n v="0"/>
    <n v="0"/>
    <n v="0"/>
    <n v="0"/>
    <m/>
    <n v="64.3"/>
    <m/>
    <s v="Unique"/>
    <s v="Valid"/>
  </r>
  <r>
    <s v="USR-100974"/>
    <d v="2025-01-26T00:00:00"/>
    <x v="1"/>
    <x v="3"/>
    <x v="1"/>
    <x v="2"/>
    <x v="2"/>
    <n v="1"/>
    <n v="1"/>
    <n v="1"/>
    <n v="0"/>
    <n v="0"/>
    <n v="0"/>
    <n v="0"/>
    <m/>
    <n v="80.5"/>
    <m/>
    <s v="Unique"/>
    <s v="Valid"/>
  </r>
  <r>
    <s v="USR-100975"/>
    <d v="2025-04-28T00:00:00"/>
    <x v="1"/>
    <x v="0"/>
    <x v="1"/>
    <x v="1"/>
    <x v="1"/>
    <n v="1"/>
    <n v="0"/>
    <n v="0"/>
    <n v="0"/>
    <n v="0"/>
    <n v="0"/>
    <n v="0"/>
    <m/>
    <n v="46.3"/>
    <m/>
    <s v="Unique"/>
    <s v="Valid"/>
  </r>
  <r>
    <s v="USR-100976"/>
    <d v="2025-04-02T00:00:00"/>
    <x v="1"/>
    <x v="3"/>
    <x v="0"/>
    <x v="0"/>
    <x v="0"/>
    <n v="1"/>
    <n v="0"/>
    <n v="0"/>
    <n v="0"/>
    <n v="0"/>
    <n v="0"/>
    <n v="0"/>
    <m/>
    <n v="71.599999999999994"/>
    <m/>
    <s v="Unique"/>
    <s v="Valid"/>
  </r>
  <r>
    <s v="USR-100977"/>
    <d v="2025-04-12T00:00:00"/>
    <x v="1"/>
    <x v="3"/>
    <x v="0"/>
    <x v="0"/>
    <x v="2"/>
    <n v="1"/>
    <n v="1"/>
    <n v="0"/>
    <n v="0"/>
    <n v="0"/>
    <n v="0"/>
    <n v="0"/>
    <m/>
    <n v="57.8"/>
    <m/>
    <s v="Unique"/>
    <s v="Valid"/>
  </r>
  <r>
    <s v="USR-100978"/>
    <d v="2025-01-03T00:00:00"/>
    <x v="1"/>
    <x v="1"/>
    <x v="0"/>
    <x v="0"/>
    <x v="0"/>
    <n v="1"/>
    <n v="1"/>
    <n v="1"/>
    <n v="0"/>
    <n v="0"/>
    <n v="1"/>
    <n v="0"/>
    <m/>
    <n v="57.8"/>
    <m/>
    <s v="Unique"/>
    <s v="Valid"/>
  </r>
  <r>
    <s v="USR-100979"/>
    <d v="2025-05-08T00:00:00"/>
    <x v="1"/>
    <x v="0"/>
    <x v="1"/>
    <x v="2"/>
    <x v="1"/>
    <n v="1"/>
    <n v="0"/>
    <n v="0"/>
    <n v="0"/>
    <n v="0"/>
    <n v="0"/>
    <n v="0"/>
    <m/>
    <n v="38.299999999999997"/>
    <m/>
    <s v="Unique"/>
    <s v="Valid"/>
  </r>
  <r>
    <s v="USR-100980"/>
    <d v="2025-02-20T00:00:00"/>
    <x v="1"/>
    <x v="0"/>
    <x v="1"/>
    <x v="3"/>
    <x v="2"/>
    <n v="1"/>
    <n v="0"/>
    <n v="0"/>
    <n v="0"/>
    <n v="0"/>
    <n v="1"/>
    <n v="0"/>
    <m/>
    <n v="66.099999999999994"/>
    <m/>
    <s v="Unique"/>
    <s v="Valid"/>
  </r>
  <r>
    <s v="USR-100981"/>
    <d v="2025-03-17T00:00:00"/>
    <x v="1"/>
    <x v="0"/>
    <x v="0"/>
    <x v="2"/>
    <x v="2"/>
    <n v="1"/>
    <n v="0"/>
    <n v="0"/>
    <n v="0"/>
    <n v="0"/>
    <n v="0"/>
    <n v="0"/>
    <m/>
    <n v="66.5"/>
    <m/>
    <s v="Unique"/>
    <s v="Valid"/>
  </r>
  <r>
    <s v="USR-100982"/>
    <d v="2025-04-10T00:00:00"/>
    <x v="1"/>
    <x v="3"/>
    <x v="0"/>
    <x v="0"/>
    <x v="1"/>
    <n v="1"/>
    <n v="0"/>
    <n v="0"/>
    <n v="0"/>
    <n v="0"/>
    <n v="3"/>
    <n v="0"/>
    <m/>
    <n v="51.5"/>
    <m/>
    <s v="Unique"/>
    <s v="Valid"/>
  </r>
  <r>
    <s v="USR-100983"/>
    <d v="2025-05-08T00:00:00"/>
    <x v="1"/>
    <x v="0"/>
    <x v="0"/>
    <x v="3"/>
    <x v="1"/>
    <n v="1"/>
    <n v="0"/>
    <n v="0"/>
    <n v="0"/>
    <n v="0"/>
    <n v="0"/>
    <n v="0"/>
    <m/>
    <n v="59.9"/>
    <m/>
    <s v="Unique"/>
    <s v="Valid"/>
  </r>
  <r>
    <s v="USR-100984"/>
    <d v="2025-04-19T00:00:00"/>
    <x v="1"/>
    <x v="1"/>
    <x v="1"/>
    <x v="2"/>
    <x v="0"/>
    <n v="1"/>
    <n v="0"/>
    <n v="0"/>
    <n v="0"/>
    <n v="0"/>
    <n v="0"/>
    <n v="0"/>
    <m/>
    <n v="58.8"/>
    <m/>
    <s v="Unique"/>
    <s v="Valid"/>
  </r>
  <r>
    <s v="USR-100985"/>
    <d v="2025-01-01T00:00:00"/>
    <x v="1"/>
    <x v="3"/>
    <x v="2"/>
    <x v="2"/>
    <x v="0"/>
    <n v="1"/>
    <n v="0"/>
    <n v="0"/>
    <n v="0"/>
    <n v="0"/>
    <n v="0"/>
    <n v="0"/>
    <m/>
    <n v="69.599999999999994"/>
    <m/>
    <s v="Unique"/>
    <s v="Valid"/>
  </r>
  <r>
    <s v="USR-100986"/>
    <d v="2025-03-10T00:00:00"/>
    <x v="1"/>
    <x v="2"/>
    <x v="1"/>
    <x v="2"/>
    <x v="1"/>
    <n v="1"/>
    <n v="0"/>
    <n v="0"/>
    <n v="0"/>
    <n v="0"/>
    <n v="0"/>
    <n v="0"/>
    <m/>
    <n v="77.5"/>
    <m/>
    <s v="Unique"/>
    <s v="Valid"/>
  </r>
  <r>
    <s v="USR-100987"/>
    <d v="2025-03-10T00:00:00"/>
    <x v="1"/>
    <x v="2"/>
    <x v="2"/>
    <x v="4"/>
    <x v="2"/>
    <n v="0"/>
    <n v="0"/>
    <n v="0"/>
    <n v="0"/>
    <n v="0"/>
    <n v="2"/>
    <n v="0"/>
    <m/>
    <n v="57.5"/>
    <m/>
    <s v="Unique"/>
    <s v="Valid"/>
  </r>
  <r>
    <s v="USR-100988"/>
    <d v="2025-04-19T00:00:00"/>
    <x v="1"/>
    <x v="1"/>
    <x v="2"/>
    <x v="0"/>
    <x v="0"/>
    <n v="1"/>
    <n v="0"/>
    <n v="0"/>
    <n v="0"/>
    <n v="0"/>
    <n v="0"/>
    <n v="0"/>
    <m/>
    <n v="64.2"/>
    <m/>
    <s v="Unique"/>
    <s v="Valid"/>
  </r>
  <r>
    <s v="USR-100989"/>
    <d v="2025-04-11T00:00:00"/>
    <x v="1"/>
    <x v="1"/>
    <x v="0"/>
    <x v="1"/>
    <x v="1"/>
    <n v="0"/>
    <n v="0"/>
    <n v="0"/>
    <n v="0"/>
    <n v="0"/>
    <n v="0"/>
    <n v="0"/>
    <m/>
    <n v="60"/>
    <m/>
    <s v="Unique"/>
    <s v="Valid"/>
  </r>
  <r>
    <s v="USR-100990"/>
    <d v="2025-04-10T00:00:00"/>
    <x v="1"/>
    <x v="2"/>
    <x v="1"/>
    <x v="1"/>
    <x v="0"/>
    <n v="1"/>
    <n v="0"/>
    <n v="0"/>
    <n v="0"/>
    <n v="0"/>
    <n v="1"/>
    <n v="0"/>
    <m/>
    <n v="43.7"/>
    <m/>
    <s v="Unique"/>
    <s v="Valid"/>
  </r>
  <r>
    <s v="USR-100991"/>
    <d v="2025-01-13T00:00:00"/>
    <x v="1"/>
    <x v="1"/>
    <x v="0"/>
    <x v="4"/>
    <x v="1"/>
    <n v="1"/>
    <n v="0"/>
    <n v="0"/>
    <n v="0"/>
    <n v="0"/>
    <n v="0"/>
    <n v="0"/>
    <m/>
    <n v="64.900000000000006"/>
    <m/>
    <s v="Unique"/>
    <s v="Valid"/>
  </r>
  <r>
    <s v="USR-100992"/>
    <d v="2025-03-28T00:00:00"/>
    <x v="1"/>
    <x v="3"/>
    <x v="0"/>
    <x v="1"/>
    <x v="1"/>
    <n v="1"/>
    <n v="1"/>
    <n v="0"/>
    <n v="0"/>
    <n v="0"/>
    <n v="0"/>
    <n v="0"/>
    <m/>
    <n v="45.5"/>
    <m/>
    <s v="Unique"/>
    <s v="Valid"/>
  </r>
  <r>
    <s v="USR-100993"/>
    <d v="2025-01-29T00:00:00"/>
    <x v="1"/>
    <x v="2"/>
    <x v="1"/>
    <x v="2"/>
    <x v="1"/>
    <n v="1"/>
    <n v="1"/>
    <n v="1"/>
    <n v="1"/>
    <n v="1772.97"/>
    <n v="0"/>
    <n v="0"/>
    <n v="8"/>
    <n v="61.2"/>
    <m/>
    <s v="Unique"/>
    <s v="Valid"/>
  </r>
  <r>
    <s v="USR-100994"/>
    <d v="2025-03-27T00:00:00"/>
    <x v="1"/>
    <x v="3"/>
    <x v="1"/>
    <x v="3"/>
    <x v="1"/>
    <n v="0"/>
    <n v="0"/>
    <n v="0"/>
    <n v="0"/>
    <n v="0"/>
    <n v="0"/>
    <n v="0"/>
    <m/>
    <n v="87.8"/>
    <m/>
    <s v="Unique"/>
    <s v="Valid"/>
  </r>
  <r>
    <s v="USR-100995"/>
    <d v="2025-03-20T00:00:00"/>
    <x v="1"/>
    <x v="2"/>
    <x v="2"/>
    <x v="4"/>
    <x v="1"/>
    <n v="0"/>
    <n v="0"/>
    <n v="0"/>
    <n v="0"/>
    <n v="0"/>
    <n v="0"/>
    <n v="0"/>
    <m/>
    <n v="86.4"/>
    <m/>
    <s v="Unique"/>
    <s v="Valid"/>
  </r>
  <r>
    <s v="USR-100996"/>
    <d v="2025-01-09T00:00:00"/>
    <x v="1"/>
    <x v="0"/>
    <x v="1"/>
    <x v="2"/>
    <x v="0"/>
    <n v="0"/>
    <n v="0"/>
    <n v="0"/>
    <n v="0"/>
    <n v="0"/>
    <n v="1"/>
    <n v="0"/>
    <m/>
    <n v="71.400000000000006"/>
    <m/>
    <s v="Unique"/>
    <s v="Valid"/>
  </r>
  <r>
    <s v="USR-100997"/>
    <d v="2025-04-25T00:00:00"/>
    <x v="1"/>
    <x v="1"/>
    <x v="1"/>
    <x v="4"/>
    <x v="1"/>
    <n v="1"/>
    <n v="1"/>
    <n v="1"/>
    <n v="1"/>
    <n v="218.66"/>
    <n v="0"/>
    <n v="1"/>
    <n v="8"/>
    <n v="72.2"/>
    <m/>
    <s v="Unique"/>
    <s v="Valid"/>
  </r>
  <r>
    <s v="USR-100998"/>
    <d v="2025-04-11T00:00:00"/>
    <x v="1"/>
    <x v="3"/>
    <x v="0"/>
    <x v="4"/>
    <x v="1"/>
    <n v="1"/>
    <n v="0"/>
    <n v="0"/>
    <n v="0"/>
    <n v="0"/>
    <n v="0"/>
    <n v="0"/>
    <m/>
    <n v="51.9"/>
    <m/>
    <s v="Unique"/>
    <s v="Valid"/>
  </r>
  <r>
    <s v="USR-100999"/>
    <d v="2025-02-05T00:00:00"/>
    <x v="1"/>
    <x v="2"/>
    <x v="1"/>
    <x v="4"/>
    <x v="0"/>
    <n v="1"/>
    <n v="1"/>
    <n v="1"/>
    <n v="0"/>
    <n v="0"/>
    <n v="0"/>
    <n v="0"/>
    <m/>
    <n v="70.3"/>
    <m/>
    <s v="Unique"/>
    <s v="Valid"/>
  </r>
  <r>
    <s v="USR-101000"/>
    <d v="2025-03-28T00:00:00"/>
    <x v="1"/>
    <x v="3"/>
    <x v="1"/>
    <x v="4"/>
    <x v="2"/>
    <n v="1"/>
    <n v="0"/>
    <n v="0"/>
    <n v="0"/>
    <n v="0"/>
    <n v="1"/>
    <n v="0"/>
    <m/>
    <n v="49.2"/>
    <m/>
    <s v="Unique"/>
    <s v="Valid"/>
  </r>
  <r>
    <s v="USR-101001"/>
    <d v="2025-05-14T00:00:00"/>
    <x v="1"/>
    <x v="3"/>
    <x v="1"/>
    <x v="3"/>
    <x v="1"/>
    <n v="0"/>
    <n v="0"/>
    <n v="0"/>
    <n v="0"/>
    <n v="0"/>
    <n v="0"/>
    <n v="0"/>
    <m/>
    <n v="52.2"/>
    <m/>
    <s v="Unique"/>
    <s v="Valid"/>
  </r>
  <r>
    <s v="USR-101002"/>
    <d v="2025-03-10T00:00:00"/>
    <x v="1"/>
    <x v="2"/>
    <x v="1"/>
    <x v="2"/>
    <x v="0"/>
    <n v="0"/>
    <n v="0"/>
    <n v="0"/>
    <n v="0"/>
    <n v="0"/>
    <n v="1"/>
    <n v="0"/>
    <m/>
    <n v="62.6"/>
    <m/>
    <s v="Unique"/>
    <s v="Valid"/>
  </r>
  <r>
    <s v="USR-101003"/>
    <d v="2025-04-09T00:00:00"/>
    <x v="1"/>
    <x v="2"/>
    <x v="0"/>
    <x v="2"/>
    <x v="1"/>
    <n v="1"/>
    <n v="1"/>
    <n v="0"/>
    <n v="0"/>
    <n v="0"/>
    <n v="0"/>
    <n v="0"/>
    <m/>
    <n v="100"/>
    <m/>
    <s v="Unique"/>
    <s v="Valid"/>
  </r>
  <r>
    <s v="USR-101004"/>
    <d v="2025-02-13T00:00:00"/>
    <x v="1"/>
    <x v="0"/>
    <x v="1"/>
    <x v="3"/>
    <x v="0"/>
    <n v="1"/>
    <n v="1"/>
    <n v="1"/>
    <n v="0"/>
    <n v="0"/>
    <n v="2"/>
    <n v="0"/>
    <m/>
    <n v="45.9"/>
    <m/>
    <s v="Unique"/>
    <s v="Valid"/>
  </r>
  <r>
    <s v="USR-101005"/>
    <d v="2025-05-03T00:00:00"/>
    <x v="1"/>
    <x v="2"/>
    <x v="1"/>
    <x v="0"/>
    <x v="1"/>
    <n v="1"/>
    <n v="1"/>
    <n v="1"/>
    <n v="0"/>
    <n v="0"/>
    <n v="0"/>
    <n v="0"/>
    <m/>
    <n v="80.7"/>
    <m/>
    <s v="Unique"/>
    <s v="Valid"/>
  </r>
  <r>
    <s v="USR-101006"/>
    <d v="2025-04-16T00:00:00"/>
    <x v="1"/>
    <x v="3"/>
    <x v="0"/>
    <x v="3"/>
    <x v="2"/>
    <n v="1"/>
    <n v="0"/>
    <n v="0"/>
    <n v="0"/>
    <n v="0"/>
    <n v="0"/>
    <n v="0"/>
    <m/>
    <n v="51.9"/>
    <m/>
    <s v="Unique"/>
    <s v="Valid"/>
  </r>
  <r>
    <s v="USR-101007"/>
    <d v="2025-04-30T00:00:00"/>
    <x v="1"/>
    <x v="0"/>
    <x v="1"/>
    <x v="2"/>
    <x v="2"/>
    <n v="1"/>
    <n v="0"/>
    <n v="0"/>
    <n v="0"/>
    <n v="0"/>
    <n v="0"/>
    <n v="0"/>
    <m/>
    <n v="68.900000000000006"/>
    <m/>
    <s v="Unique"/>
    <s v="Valid"/>
  </r>
  <r>
    <s v="USR-101008"/>
    <d v="2025-02-18T00:00:00"/>
    <x v="1"/>
    <x v="1"/>
    <x v="0"/>
    <x v="1"/>
    <x v="1"/>
    <n v="1"/>
    <n v="0"/>
    <n v="0"/>
    <n v="0"/>
    <n v="0"/>
    <n v="0"/>
    <n v="0"/>
    <m/>
    <n v="66"/>
    <m/>
    <s v="Unique"/>
    <s v="Valid"/>
  </r>
  <r>
    <s v="USR-101009"/>
    <d v="2025-05-22T00:00:00"/>
    <x v="1"/>
    <x v="1"/>
    <x v="0"/>
    <x v="3"/>
    <x v="0"/>
    <n v="0"/>
    <n v="0"/>
    <n v="0"/>
    <n v="0"/>
    <n v="0"/>
    <n v="0"/>
    <n v="0"/>
    <m/>
    <n v="63.1"/>
    <m/>
    <s v="Unique"/>
    <s v="Valid"/>
  </r>
  <r>
    <s v="USR-101010"/>
    <d v="2025-05-21T00:00:00"/>
    <x v="1"/>
    <x v="3"/>
    <x v="0"/>
    <x v="1"/>
    <x v="1"/>
    <n v="0"/>
    <n v="0"/>
    <n v="0"/>
    <n v="0"/>
    <n v="0"/>
    <n v="0"/>
    <n v="0"/>
    <m/>
    <n v="56"/>
    <m/>
    <s v="Unique"/>
    <s v="Valid"/>
  </r>
  <r>
    <s v="USR-101011"/>
    <d v="2025-04-10T00:00:00"/>
    <x v="1"/>
    <x v="2"/>
    <x v="0"/>
    <x v="1"/>
    <x v="1"/>
    <n v="1"/>
    <n v="0"/>
    <n v="0"/>
    <n v="0"/>
    <n v="0"/>
    <n v="1"/>
    <n v="0"/>
    <m/>
    <n v="65.7"/>
    <m/>
    <s v="Unique"/>
    <s v="Valid"/>
  </r>
  <r>
    <s v="USR-101012"/>
    <d v="2025-01-07T00:00:00"/>
    <x v="1"/>
    <x v="0"/>
    <x v="0"/>
    <x v="1"/>
    <x v="2"/>
    <n v="1"/>
    <n v="1"/>
    <n v="1"/>
    <n v="1"/>
    <n v="1938.31"/>
    <n v="1"/>
    <n v="0"/>
    <n v="9"/>
    <n v="60.9"/>
    <m/>
    <s v="Unique"/>
    <s v="Valid"/>
  </r>
  <r>
    <s v="USR-101013"/>
    <d v="2025-02-03T00:00:00"/>
    <x v="1"/>
    <x v="3"/>
    <x v="0"/>
    <x v="4"/>
    <x v="1"/>
    <n v="0"/>
    <n v="0"/>
    <n v="0"/>
    <n v="0"/>
    <n v="0"/>
    <n v="0"/>
    <n v="0"/>
    <m/>
    <n v="45.5"/>
    <m/>
    <s v="Unique"/>
    <s v="Valid"/>
  </r>
  <r>
    <s v="USR-101014"/>
    <d v="2025-05-18T00:00:00"/>
    <x v="1"/>
    <x v="0"/>
    <x v="1"/>
    <x v="2"/>
    <x v="1"/>
    <n v="1"/>
    <n v="0"/>
    <n v="0"/>
    <n v="0"/>
    <n v="0"/>
    <n v="0"/>
    <n v="0"/>
    <m/>
    <n v="50"/>
    <m/>
    <s v="Unique"/>
    <s v="Valid"/>
  </r>
  <r>
    <s v="USR-101015"/>
    <d v="2025-01-31T00:00:00"/>
    <x v="1"/>
    <x v="0"/>
    <x v="1"/>
    <x v="3"/>
    <x v="1"/>
    <n v="1"/>
    <n v="0"/>
    <n v="0"/>
    <n v="0"/>
    <n v="0"/>
    <n v="0"/>
    <n v="0"/>
    <m/>
    <n v="72.099999999999994"/>
    <m/>
    <s v="Unique"/>
    <s v="Valid"/>
  </r>
  <r>
    <s v="USR-101016"/>
    <d v="2025-01-16T00:00:00"/>
    <x v="1"/>
    <x v="3"/>
    <x v="0"/>
    <x v="1"/>
    <x v="0"/>
    <n v="1"/>
    <n v="0"/>
    <n v="0"/>
    <n v="0"/>
    <n v="0"/>
    <n v="0"/>
    <n v="0"/>
    <m/>
    <n v="76.3"/>
    <m/>
    <s v="Unique"/>
    <s v="Valid"/>
  </r>
  <r>
    <s v="USR-101017"/>
    <d v="2025-05-14T00:00:00"/>
    <x v="1"/>
    <x v="2"/>
    <x v="1"/>
    <x v="2"/>
    <x v="0"/>
    <n v="1"/>
    <n v="1"/>
    <n v="0"/>
    <n v="0"/>
    <n v="0"/>
    <n v="1"/>
    <n v="0"/>
    <m/>
    <n v="54.8"/>
    <m/>
    <s v="Unique"/>
    <s v="Valid"/>
  </r>
  <r>
    <s v="USR-101018"/>
    <d v="2025-04-01T00:00:00"/>
    <x v="1"/>
    <x v="3"/>
    <x v="1"/>
    <x v="5"/>
    <x v="0"/>
    <n v="1"/>
    <n v="0"/>
    <n v="0"/>
    <n v="0"/>
    <n v="0"/>
    <n v="0"/>
    <n v="0"/>
    <m/>
    <n v="63.6"/>
    <m/>
    <s v="Unique"/>
    <s v="Valid"/>
  </r>
  <r>
    <s v="USR-101019"/>
    <d v="2025-04-23T00:00:00"/>
    <x v="1"/>
    <x v="3"/>
    <x v="1"/>
    <x v="1"/>
    <x v="1"/>
    <n v="1"/>
    <n v="0"/>
    <n v="0"/>
    <n v="0"/>
    <n v="0"/>
    <n v="0"/>
    <n v="0"/>
    <m/>
    <n v="68.8"/>
    <m/>
    <s v="Unique"/>
    <s v="Valid"/>
  </r>
  <r>
    <s v="USR-101020"/>
    <d v="2025-03-02T00:00:00"/>
    <x v="1"/>
    <x v="3"/>
    <x v="0"/>
    <x v="2"/>
    <x v="0"/>
    <n v="1"/>
    <n v="0"/>
    <n v="0"/>
    <n v="0"/>
    <n v="0"/>
    <n v="0"/>
    <n v="0"/>
    <m/>
    <n v="63.2"/>
    <m/>
    <s v="Unique"/>
    <s v="Valid"/>
  </r>
  <r>
    <s v="USR-101021"/>
    <d v="2025-01-02T00:00:00"/>
    <x v="1"/>
    <x v="2"/>
    <x v="1"/>
    <x v="2"/>
    <x v="0"/>
    <n v="0"/>
    <n v="0"/>
    <n v="0"/>
    <n v="0"/>
    <n v="0"/>
    <n v="0"/>
    <n v="0"/>
    <m/>
    <n v="45"/>
    <m/>
    <s v="Unique"/>
    <s v="Valid"/>
  </r>
  <r>
    <s v="USR-101022"/>
    <d v="2025-05-04T00:00:00"/>
    <x v="1"/>
    <x v="3"/>
    <x v="1"/>
    <x v="1"/>
    <x v="1"/>
    <n v="1"/>
    <n v="0"/>
    <n v="0"/>
    <n v="0"/>
    <n v="0"/>
    <n v="0"/>
    <n v="0"/>
    <m/>
    <n v="77.400000000000006"/>
    <m/>
    <s v="Unique"/>
    <s v="Valid"/>
  </r>
  <r>
    <s v="USR-101023"/>
    <d v="2025-01-16T00:00:00"/>
    <x v="1"/>
    <x v="2"/>
    <x v="0"/>
    <x v="2"/>
    <x v="0"/>
    <n v="0"/>
    <n v="0"/>
    <n v="0"/>
    <n v="0"/>
    <n v="0"/>
    <n v="0"/>
    <n v="0"/>
    <m/>
    <n v="53.1"/>
    <m/>
    <s v="Unique"/>
    <s v="Valid"/>
  </r>
  <r>
    <s v="USR-101024"/>
    <d v="2025-02-11T00:00:00"/>
    <x v="1"/>
    <x v="1"/>
    <x v="2"/>
    <x v="2"/>
    <x v="2"/>
    <n v="0"/>
    <n v="0"/>
    <n v="0"/>
    <n v="0"/>
    <n v="0"/>
    <n v="0"/>
    <n v="0"/>
    <m/>
    <n v="74"/>
    <m/>
    <s v="Unique"/>
    <s v="Valid"/>
  </r>
  <r>
    <s v="USR-101025"/>
    <d v="2025-04-03T00:00:00"/>
    <x v="1"/>
    <x v="0"/>
    <x v="1"/>
    <x v="4"/>
    <x v="2"/>
    <n v="1"/>
    <n v="1"/>
    <n v="1"/>
    <n v="1"/>
    <n v="1906.23"/>
    <n v="0"/>
    <n v="0"/>
    <n v="4"/>
    <n v="84.6"/>
    <m/>
    <s v="Unique"/>
    <s v="Valid"/>
  </r>
  <r>
    <s v="USR-101026"/>
    <d v="2025-03-26T00:00:00"/>
    <x v="1"/>
    <x v="2"/>
    <x v="1"/>
    <x v="3"/>
    <x v="1"/>
    <n v="1"/>
    <n v="0"/>
    <n v="0"/>
    <n v="0"/>
    <n v="0"/>
    <n v="0"/>
    <n v="0"/>
    <m/>
    <n v="57"/>
    <m/>
    <s v="Unique"/>
    <s v="Valid"/>
  </r>
  <r>
    <s v="USR-101027"/>
    <d v="2025-05-16T00:00:00"/>
    <x v="1"/>
    <x v="3"/>
    <x v="1"/>
    <x v="0"/>
    <x v="2"/>
    <n v="0"/>
    <n v="0"/>
    <n v="0"/>
    <n v="0"/>
    <n v="0"/>
    <n v="0"/>
    <n v="0"/>
    <m/>
    <n v="46.3"/>
    <m/>
    <s v="Unique"/>
    <s v="Valid"/>
  </r>
  <r>
    <s v="USR-101028"/>
    <d v="2025-04-20T00:00:00"/>
    <x v="1"/>
    <x v="1"/>
    <x v="1"/>
    <x v="4"/>
    <x v="1"/>
    <n v="0"/>
    <n v="0"/>
    <n v="0"/>
    <n v="0"/>
    <n v="0"/>
    <n v="1"/>
    <n v="0"/>
    <m/>
    <n v="64.400000000000006"/>
    <m/>
    <s v="Unique"/>
    <s v="Valid"/>
  </r>
  <r>
    <s v="USR-101029"/>
    <d v="2025-04-15T00:00:00"/>
    <x v="1"/>
    <x v="1"/>
    <x v="1"/>
    <x v="2"/>
    <x v="1"/>
    <n v="1"/>
    <n v="0"/>
    <n v="0"/>
    <n v="0"/>
    <n v="0"/>
    <n v="2"/>
    <n v="0"/>
    <m/>
    <n v="61.9"/>
    <m/>
    <s v="Unique"/>
    <s v="Valid"/>
  </r>
  <r>
    <s v="USR-101030"/>
    <d v="2025-01-24T00:00:00"/>
    <x v="1"/>
    <x v="0"/>
    <x v="1"/>
    <x v="1"/>
    <x v="2"/>
    <n v="1"/>
    <n v="1"/>
    <n v="1"/>
    <n v="0"/>
    <n v="0"/>
    <n v="0"/>
    <n v="0"/>
    <m/>
    <n v="93.7"/>
    <m/>
    <s v="Unique"/>
    <s v="Valid"/>
  </r>
  <r>
    <s v="USR-101031"/>
    <d v="2025-04-11T00:00:00"/>
    <x v="1"/>
    <x v="3"/>
    <x v="1"/>
    <x v="3"/>
    <x v="0"/>
    <n v="0"/>
    <n v="0"/>
    <n v="0"/>
    <n v="0"/>
    <n v="0"/>
    <n v="0"/>
    <n v="0"/>
    <m/>
    <n v="61.6"/>
    <m/>
    <s v="Unique"/>
    <s v="Valid"/>
  </r>
  <r>
    <s v="USR-101032"/>
    <d v="2025-05-19T00:00:00"/>
    <x v="1"/>
    <x v="0"/>
    <x v="1"/>
    <x v="2"/>
    <x v="1"/>
    <n v="1"/>
    <n v="0"/>
    <n v="0"/>
    <n v="0"/>
    <n v="0"/>
    <n v="0"/>
    <n v="0"/>
    <m/>
    <n v="72.2"/>
    <m/>
    <s v="Unique"/>
    <s v="Valid"/>
  </r>
  <r>
    <s v="USR-101033"/>
    <d v="2025-01-14T00:00:00"/>
    <x v="1"/>
    <x v="0"/>
    <x v="1"/>
    <x v="1"/>
    <x v="0"/>
    <n v="0"/>
    <n v="0"/>
    <n v="0"/>
    <n v="0"/>
    <n v="0"/>
    <n v="0"/>
    <n v="0"/>
    <m/>
    <n v="69.5"/>
    <m/>
    <s v="Unique"/>
    <s v="Valid"/>
  </r>
  <r>
    <s v="USR-101034"/>
    <d v="2025-02-28T00:00:00"/>
    <x v="1"/>
    <x v="2"/>
    <x v="0"/>
    <x v="1"/>
    <x v="0"/>
    <n v="0"/>
    <n v="0"/>
    <n v="0"/>
    <n v="0"/>
    <n v="0"/>
    <n v="0"/>
    <n v="0"/>
    <m/>
    <n v="59.7"/>
    <m/>
    <s v="Unique"/>
    <s v="Valid"/>
  </r>
  <r>
    <s v="USR-101035"/>
    <d v="2025-05-18T00:00:00"/>
    <x v="1"/>
    <x v="2"/>
    <x v="2"/>
    <x v="2"/>
    <x v="0"/>
    <n v="1"/>
    <n v="0"/>
    <n v="0"/>
    <n v="0"/>
    <n v="0"/>
    <n v="0"/>
    <n v="0"/>
    <m/>
    <n v="73.900000000000006"/>
    <m/>
    <s v="Unique"/>
    <s v="Valid"/>
  </r>
  <r>
    <s v="USR-101036"/>
    <d v="2025-01-04T00:00:00"/>
    <x v="1"/>
    <x v="0"/>
    <x v="1"/>
    <x v="4"/>
    <x v="1"/>
    <n v="0"/>
    <n v="0"/>
    <n v="0"/>
    <n v="0"/>
    <n v="0"/>
    <n v="0"/>
    <n v="0"/>
    <m/>
    <n v="41.5"/>
    <m/>
    <s v="Unique"/>
    <s v="Valid"/>
  </r>
  <r>
    <s v="USR-101037"/>
    <d v="2025-01-16T00:00:00"/>
    <x v="1"/>
    <x v="1"/>
    <x v="1"/>
    <x v="4"/>
    <x v="2"/>
    <n v="1"/>
    <n v="0"/>
    <n v="0"/>
    <n v="0"/>
    <n v="0"/>
    <n v="0"/>
    <n v="0"/>
    <m/>
    <n v="82.8"/>
    <m/>
    <s v="Unique"/>
    <s v="Valid"/>
  </r>
  <r>
    <s v="USR-101038"/>
    <d v="2025-03-14T00:00:00"/>
    <x v="1"/>
    <x v="1"/>
    <x v="1"/>
    <x v="4"/>
    <x v="2"/>
    <n v="1"/>
    <n v="0"/>
    <n v="0"/>
    <n v="0"/>
    <n v="0"/>
    <n v="3"/>
    <n v="0"/>
    <m/>
    <n v="70.2"/>
    <m/>
    <s v="Unique"/>
    <s v="Valid"/>
  </r>
  <r>
    <s v="USR-101039"/>
    <d v="2025-01-23T00:00:00"/>
    <x v="1"/>
    <x v="2"/>
    <x v="1"/>
    <x v="2"/>
    <x v="0"/>
    <n v="1"/>
    <n v="0"/>
    <n v="0"/>
    <n v="0"/>
    <n v="0"/>
    <n v="1"/>
    <n v="0"/>
    <m/>
    <n v="69.400000000000006"/>
    <m/>
    <s v="Unique"/>
    <s v="Valid"/>
  </r>
  <r>
    <s v="USR-101040"/>
    <d v="2025-02-03T00:00:00"/>
    <x v="1"/>
    <x v="0"/>
    <x v="0"/>
    <x v="1"/>
    <x v="0"/>
    <n v="1"/>
    <n v="0"/>
    <n v="0"/>
    <n v="0"/>
    <n v="0"/>
    <n v="0"/>
    <n v="0"/>
    <m/>
    <n v="60.4"/>
    <m/>
    <s v="Unique"/>
    <s v="Valid"/>
  </r>
  <r>
    <s v="USR-101041"/>
    <d v="2025-05-16T00:00:00"/>
    <x v="1"/>
    <x v="2"/>
    <x v="1"/>
    <x v="3"/>
    <x v="1"/>
    <n v="1"/>
    <n v="0"/>
    <n v="0"/>
    <n v="0"/>
    <n v="0"/>
    <n v="0"/>
    <n v="0"/>
    <m/>
    <n v="45.7"/>
    <m/>
    <s v="Unique"/>
    <s v="Valid"/>
  </r>
  <r>
    <s v="USR-101042"/>
    <d v="2025-01-11T00:00:00"/>
    <x v="1"/>
    <x v="1"/>
    <x v="1"/>
    <x v="1"/>
    <x v="0"/>
    <n v="0"/>
    <n v="0"/>
    <n v="0"/>
    <n v="0"/>
    <n v="0"/>
    <n v="1"/>
    <n v="0"/>
    <m/>
    <n v="42.2"/>
    <m/>
    <s v="Unique"/>
    <s v="Valid"/>
  </r>
  <r>
    <s v="USR-101043"/>
    <d v="2025-05-25T00:00:00"/>
    <x v="1"/>
    <x v="0"/>
    <x v="0"/>
    <x v="1"/>
    <x v="1"/>
    <n v="0"/>
    <n v="0"/>
    <n v="0"/>
    <n v="0"/>
    <n v="0"/>
    <n v="2"/>
    <n v="0"/>
    <m/>
    <n v="61.9"/>
    <m/>
    <s v="Unique"/>
    <s v="Valid"/>
  </r>
  <r>
    <s v="USR-101044"/>
    <d v="2025-05-08T00:00:00"/>
    <x v="1"/>
    <x v="2"/>
    <x v="1"/>
    <x v="2"/>
    <x v="2"/>
    <n v="0"/>
    <n v="0"/>
    <n v="0"/>
    <n v="0"/>
    <n v="0"/>
    <n v="0"/>
    <n v="0"/>
    <m/>
    <n v="44.9"/>
    <m/>
    <s v="Unique"/>
    <s v="Valid"/>
  </r>
  <r>
    <s v="USR-101045"/>
    <d v="2025-02-26T00:00:00"/>
    <x v="1"/>
    <x v="2"/>
    <x v="0"/>
    <x v="5"/>
    <x v="0"/>
    <n v="1"/>
    <n v="0"/>
    <n v="0"/>
    <n v="0"/>
    <n v="0"/>
    <n v="0"/>
    <n v="0"/>
    <m/>
    <n v="68"/>
    <m/>
    <s v="Unique"/>
    <s v="Valid"/>
  </r>
  <r>
    <s v="USR-101046"/>
    <d v="2025-03-30T00:00:00"/>
    <x v="1"/>
    <x v="0"/>
    <x v="1"/>
    <x v="2"/>
    <x v="1"/>
    <n v="1"/>
    <n v="0"/>
    <n v="0"/>
    <n v="0"/>
    <n v="0"/>
    <n v="0"/>
    <n v="0"/>
    <m/>
    <n v="61"/>
    <m/>
    <s v="Unique"/>
    <s v="Valid"/>
  </r>
  <r>
    <s v="USR-101047"/>
    <d v="2025-04-13T00:00:00"/>
    <x v="1"/>
    <x v="1"/>
    <x v="1"/>
    <x v="1"/>
    <x v="0"/>
    <n v="1"/>
    <n v="0"/>
    <n v="0"/>
    <n v="0"/>
    <n v="0"/>
    <n v="0"/>
    <n v="0"/>
    <m/>
    <n v="55"/>
    <m/>
    <s v="Unique"/>
    <s v="Valid"/>
  </r>
  <r>
    <s v="USR-101048"/>
    <d v="2025-02-20T00:00:00"/>
    <x v="1"/>
    <x v="2"/>
    <x v="3"/>
    <x v="2"/>
    <x v="0"/>
    <n v="1"/>
    <n v="0"/>
    <n v="0"/>
    <n v="0"/>
    <n v="0"/>
    <n v="0"/>
    <n v="0"/>
    <m/>
    <n v="63.1"/>
    <m/>
    <s v="Unique"/>
    <s v="Valid"/>
  </r>
  <r>
    <s v="USR-101049"/>
    <d v="2025-04-19T00:00:00"/>
    <x v="1"/>
    <x v="1"/>
    <x v="0"/>
    <x v="4"/>
    <x v="1"/>
    <n v="1"/>
    <n v="0"/>
    <n v="0"/>
    <n v="0"/>
    <n v="0"/>
    <n v="0"/>
    <n v="0"/>
    <m/>
    <n v="75.8"/>
    <m/>
    <s v="Unique"/>
    <s v="Valid"/>
  </r>
  <r>
    <s v="USR-101050"/>
    <d v="2025-03-22T00:00:00"/>
    <x v="1"/>
    <x v="3"/>
    <x v="1"/>
    <x v="2"/>
    <x v="1"/>
    <n v="1"/>
    <n v="1"/>
    <n v="0"/>
    <n v="0"/>
    <n v="0"/>
    <n v="1"/>
    <n v="0"/>
    <m/>
    <n v="43.8"/>
    <m/>
    <s v="Unique"/>
    <s v="Valid"/>
  </r>
  <r>
    <s v="USR-101051"/>
    <d v="2025-02-28T00:00:00"/>
    <x v="1"/>
    <x v="0"/>
    <x v="1"/>
    <x v="0"/>
    <x v="0"/>
    <n v="1"/>
    <n v="1"/>
    <n v="0"/>
    <n v="0"/>
    <n v="0"/>
    <n v="0"/>
    <n v="0"/>
    <m/>
    <n v="46.8"/>
    <m/>
    <s v="Unique"/>
    <s v="Valid"/>
  </r>
  <r>
    <s v="USR-101052"/>
    <d v="2025-05-24T00:00:00"/>
    <x v="1"/>
    <x v="2"/>
    <x v="1"/>
    <x v="4"/>
    <x v="1"/>
    <n v="1"/>
    <n v="1"/>
    <n v="1"/>
    <n v="0"/>
    <n v="0"/>
    <n v="0"/>
    <n v="0"/>
    <m/>
    <n v="97.4"/>
    <m/>
    <s v="Unique"/>
    <s v="Valid"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14"/>
    <n v="81"/>
    <m/>
    <s v="Unique"/>
    <s v="Valid"/>
  </r>
  <r>
    <s v="USR-101054"/>
    <d v="2025-01-27T00:00:00"/>
    <x v="1"/>
    <x v="3"/>
    <x v="1"/>
    <x v="1"/>
    <x v="1"/>
    <n v="1"/>
    <n v="0"/>
    <n v="0"/>
    <n v="0"/>
    <n v="0"/>
    <n v="1"/>
    <n v="0"/>
    <m/>
    <n v="58.9"/>
    <m/>
    <s v="Unique"/>
    <s v="Valid"/>
  </r>
  <r>
    <s v="USR-101055"/>
    <d v="2025-04-17T00:00:00"/>
    <x v="1"/>
    <x v="2"/>
    <x v="1"/>
    <x v="1"/>
    <x v="1"/>
    <n v="1"/>
    <n v="0"/>
    <n v="0"/>
    <n v="0"/>
    <n v="0"/>
    <n v="0"/>
    <n v="0"/>
    <m/>
    <n v="51.9"/>
    <m/>
    <s v="Unique"/>
    <s v="Valid"/>
  </r>
  <r>
    <s v="USR-101056"/>
    <d v="2025-02-06T00:00:00"/>
    <x v="1"/>
    <x v="1"/>
    <x v="1"/>
    <x v="4"/>
    <x v="1"/>
    <n v="1"/>
    <n v="1"/>
    <n v="0"/>
    <n v="0"/>
    <n v="0"/>
    <n v="0"/>
    <n v="0"/>
    <m/>
    <n v="61.7"/>
    <m/>
    <s v="Unique"/>
    <s v="Valid"/>
  </r>
  <r>
    <s v="USR-101057"/>
    <d v="2025-04-20T00:00:00"/>
    <x v="1"/>
    <x v="3"/>
    <x v="1"/>
    <x v="2"/>
    <x v="1"/>
    <n v="1"/>
    <n v="0"/>
    <n v="0"/>
    <n v="0"/>
    <n v="0"/>
    <n v="0"/>
    <n v="0"/>
    <m/>
    <n v="44.7"/>
    <m/>
    <s v="Unique"/>
    <s v="Valid"/>
  </r>
  <r>
    <s v="USR-101058"/>
    <d v="2025-05-06T00:00:00"/>
    <x v="1"/>
    <x v="0"/>
    <x v="1"/>
    <x v="2"/>
    <x v="0"/>
    <n v="0"/>
    <n v="0"/>
    <n v="0"/>
    <n v="0"/>
    <n v="0"/>
    <n v="0"/>
    <n v="0"/>
    <m/>
    <n v="63.2"/>
    <m/>
    <s v="Unique"/>
    <s v="Valid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m/>
    <s v="Duplicate"/>
    <s v="Valid"/>
  </r>
  <r>
    <s v="USR-101060"/>
    <d v="2025-03-02T00:00:00"/>
    <x v="1"/>
    <x v="3"/>
    <x v="1"/>
    <x v="2"/>
    <x v="2"/>
    <n v="1"/>
    <n v="1"/>
    <n v="0"/>
    <n v="0"/>
    <n v="0"/>
    <n v="1"/>
    <n v="0"/>
    <m/>
    <n v="83.1"/>
    <m/>
    <s v="Unique"/>
    <s v="Valid"/>
  </r>
  <r>
    <s v="USR-101061"/>
    <d v="2025-04-09T00:00:00"/>
    <x v="1"/>
    <x v="1"/>
    <x v="1"/>
    <x v="4"/>
    <x v="1"/>
    <n v="0"/>
    <n v="0"/>
    <n v="0"/>
    <n v="0"/>
    <n v="0"/>
    <n v="0"/>
    <n v="0"/>
    <m/>
    <n v="50.3"/>
    <m/>
    <s v="Unique"/>
    <s v="Valid"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58.2"/>
    <m/>
    <s v="Unique"/>
    <s v="Valid"/>
  </r>
  <r>
    <s v="USR-101063"/>
    <d v="2025-02-25T00:00:00"/>
    <x v="1"/>
    <x v="3"/>
    <x v="1"/>
    <x v="2"/>
    <x v="0"/>
    <n v="1"/>
    <n v="1"/>
    <n v="1"/>
    <n v="0"/>
    <n v="0"/>
    <n v="0"/>
    <n v="0"/>
    <m/>
    <n v="53.2"/>
    <m/>
    <s v="Unique"/>
    <s v="Valid"/>
  </r>
  <r>
    <s v="USR-101064"/>
    <d v="2025-01-07T00:00:00"/>
    <x v="1"/>
    <x v="2"/>
    <x v="1"/>
    <x v="1"/>
    <x v="2"/>
    <n v="0"/>
    <n v="0"/>
    <n v="0"/>
    <n v="0"/>
    <n v="0"/>
    <n v="0"/>
    <n v="0"/>
    <m/>
    <n v="36.4"/>
    <m/>
    <s v="Unique"/>
    <s v="Valid"/>
  </r>
  <r>
    <s v="USR-101065"/>
    <d v="2025-03-08T00:00:00"/>
    <x v="1"/>
    <x v="3"/>
    <x v="1"/>
    <x v="4"/>
    <x v="0"/>
    <n v="1"/>
    <n v="1"/>
    <n v="1"/>
    <n v="0"/>
    <n v="0"/>
    <n v="0"/>
    <n v="0"/>
    <m/>
    <n v="72.7"/>
    <m/>
    <s v="Unique"/>
    <s v="Valid"/>
  </r>
  <r>
    <s v="USR-101066"/>
    <d v="2025-05-22T00:00:00"/>
    <x v="1"/>
    <x v="2"/>
    <x v="1"/>
    <x v="3"/>
    <x v="1"/>
    <n v="1"/>
    <n v="0"/>
    <n v="0"/>
    <n v="0"/>
    <n v="0"/>
    <n v="1"/>
    <n v="0"/>
    <m/>
    <n v="86.7"/>
    <m/>
    <s v="Unique"/>
    <s v="Valid"/>
  </r>
  <r>
    <s v="USR-101067"/>
    <d v="2025-04-18T00:00:00"/>
    <x v="1"/>
    <x v="2"/>
    <x v="1"/>
    <x v="2"/>
    <x v="2"/>
    <n v="1"/>
    <n v="0"/>
    <n v="0"/>
    <n v="0"/>
    <n v="0"/>
    <n v="0"/>
    <n v="0"/>
    <m/>
    <n v="48.2"/>
    <m/>
    <s v="Unique"/>
    <s v="Valid"/>
  </r>
  <r>
    <s v="USR-101068"/>
    <d v="2025-02-24T00:00:00"/>
    <x v="1"/>
    <x v="1"/>
    <x v="1"/>
    <x v="3"/>
    <x v="0"/>
    <n v="0"/>
    <n v="0"/>
    <n v="0"/>
    <n v="0"/>
    <n v="0"/>
    <n v="1"/>
    <n v="0"/>
    <m/>
    <n v="57.6"/>
    <m/>
    <s v="Unique"/>
    <s v="Valid"/>
  </r>
  <r>
    <s v="USR-101069"/>
    <d v="2025-02-11T00:00:00"/>
    <x v="1"/>
    <x v="0"/>
    <x v="1"/>
    <x v="1"/>
    <x v="1"/>
    <n v="1"/>
    <n v="1"/>
    <n v="1"/>
    <n v="0"/>
    <n v="0"/>
    <n v="0"/>
    <n v="0"/>
    <m/>
    <n v="75.7"/>
    <m/>
    <s v="Unique"/>
    <s v="Valid"/>
  </r>
  <r>
    <s v="USR-101070"/>
    <d v="2025-03-11T00:00:00"/>
    <x v="1"/>
    <x v="1"/>
    <x v="0"/>
    <x v="2"/>
    <x v="1"/>
    <n v="1"/>
    <n v="0"/>
    <n v="0"/>
    <n v="0"/>
    <n v="0"/>
    <n v="2"/>
    <n v="0"/>
    <m/>
    <n v="48.6"/>
    <m/>
    <s v="Unique"/>
    <s v="Valid"/>
  </r>
  <r>
    <s v="USR-101071"/>
    <d v="2025-04-11T00:00:00"/>
    <x v="1"/>
    <x v="2"/>
    <x v="2"/>
    <x v="3"/>
    <x v="1"/>
    <n v="1"/>
    <n v="1"/>
    <n v="1"/>
    <n v="0"/>
    <n v="0"/>
    <n v="0"/>
    <n v="0"/>
    <m/>
    <n v="72"/>
    <m/>
    <s v="Unique"/>
    <s v="Valid"/>
  </r>
  <r>
    <s v="USR-101072"/>
    <d v="2025-03-11T00:00:00"/>
    <x v="1"/>
    <x v="0"/>
    <x v="1"/>
    <x v="1"/>
    <x v="1"/>
    <n v="0"/>
    <n v="0"/>
    <n v="0"/>
    <n v="0"/>
    <n v="0"/>
    <n v="0"/>
    <n v="0"/>
    <m/>
    <n v="72.2"/>
    <m/>
    <s v="Unique"/>
    <s v="Valid"/>
  </r>
  <r>
    <s v="USR-101073"/>
    <d v="2025-05-22T00:00:00"/>
    <x v="1"/>
    <x v="2"/>
    <x v="1"/>
    <x v="3"/>
    <x v="1"/>
    <n v="1"/>
    <n v="0"/>
    <n v="0"/>
    <n v="0"/>
    <n v="0"/>
    <n v="1"/>
    <n v="0"/>
    <m/>
    <n v="60.02"/>
    <m/>
    <s v="Unique"/>
    <s v="Valid"/>
  </r>
  <r>
    <s v="USR-101074"/>
    <d v="2025-02-22T00:00:00"/>
    <x v="1"/>
    <x v="3"/>
    <x v="0"/>
    <x v="1"/>
    <x v="1"/>
    <n v="1"/>
    <n v="1"/>
    <n v="1"/>
    <n v="1"/>
    <n v="331.53"/>
    <n v="2"/>
    <n v="0"/>
    <n v="4"/>
    <n v="56.8"/>
    <m/>
    <s v="Unique"/>
    <s v="Valid"/>
  </r>
  <r>
    <s v="USR-101075"/>
    <d v="2025-01-13T00:00:00"/>
    <x v="1"/>
    <x v="2"/>
    <x v="1"/>
    <x v="2"/>
    <x v="0"/>
    <n v="1"/>
    <n v="0"/>
    <n v="0"/>
    <n v="0"/>
    <n v="0"/>
    <n v="0"/>
    <n v="0"/>
    <m/>
    <n v="62.5"/>
    <m/>
    <s v="Unique"/>
    <s v="Valid"/>
  </r>
  <r>
    <s v="USR-101076"/>
    <d v="2025-05-19T00:00:00"/>
    <x v="1"/>
    <x v="3"/>
    <x v="1"/>
    <x v="1"/>
    <x v="1"/>
    <n v="1"/>
    <n v="0"/>
    <n v="0"/>
    <n v="0"/>
    <n v="0"/>
    <n v="0"/>
    <n v="0"/>
    <m/>
    <n v="63.4"/>
    <m/>
    <s v="Unique"/>
    <s v="Valid"/>
  </r>
  <r>
    <s v="USR-101077"/>
    <d v="2025-03-08T00:00:00"/>
    <x v="1"/>
    <x v="0"/>
    <x v="2"/>
    <x v="1"/>
    <x v="0"/>
    <n v="1"/>
    <n v="1"/>
    <n v="1"/>
    <n v="1"/>
    <n v="774.78"/>
    <n v="0"/>
    <n v="0"/>
    <n v="3"/>
    <n v="46.8"/>
    <m/>
    <s v="Unique"/>
    <s v="Valid"/>
  </r>
  <r>
    <s v="USR-101078"/>
    <d v="2025-04-20T00:00:00"/>
    <x v="1"/>
    <x v="3"/>
    <x v="1"/>
    <x v="1"/>
    <x v="1"/>
    <n v="1"/>
    <n v="1"/>
    <n v="1"/>
    <n v="1"/>
    <n v="422.02"/>
    <n v="0"/>
    <n v="0"/>
    <n v="8"/>
    <n v="86.5"/>
    <m/>
    <s v="Unique"/>
    <s v="Valid"/>
  </r>
  <r>
    <s v="USR-101079"/>
    <d v="2025-05-08T00:00:00"/>
    <x v="1"/>
    <x v="1"/>
    <x v="1"/>
    <x v="0"/>
    <x v="0"/>
    <n v="0"/>
    <n v="0"/>
    <n v="0"/>
    <n v="0"/>
    <n v="0"/>
    <n v="1"/>
    <n v="0"/>
    <m/>
    <n v="75.099999999999994"/>
    <m/>
    <s v="Unique"/>
    <s v="Valid"/>
  </r>
  <r>
    <s v="USR-101080"/>
    <d v="2025-05-10T00:00:00"/>
    <x v="1"/>
    <x v="3"/>
    <x v="1"/>
    <x v="1"/>
    <x v="0"/>
    <n v="1"/>
    <n v="0"/>
    <n v="0"/>
    <n v="0"/>
    <n v="0"/>
    <n v="0"/>
    <n v="0"/>
    <m/>
    <n v="64.5"/>
    <m/>
    <s v="Unique"/>
    <s v="Valid"/>
  </r>
  <r>
    <s v="USR-101081"/>
    <d v="2025-03-28T00:00:00"/>
    <x v="1"/>
    <x v="2"/>
    <x v="1"/>
    <x v="1"/>
    <x v="1"/>
    <n v="1"/>
    <n v="0"/>
    <n v="0"/>
    <n v="0"/>
    <n v="0"/>
    <n v="0"/>
    <n v="0"/>
    <m/>
    <n v="54.2"/>
    <m/>
    <s v="Unique"/>
    <s v="Valid"/>
  </r>
  <r>
    <s v="USR-101082"/>
    <d v="2025-04-30T00:00:00"/>
    <x v="1"/>
    <x v="2"/>
    <x v="1"/>
    <x v="2"/>
    <x v="2"/>
    <n v="1"/>
    <n v="1"/>
    <n v="1"/>
    <n v="0"/>
    <n v="0"/>
    <n v="0"/>
    <n v="0"/>
    <m/>
    <n v="84.1"/>
    <m/>
    <s v="Unique"/>
    <s v="Valid"/>
  </r>
  <r>
    <s v="USR-101083"/>
    <d v="2025-02-08T00:00:00"/>
    <x v="1"/>
    <x v="0"/>
    <x v="1"/>
    <x v="1"/>
    <x v="0"/>
    <n v="0"/>
    <n v="0"/>
    <n v="0"/>
    <n v="0"/>
    <n v="0"/>
    <n v="1"/>
    <n v="0"/>
    <m/>
    <n v="49.1"/>
    <m/>
    <s v="Unique"/>
    <s v="Valid"/>
  </r>
  <r>
    <s v="USR-101084"/>
    <d v="2025-03-07T00:00:00"/>
    <x v="1"/>
    <x v="3"/>
    <x v="1"/>
    <x v="3"/>
    <x v="2"/>
    <n v="0"/>
    <n v="0"/>
    <n v="0"/>
    <n v="0"/>
    <n v="0"/>
    <n v="0"/>
    <n v="0"/>
    <m/>
    <n v="92.7"/>
    <m/>
    <s v="Unique"/>
    <s v="Valid"/>
  </r>
  <r>
    <s v="USR-101085"/>
    <d v="2025-05-21T00:00:00"/>
    <x v="1"/>
    <x v="3"/>
    <x v="1"/>
    <x v="4"/>
    <x v="0"/>
    <n v="1"/>
    <n v="1"/>
    <n v="1"/>
    <n v="0"/>
    <n v="0"/>
    <n v="1"/>
    <n v="0"/>
    <m/>
    <n v="58.7"/>
    <m/>
    <s v="Unique"/>
    <s v="Valid"/>
  </r>
  <r>
    <s v="USR-101086"/>
    <d v="2025-04-12T00:00:00"/>
    <x v="1"/>
    <x v="3"/>
    <x v="1"/>
    <x v="4"/>
    <x v="1"/>
    <n v="1"/>
    <n v="1"/>
    <n v="1"/>
    <n v="0"/>
    <n v="0"/>
    <n v="0"/>
    <n v="0"/>
    <m/>
    <n v="59.3"/>
    <m/>
    <s v="Unique"/>
    <s v="Valid"/>
  </r>
  <r>
    <s v="USR-101087"/>
    <d v="2025-02-02T00:00:00"/>
    <x v="1"/>
    <x v="3"/>
    <x v="1"/>
    <x v="2"/>
    <x v="1"/>
    <n v="1"/>
    <n v="0"/>
    <n v="0"/>
    <n v="0"/>
    <n v="0"/>
    <n v="0"/>
    <n v="0"/>
    <m/>
    <n v="62"/>
    <m/>
    <s v="Unique"/>
    <s v="Valid"/>
  </r>
  <r>
    <s v="USR-101088"/>
    <d v="2025-04-22T00:00:00"/>
    <x v="1"/>
    <x v="0"/>
    <x v="2"/>
    <x v="3"/>
    <x v="1"/>
    <n v="1"/>
    <n v="1"/>
    <n v="1"/>
    <n v="0"/>
    <n v="0"/>
    <n v="1"/>
    <n v="0"/>
    <m/>
    <n v="60.3"/>
    <m/>
    <s v="Unique"/>
    <s v="Valid"/>
  </r>
  <r>
    <s v="USR-101089"/>
    <d v="2025-02-08T00:00:00"/>
    <x v="1"/>
    <x v="0"/>
    <x v="1"/>
    <x v="4"/>
    <x v="0"/>
    <n v="1"/>
    <n v="0"/>
    <n v="0"/>
    <n v="0"/>
    <n v="0"/>
    <n v="0"/>
    <n v="0"/>
    <m/>
    <n v="70.5"/>
    <m/>
    <s v="Unique"/>
    <s v="Valid"/>
  </r>
  <r>
    <s v="USR-101090"/>
    <d v="2025-01-24T00:00:00"/>
    <x v="1"/>
    <x v="3"/>
    <x v="0"/>
    <x v="0"/>
    <x v="1"/>
    <n v="1"/>
    <n v="0"/>
    <n v="0"/>
    <n v="0"/>
    <n v="0"/>
    <n v="0"/>
    <n v="0"/>
    <m/>
    <n v="36.799999999999997"/>
    <m/>
    <s v="Unique"/>
    <s v="Valid"/>
  </r>
  <r>
    <s v="USR-101091"/>
    <d v="2025-05-12T00:00:00"/>
    <x v="1"/>
    <x v="3"/>
    <x v="1"/>
    <x v="2"/>
    <x v="0"/>
    <n v="0"/>
    <n v="0"/>
    <n v="0"/>
    <n v="0"/>
    <n v="0"/>
    <n v="1"/>
    <n v="0"/>
    <m/>
    <n v="73.2"/>
    <m/>
    <s v="Unique"/>
    <s v="Valid"/>
  </r>
  <r>
    <s v="USR-101092"/>
    <d v="2025-03-30T00:00:00"/>
    <x v="1"/>
    <x v="0"/>
    <x v="1"/>
    <x v="1"/>
    <x v="0"/>
    <n v="0"/>
    <n v="0"/>
    <n v="0"/>
    <n v="0"/>
    <n v="0"/>
    <n v="0"/>
    <n v="0"/>
    <m/>
    <n v="70.099999999999994"/>
    <m/>
    <s v="Unique"/>
    <s v="Valid"/>
  </r>
  <r>
    <s v="USR-101093"/>
    <d v="2025-01-02T00:00:00"/>
    <x v="1"/>
    <x v="3"/>
    <x v="0"/>
    <x v="2"/>
    <x v="0"/>
    <n v="1"/>
    <n v="0"/>
    <n v="0"/>
    <n v="0"/>
    <n v="0"/>
    <n v="0"/>
    <n v="0"/>
    <m/>
    <n v="76.400000000000006"/>
    <m/>
    <s v="Unique"/>
    <s v="Valid"/>
  </r>
  <r>
    <s v="USR-101094"/>
    <d v="2025-03-21T00:00:00"/>
    <x v="1"/>
    <x v="3"/>
    <x v="2"/>
    <x v="0"/>
    <x v="0"/>
    <n v="0"/>
    <n v="0"/>
    <n v="0"/>
    <n v="0"/>
    <n v="0"/>
    <n v="0"/>
    <n v="0"/>
    <m/>
    <n v="46.4"/>
    <m/>
    <s v="Unique"/>
    <s v="Valid"/>
  </r>
  <r>
    <s v="USR-101095"/>
    <d v="2025-01-25T00:00:00"/>
    <x v="1"/>
    <x v="1"/>
    <x v="1"/>
    <x v="1"/>
    <x v="1"/>
    <n v="1"/>
    <n v="1"/>
    <n v="1"/>
    <n v="0"/>
    <n v="0"/>
    <n v="1"/>
    <n v="0"/>
    <m/>
    <n v="81.3"/>
    <m/>
    <s v="Unique"/>
    <s v="Valid"/>
  </r>
  <r>
    <s v="USR-101096"/>
    <d v="2025-01-12T00:00:00"/>
    <x v="1"/>
    <x v="3"/>
    <x v="2"/>
    <x v="4"/>
    <x v="1"/>
    <n v="1"/>
    <n v="1"/>
    <n v="1"/>
    <n v="0"/>
    <n v="0"/>
    <n v="0"/>
    <n v="0"/>
    <m/>
    <n v="55.3"/>
    <m/>
    <s v="Unique"/>
    <s v="Valid"/>
  </r>
  <r>
    <s v="USR-101097"/>
    <d v="2025-03-18T00:00:00"/>
    <x v="1"/>
    <x v="2"/>
    <x v="0"/>
    <x v="3"/>
    <x v="1"/>
    <n v="1"/>
    <n v="0"/>
    <n v="0"/>
    <n v="0"/>
    <n v="0"/>
    <n v="0"/>
    <n v="0"/>
    <m/>
    <n v="44.7"/>
    <m/>
    <s v="Unique"/>
    <s v="Valid"/>
  </r>
  <r>
    <s v="USR-101098"/>
    <d v="2025-03-26T00:00:00"/>
    <x v="1"/>
    <x v="2"/>
    <x v="1"/>
    <x v="2"/>
    <x v="0"/>
    <n v="1"/>
    <n v="0"/>
    <n v="0"/>
    <n v="0"/>
    <n v="0"/>
    <n v="0"/>
    <n v="0"/>
    <m/>
    <n v="67.2"/>
    <m/>
    <s v="Unique"/>
    <s v="Valid"/>
  </r>
  <r>
    <s v="USR-101099"/>
    <d v="2025-04-19T00:00:00"/>
    <x v="1"/>
    <x v="0"/>
    <x v="1"/>
    <x v="2"/>
    <x v="0"/>
    <n v="1"/>
    <n v="0"/>
    <n v="0"/>
    <n v="0"/>
    <n v="0"/>
    <n v="0"/>
    <n v="0"/>
    <m/>
    <n v="60.02"/>
    <m/>
    <s v="Unique"/>
    <s v="Valid"/>
  </r>
  <r>
    <s v="USR-101100"/>
    <d v="2025-04-17T00:00:00"/>
    <x v="1"/>
    <x v="2"/>
    <x v="1"/>
    <x v="1"/>
    <x v="2"/>
    <n v="1"/>
    <n v="1"/>
    <n v="1"/>
    <n v="0"/>
    <n v="0"/>
    <n v="1"/>
    <n v="0"/>
    <m/>
    <n v="70.8"/>
    <m/>
    <s v="Unique"/>
    <s v="Valid"/>
  </r>
  <r>
    <s v="USR-101101"/>
    <d v="2025-05-26T00:00:00"/>
    <x v="1"/>
    <x v="3"/>
    <x v="1"/>
    <x v="2"/>
    <x v="1"/>
    <n v="1"/>
    <n v="0"/>
    <n v="0"/>
    <n v="0"/>
    <n v="0"/>
    <n v="0"/>
    <n v="0"/>
    <m/>
    <n v="71.3"/>
    <m/>
    <s v="Unique"/>
    <s v="Valid"/>
  </r>
  <r>
    <s v="USR-101102"/>
    <d v="2025-04-14T00:00:00"/>
    <x v="1"/>
    <x v="0"/>
    <x v="1"/>
    <x v="4"/>
    <x v="2"/>
    <n v="1"/>
    <n v="1"/>
    <n v="1"/>
    <n v="0"/>
    <n v="0"/>
    <n v="0"/>
    <n v="0"/>
    <m/>
    <n v="69.400000000000006"/>
    <m/>
    <s v="Unique"/>
    <s v="Valid"/>
  </r>
  <r>
    <s v="USR-101103"/>
    <d v="2025-01-23T00:00:00"/>
    <x v="1"/>
    <x v="3"/>
    <x v="1"/>
    <x v="1"/>
    <x v="0"/>
    <n v="1"/>
    <n v="1"/>
    <n v="0"/>
    <n v="0"/>
    <n v="0"/>
    <n v="0"/>
    <n v="0"/>
    <m/>
    <n v="58.9"/>
    <m/>
    <s v="Unique"/>
    <s v="Valid"/>
  </r>
  <r>
    <s v="USR-101104"/>
    <d v="2025-01-06T00:00:00"/>
    <x v="1"/>
    <x v="2"/>
    <x v="1"/>
    <x v="3"/>
    <x v="1"/>
    <n v="0"/>
    <n v="0"/>
    <n v="0"/>
    <n v="0"/>
    <n v="0"/>
    <n v="0"/>
    <n v="0"/>
    <m/>
    <n v="70.7"/>
    <m/>
    <s v="Unique"/>
    <s v="Valid"/>
  </r>
  <r>
    <s v="USR-101105"/>
    <d v="2025-05-31T00:00:00"/>
    <x v="1"/>
    <x v="1"/>
    <x v="1"/>
    <x v="0"/>
    <x v="0"/>
    <n v="1"/>
    <n v="0"/>
    <n v="0"/>
    <n v="0"/>
    <n v="0"/>
    <n v="0"/>
    <n v="0"/>
    <m/>
    <n v="60.5"/>
    <m/>
    <s v="Unique"/>
    <s v="Valid"/>
  </r>
  <r>
    <s v="USR-101106"/>
    <d v="2025-05-19T00:00:00"/>
    <x v="1"/>
    <x v="0"/>
    <x v="1"/>
    <x v="1"/>
    <x v="0"/>
    <n v="1"/>
    <n v="1"/>
    <n v="1"/>
    <n v="0"/>
    <n v="0"/>
    <n v="0"/>
    <n v="0"/>
    <m/>
    <n v="77.3"/>
    <m/>
    <s v="Unique"/>
    <s v="Valid"/>
  </r>
  <r>
    <s v="USR-101107"/>
    <d v="2025-02-25T00:00:00"/>
    <x v="1"/>
    <x v="0"/>
    <x v="1"/>
    <x v="1"/>
    <x v="1"/>
    <n v="0"/>
    <n v="0"/>
    <n v="0"/>
    <n v="0"/>
    <n v="0"/>
    <n v="1"/>
    <n v="0"/>
    <m/>
    <n v="39.5"/>
    <m/>
    <s v="Unique"/>
    <s v="Valid"/>
  </r>
  <r>
    <s v="USR-101108"/>
    <d v="2025-01-10T00:00:00"/>
    <x v="1"/>
    <x v="3"/>
    <x v="2"/>
    <x v="1"/>
    <x v="0"/>
    <n v="1"/>
    <n v="0"/>
    <n v="0"/>
    <n v="0"/>
    <n v="0"/>
    <n v="0"/>
    <n v="0"/>
    <m/>
    <n v="68.099999999999994"/>
    <m/>
    <s v="Unique"/>
    <s v="Valid"/>
  </r>
  <r>
    <s v="USR-101109"/>
    <d v="2025-05-13T00:00:00"/>
    <x v="1"/>
    <x v="0"/>
    <x v="2"/>
    <x v="2"/>
    <x v="1"/>
    <n v="0"/>
    <n v="0"/>
    <n v="0"/>
    <n v="0"/>
    <n v="0"/>
    <n v="0"/>
    <n v="0"/>
    <m/>
    <n v="80.3"/>
    <m/>
    <s v="Unique"/>
    <s v="Valid"/>
  </r>
  <r>
    <s v="USR-101110"/>
    <d v="2025-04-27T00:00:00"/>
    <x v="1"/>
    <x v="1"/>
    <x v="0"/>
    <x v="1"/>
    <x v="2"/>
    <n v="1"/>
    <n v="0"/>
    <n v="0"/>
    <n v="0"/>
    <n v="0"/>
    <n v="0"/>
    <n v="0"/>
    <m/>
    <n v="77.7"/>
    <m/>
    <s v="Unique"/>
    <s v="Valid"/>
  </r>
  <r>
    <s v="USR-101111"/>
    <d v="2025-04-03T00:00:00"/>
    <x v="1"/>
    <x v="3"/>
    <x v="1"/>
    <x v="1"/>
    <x v="1"/>
    <n v="1"/>
    <n v="0"/>
    <n v="0"/>
    <n v="0"/>
    <n v="0"/>
    <n v="1"/>
    <n v="0"/>
    <m/>
    <n v="66.2"/>
    <m/>
    <s v="Unique"/>
    <s v="Valid"/>
  </r>
  <r>
    <s v="USR-101112"/>
    <d v="2025-03-26T00:00:00"/>
    <x v="1"/>
    <x v="3"/>
    <x v="1"/>
    <x v="1"/>
    <x v="1"/>
    <n v="1"/>
    <n v="1"/>
    <n v="1"/>
    <n v="0"/>
    <n v="0"/>
    <n v="1"/>
    <n v="0"/>
    <m/>
    <n v="43.9"/>
    <m/>
    <s v="Unique"/>
    <s v="Valid"/>
  </r>
  <r>
    <s v="USR-101113"/>
    <d v="2025-01-31T00:00:00"/>
    <x v="1"/>
    <x v="3"/>
    <x v="1"/>
    <x v="1"/>
    <x v="0"/>
    <n v="1"/>
    <n v="1"/>
    <n v="1"/>
    <n v="0"/>
    <n v="0"/>
    <n v="2"/>
    <n v="0"/>
    <m/>
    <n v="59.1"/>
    <m/>
    <s v="Unique"/>
    <s v="Valid"/>
  </r>
  <r>
    <s v="USR-101114"/>
    <d v="2025-01-25T00:00:00"/>
    <x v="1"/>
    <x v="3"/>
    <x v="1"/>
    <x v="4"/>
    <x v="1"/>
    <n v="1"/>
    <n v="1"/>
    <n v="1"/>
    <n v="1"/>
    <n v="416.94"/>
    <n v="1"/>
    <n v="0"/>
    <n v="11"/>
    <n v="67"/>
    <m/>
    <s v="Unique"/>
    <s v="Valid"/>
  </r>
  <r>
    <s v="USR-101115"/>
    <d v="2025-02-06T00:00:00"/>
    <x v="1"/>
    <x v="1"/>
    <x v="1"/>
    <x v="3"/>
    <x v="0"/>
    <n v="1"/>
    <n v="0"/>
    <n v="0"/>
    <n v="0"/>
    <n v="0"/>
    <n v="0"/>
    <n v="0"/>
    <m/>
    <n v="47.9"/>
    <m/>
    <s v="Unique"/>
    <s v="Valid"/>
  </r>
  <r>
    <s v="USR-101116"/>
    <d v="2025-03-10T00:00:00"/>
    <x v="1"/>
    <x v="2"/>
    <x v="1"/>
    <x v="2"/>
    <x v="1"/>
    <n v="1"/>
    <n v="1"/>
    <n v="0"/>
    <n v="0"/>
    <n v="0"/>
    <n v="0"/>
    <n v="0"/>
    <m/>
    <n v="41.5"/>
    <m/>
    <s v="Unique"/>
    <s v="Valid"/>
  </r>
  <r>
    <s v="USR-101117"/>
    <d v="2025-01-26T00:00:00"/>
    <x v="1"/>
    <x v="1"/>
    <x v="1"/>
    <x v="1"/>
    <x v="0"/>
    <n v="1"/>
    <n v="1"/>
    <n v="1"/>
    <n v="0"/>
    <n v="0"/>
    <n v="3"/>
    <n v="0"/>
    <m/>
    <n v="30.6"/>
    <m/>
    <s v="Unique"/>
    <s v="Valid"/>
  </r>
  <r>
    <s v="USR-101118"/>
    <d v="2025-01-01T00:00:00"/>
    <x v="1"/>
    <x v="2"/>
    <x v="1"/>
    <x v="2"/>
    <x v="1"/>
    <n v="1"/>
    <n v="1"/>
    <n v="0"/>
    <n v="0"/>
    <n v="0"/>
    <n v="0"/>
    <n v="0"/>
    <m/>
    <n v="91.5"/>
    <m/>
    <s v="Unique"/>
    <s v="Valid"/>
  </r>
  <r>
    <s v="USR-101119"/>
    <d v="2025-04-28T00:00:00"/>
    <x v="1"/>
    <x v="0"/>
    <x v="0"/>
    <x v="4"/>
    <x v="0"/>
    <n v="1"/>
    <n v="0"/>
    <n v="0"/>
    <n v="0"/>
    <n v="0"/>
    <n v="0"/>
    <n v="0"/>
    <m/>
    <n v="80.8"/>
    <m/>
    <s v="Unique"/>
    <s v="Valid"/>
  </r>
  <r>
    <s v="USR-101120"/>
    <d v="2025-04-04T00:00:00"/>
    <x v="1"/>
    <x v="0"/>
    <x v="1"/>
    <x v="1"/>
    <x v="2"/>
    <n v="1"/>
    <n v="0"/>
    <n v="0"/>
    <n v="0"/>
    <n v="0"/>
    <n v="0"/>
    <n v="0"/>
    <m/>
    <n v="68.099999999999994"/>
    <m/>
    <s v="Unique"/>
    <s v="Valid"/>
  </r>
  <r>
    <s v="USR-101121"/>
    <d v="2025-03-02T00:00:00"/>
    <x v="1"/>
    <x v="2"/>
    <x v="1"/>
    <x v="2"/>
    <x v="1"/>
    <n v="1"/>
    <n v="0"/>
    <n v="0"/>
    <n v="0"/>
    <n v="0"/>
    <n v="0"/>
    <n v="0"/>
    <m/>
    <n v="80.3"/>
    <m/>
    <s v="Unique"/>
    <s v="Valid"/>
  </r>
  <r>
    <s v="USR-101122"/>
    <d v="2025-03-19T00:00:00"/>
    <x v="1"/>
    <x v="3"/>
    <x v="2"/>
    <x v="1"/>
    <x v="0"/>
    <n v="1"/>
    <n v="0"/>
    <n v="0"/>
    <n v="0"/>
    <n v="0"/>
    <n v="0"/>
    <n v="0"/>
    <m/>
    <n v="44.4"/>
    <m/>
    <s v="Unique"/>
    <s v="Valid"/>
  </r>
  <r>
    <s v="USR-101123"/>
    <d v="2025-01-20T00:00:00"/>
    <x v="1"/>
    <x v="3"/>
    <x v="0"/>
    <x v="1"/>
    <x v="0"/>
    <n v="0"/>
    <n v="0"/>
    <n v="0"/>
    <n v="0"/>
    <n v="0"/>
    <n v="0"/>
    <n v="0"/>
    <m/>
    <n v="51.9"/>
    <m/>
    <s v="Unique"/>
    <s v="Valid"/>
  </r>
  <r>
    <s v="USR-101124"/>
    <d v="2025-04-03T00:00:00"/>
    <x v="1"/>
    <x v="2"/>
    <x v="1"/>
    <x v="2"/>
    <x v="1"/>
    <n v="1"/>
    <n v="1"/>
    <n v="0"/>
    <n v="0"/>
    <n v="0"/>
    <n v="0"/>
    <n v="0"/>
    <m/>
    <n v="49.8"/>
    <m/>
    <s v="Unique"/>
    <s v="Valid"/>
  </r>
  <r>
    <s v="USR-101125"/>
    <d v="2025-01-11T00:00:00"/>
    <x v="1"/>
    <x v="2"/>
    <x v="0"/>
    <x v="4"/>
    <x v="1"/>
    <n v="1"/>
    <n v="1"/>
    <n v="1"/>
    <n v="0"/>
    <n v="0"/>
    <n v="3"/>
    <n v="0"/>
    <m/>
    <n v="62.1"/>
    <m/>
    <s v="Unique"/>
    <s v="Valid"/>
  </r>
  <r>
    <s v="USR-101126"/>
    <d v="2025-02-02T00:00:00"/>
    <x v="1"/>
    <x v="1"/>
    <x v="0"/>
    <x v="4"/>
    <x v="0"/>
    <n v="1"/>
    <n v="0"/>
    <n v="0"/>
    <n v="0"/>
    <n v="0"/>
    <n v="0"/>
    <n v="0"/>
    <m/>
    <n v="91.3"/>
    <m/>
    <s v="Unique"/>
    <s v="Valid"/>
  </r>
  <r>
    <s v="USR-101127"/>
    <d v="2025-04-01T00:00:00"/>
    <x v="1"/>
    <x v="3"/>
    <x v="1"/>
    <x v="1"/>
    <x v="0"/>
    <n v="1"/>
    <n v="0"/>
    <n v="0"/>
    <n v="0"/>
    <n v="0"/>
    <n v="0"/>
    <n v="0"/>
    <m/>
    <n v="66.400000000000006"/>
    <m/>
    <s v="Unique"/>
    <s v="Valid"/>
  </r>
  <r>
    <s v="USR-101128"/>
    <d v="2025-05-22T00:00:00"/>
    <x v="1"/>
    <x v="2"/>
    <x v="1"/>
    <x v="1"/>
    <x v="0"/>
    <n v="1"/>
    <n v="0"/>
    <n v="0"/>
    <n v="0"/>
    <n v="0"/>
    <n v="0"/>
    <n v="0"/>
    <m/>
    <n v="41.5"/>
    <m/>
    <s v="Unique"/>
    <s v="Valid"/>
  </r>
  <r>
    <s v="USR-101129"/>
    <d v="2025-02-20T00:00:00"/>
    <x v="1"/>
    <x v="1"/>
    <x v="1"/>
    <x v="1"/>
    <x v="0"/>
    <n v="0"/>
    <n v="0"/>
    <n v="0"/>
    <n v="0"/>
    <n v="0"/>
    <n v="0"/>
    <n v="0"/>
    <m/>
    <n v="77.099999999999994"/>
    <m/>
    <s v="Unique"/>
    <s v="Valid"/>
  </r>
  <r>
    <s v="USR-101130"/>
    <d v="2025-03-21T00:00:00"/>
    <x v="1"/>
    <x v="1"/>
    <x v="1"/>
    <x v="1"/>
    <x v="1"/>
    <n v="1"/>
    <n v="0"/>
    <n v="0"/>
    <n v="0"/>
    <n v="0"/>
    <n v="0"/>
    <n v="0"/>
    <m/>
    <n v="63.2"/>
    <m/>
    <s v="Unique"/>
    <s v="Valid"/>
  </r>
  <r>
    <s v="USR-101131"/>
    <d v="2025-05-01T00:00:00"/>
    <x v="1"/>
    <x v="1"/>
    <x v="0"/>
    <x v="3"/>
    <x v="1"/>
    <n v="1"/>
    <n v="1"/>
    <n v="1"/>
    <n v="0"/>
    <n v="0"/>
    <n v="3"/>
    <n v="0"/>
    <m/>
    <n v="75.7"/>
    <m/>
    <s v="Unique"/>
    <s v="Valid"/>
  </r>
  <r>
    <s v="USR-101132"/>
    <d v="2025-01-06T00:00:00"/>
    <x v="1"/>
    <x v="1"/>
    <x v="1"/>
    <x v="2"/>
    <x v="0"/>
    <n v="0"/>
    <n v="0"/>
    <n v="0"/>
    <n v="0"/>
    <n v="0"/>
    <n v="0"/>
    <n v="0"/>
    <m/>
    <n v="62.9"/>
    <m/>
    <s v="Unique"/>
    <s v="Valid"/>
  </r>
  <r>
    <s v="USR-101133"/>
    <d v="2025-04-12T00:00:00"/>
    <x v="1"/>
    <x v="0"/>
    <x v="0"/>
    <x v="2"/>
    <x v="2"/>
    <n v="1"/>
    <n v="0"/>
    <n v="0"/>
    <n v="0"/>
    <n v="0"/>
    <n v="3"/>
    <n v="0"/>
    <m/>
    <n v="64.599999999999994"/>
    <m/>
    <s v="Unique"/>
    <s v="Valid"/>
  </r>
  <r>
    <s v="USR-101134"/>
    <d v="2025-04-18T00:00:00"/>
    <x v="1"/>
    <x v="0"/>
    <x v="1"/>
    <x v="5"/>
    <x v="0"/>
    <n v="1"/>
    <n v="0"/>
    <n v="0"/>
    <n v="0"/>
    <n v="0"/>
    <n v="0"/>
    <n v="0"/>
    <m/>
    <n v="76.599999999999994"/>
    <m/>
    <s v="Unique"/>
    <s v="Valid"/>
  </r>
  <r>
    <s v="USR-101135"/>
    <d v="2025-03-24T00:00:00"/>
    <x v="1"/>
    <x v="2"/>
    <x v="1"/>
    <x v="4"/>
    <x v="0"/>
    <n v="1"/>
    <n v="0"/>
    <n v="0"/>
    <n v="0"/>
    <n v="0"/>
    <n v="0"/>
    <n v="0"/>
    <m/>
    <n v="74.8"/>
    <m/>
    <s v="Unique"/>
    <s v="Valid"/>
  </r>
  <r>
    <s v="USR-101136"/>
    <d v="2025-03-18T00:00:00"/>
    <x v="1"/>
    <x v="2"/>
    <x v="0"/>
    <x v="0"/>
    <x v="2"/>
    <n v="1"/>
    <n v="0"/>
    <n v="0"/>
    <n v="0"/>
    <n v="0"/>
    <n v="2"/>
    <n v="0"/>
    <m/>
    <n v="38.1"/>
    <m/>
    <s v="Unique"/>
    <s v="Valid"/>
  </r>
  <r>
    <s v="USR-101137"/>
    <d v="2025-04-30T00:00:00"/>
    <x v="1"/>
    <x v="3"/>
    <x v="2"/>
    <x v="2"/>
    <x v="0"/>
    <n v="1"/>
    <n v="1"/>
    <n v="0"/>
    <n v="0"/>
    <n v="0"/>
    <n v="0"/>
    <n v="0"/>
    <m/>
    <n v="60.2"/>
    <m/>
    <s v="Unique"/>
    <s v="Valid"/>
  </r>
  <r>
    <s v="USR-101138"/>
    <d v="2025-01-25T00:00:00"/>
    <x v="1"/>
    <x v="1"/>
    <x v="1"/>
    <x v="0"/>
    <x v="1"/>
    <n v="1"/>
    <n v="1"/>
    <n v="0"/>
    <n v="0"/>
    <n v="0"/>
    <n v="0"/>
    <n v="0"/>
    <m/>
    <n v="73.5"/>
    <m/>
    <s v="Unique"/>
    <s v="Valid"/>
  </r>
  <r>
    <s v="USR-101139"/>
    <d v="2025-04-10T00:00:00"/>
    <x v="1"/>
    <x v="3"/>
    <x v="1"/>
    <x v="1"/>
    <x v="1"/>
    <n v="1"/>
    <n v="0"/>
    <n v="0"/>
    <n v="0"/>
    <n v="0"/>
    <n v="0"/>
    <n v="0"/>
    <m/>
    <n v="70.900000000000006"/>
    <m/>
    <s v="Unique"/>
    <s v="Valid"/>
  </r>
  <r>
    <s v="USR-101140"/>
    <d v="2025-01-10T00:00:00"/>
    <x v="1"/>
    <x v="1"/>
    <x v="1"/>
    <x v="4"/>
    <x v="1"/>
    <n v="1"/>
    <n v="0"/>
    <n v="0"/>
    <n v="0"/>
    <n v="0"/>
    <n v="0"/>
    <n v="0"/>
    <m/>
    <n v="63.7"/>
    <m/>
    <s v="Unique"/>
    <s v="Valid"/>
  </r>
  <r>
    <s v="USR-101141"/>
    <d v="2025-02-11T00:00:00"/>
    <x v="1"/>
    <x v="3"/>
    <x v="1"/>
    <x v="2"/>
    <x v="1"/>
    <n v="1"/>
    <n v="0"/>
    <n v="0"/>
    <n v="0"/>
    <n v="0"/>
    <n v="0"/>
    <n v="0"/>
    <m/>
    <n v="86.5"/>
    <m/>
    <s v="Unique"/>
    <s v="Valid"/>
  </r>
  <r>
    <s v="USR-101142"/>
    <d v="2025-05-01T00:00:00"/>
    <x v="1"/>
    <x v="2"/>
    <x v="1"/>
    <x v="4"/>
    <x v="0"/>
    <n v="1"/>
    <n v="1"/>
    <n v="1"/>
    <n v="1"/>
    <n v="921.72"/>
    <n v="3"/>
    <n v="0"/>
    <n v="7"/>
    <n v="74.599999999999994"/>
    <m/>
    <s v="Unique"/>
    <s v="Valid"/>
  </r>
  <r>
    <s v="USR-101143"/>
    <d v="2025-01-18T00:00:00"/>
    <x v="1"/>
    <x v="2"/>
    <x v="1"/>
    <x v="1"/>
    <x v="1"/>
    <n v="1"/>
    <n v="0"/>
    <n v="0"/>
    <n v="0"/>
    <n v="0"/>
    <n v="0"/>
    <n v="0"/>
    <m/>
    <n v="46.6"/>
    <m/>
    <s v="Unique"/>
    <s v="Valid"/>
  </r>
  <r>
    <s v="USR-101144"/>
    <d v="2025-01-02T00:00:00"/>
    <x v="1"/>
    <x v="0"/>
    <x v="1"/>
    <x v="2"/>
    <x v="1"/>
    <n v="0"/>
    <n v="0"/>
    <n v="0"/>
    <n v="0"/>
    <n v="0"/>
    <n v="0"/>
    <n v="0"/>
    <m/>
    <n v="61.2"/>
    <m/>
    <s v="Unique"/>
    <s v="Valid"/>
  </r>
  <r>
    <s v="USR-101145"/>
    <d v="2025-05-11T00:00:00"/>
    <x v="1"/>
    <x v="1"/>
    <x v="1"/>
    <x v="1"/>
    <x v="1"/>
    <n v="1"/>
    <n v="1"/>
    <n v="1"/>
    <n v="1"/>
    <n v="290.39"/>
    <n v="0"/>
    <n v="0"/>
    <n v="4"/>
    <n v="54.4"/>
    <m/>
    <s v="Unique"/>
    <s v="Valid"/>
  </r>
  <r>
    <s v="USR-101146"/>
    <d v="2025-03-22T00:00:00"/>
    <x v="1"/>
    <x v="0"/>
    <x v="1"/>
    <x v="3"/>
    <x v="1"/>
    <n v="1"/>
    <n v="1"/>
    <n v="1"/>
    <n v="0"/>
    <n v="0"/>
    <n v="0"/>
    <n v="0"/>
    <m/>
    <n v="72"/>
    <m/>
    <s v="Unique"/>
    <s v="Valid"/>
  </r>
  <r>
    <s v="USR-101147"/>
    <d v="2025-05-02T00:00:00"/>
    <x v="1"/>
    <x v="3"/>
    <x v="1"/>
    <x v="4"/>
    <x v="2"/>
    <n v="1"/>
    <n v="1"/>
    <n v="1"/>
    <n v="1"/>
    <n v="1858.85"/>
    <n v="0"/>
    <n v="0"/>
    <n v="8"/>
    <n v="88.6"/>
    <m/>
    <s v="Unique"/>
    <s v="Valid"/>
  </r>
  <r>
    <s v="USR-101148"/>
    <d v="2025-05-26T00:00:00"/>
    <x v="1"/>
    <x v="2"/>
    <x v="0"/>
    <x v="5"/>
    <x v="0"/>
    <n v="1"/>
    <n v="0"/>
    <n v="0"/>
    <n v="0"/>
    <n v="0"/>
    <n v="0"/>
    <n v="0"/>
    <m/>
    <n v="77.599999999999994"/>
    <m/>
    <s v="Unique"/>
    <s v="Valid"/>
  </r>
  <r>
    <s v="USR-101149"/>
    <d v="2025-03-13T00:00:00"/>
    <x v="1"/>
    <x v="3"/>
    <x v="1"/>
    <x v="1"/>
    <x v="0"/>
    <n v="1"/>
    <n v="0"/>
    <n v="0"/>
    <n v="0"/>
    <n v="0"/>
    <n v="1"/>
    <n v="0"/>
    <m/>
    <n v="44.3"/>
    <m/>
    <s v="Unique"/>
    <s v="Valid"/>
  </r>
  <r>
    <s v="USR-101150"/>
    <d v="2025-05-17T00:00:00"/>
    <x v="1"/>
    <x v="3"/>
    <x v="0"/>
    <x v="2"/>
    <x v="1"/>
    <n v="1"/>
    <n v="1"/>
    <n v="0"/>
    <n v="0"/>
    <n v="0"/>
    <n v="0"/>
    <n v="0"/>
    <m/>
    <n v="49"/>
    <m/>
    <s v="Unique"/>
    <s v="Valid"/>
  </r>
  <r>
    <s v="USR-101151"/>
    <d v="2025-03-13T00:00:00"/>
    <x v="1"/>
    <x v="0"/>
    <x v="0"/>
    <x v="3"/>
    <x v="2"/>
    <n v="1"/>
    <n v="0"/>
    <n v="0"/>
    <n v="0"/>
    <n v="0"/>
    <n v="0"/>
    <n v="0"/>
    <m/>
    <n v="53.9"/>
    <m/>
    <s v="Unique"/>
    <s v="Valid"/>
  </r>
  <r>
    <s v="USR-101152"/>
    <d v="2025-02-11T00:00:00"/>
    <x v="1"/>
    <x v="2"/>
    <x v="0"/>
    <x v="1"/>
    <x v="0"/>
    <n v="1"/>
    <n v="0"/>
    <n v="0"/>
    <n v="0"/>
    <n v="0"/>
    <n v="1"/>
    <n v="0"/>
    <m/>
    <n v="69"/>
    <m/>
    <s v="Unique"/>
    <s v="Valid"/>
  </r>
  <r>
    <s v="USR-101153"/>
    <d v="2025-03-01T00:00:00"/>
    <x v="1"/>
    <x v="1"/>
    <x v="1"/>
    <x v="4"/>
    <x v="1"/>
    <n v="0"/>
    <n v="0"/>
    <n v="0"/>
    <n v="0"/>
    <n v="0"/>
    <n v="0"/>
    <n v="0"/>
    <m/>
    <n v="37.4"/>
    <m/>
    <s v="Unique"/>
    <s v="Valid"/>
  </r>
  <r>
    <s v="USR-101154"/>
    <d v="2025-04-15T00:00:00"/>
    <x v="1"/>
    <x v="1"/>
    <x v="1"/>
    <x v="1"/>
    <x v="0"/>
    <n v="0"/>
    <n v="0"/>
    <n v="0"/>
    <n v="0"/>
    <n v="0"/>
    <n v="0"/>
    <n v="0"/>
    <m/>
    <n v="59"/>
    <m/>
    <s v="Unique"/>
    <s v="Valid"/>
  </r>
  <r>
    <s v="USR-101155"/>
    <d v="2025-02-02T00:00:00"/>
    <x v="1"/>
    <x v="2"/>
    <x v="1"/>
    <x v="1"/>
    <x v="2"/>
    <n v="1"/>
    <n v="0"/>
    <n v="0"/>
    <n v="0"/>
    <n v="0"/>
    <n v="0"/>
    <n v="0"/>
    <m/>
    <n v="60.8"/>
    <m/>
    <s v="Unique"/>
    <s v="Valid"/>
  </r>
  <r>
    <s v="USR-101156"/>
    <d v="2025-05-19T00:00:00"/>
    <x v="1"/>
    <x v="3"/>
    <x v="1"/>
    <x v="0"/>
    <x v="1"/>
    <n v="1"/>
    <n v="0"/>
    <n v="0"/>
    <n v="0"/>
    <n v="0"/>
    <n v="0"/>
    <n v="0"/>
    <m/>
    <n v="57.5"/>
    <m/>
    <s v="Unique"/>
    <s v="Valid"/>
  </r>
  <r>
    <s v="USR-101157"/>
    <d v="2025-01-05T00:00:00"/>
    <x v="1"/>
    <x v="1"/>
    <x v="1"/>
    <x v="3"/>
    <x v="1"/>
    <n v="0"/>
    <n v="0"/>
    <n v="0"/>
    <n v="0"/>
    <n v="0"/>
    <n v="0"/>
    <n v="0"/>
    <m/>
    <n v="84.2"/>
    <m/>
    <s v="Unique"/>
    <s v="Valid"/>
  </r>
  <r>
    <s v="USR-101158"/>
    <d v="2025-03-08T00:00:00"/>
    <x v="1"/>
    <x v="3"/>
    <x v="1"/>
    <x v="2"/>
    <x v="1"/>
    <n v="1"/>
    <n v="1"/>
    <n v="0"/>
    <n v="0"/>
    <n v="0"/>
    <n v="0"/>
    <n v="0"/>
    <m/>
    <n v="27.4"/>
    <m/>
    <s v="Unique"/>
    <s v="Valid"/>
  </r>
  <r>
    <s v="USR-101159"/>
    <d v="2025-03-12T00:00:00"/>
    <x v="1"/>
    <x v="1"/>
    <x v="1"/>
    <x v="0"/>
    <x v="0"/>
    <n v="1"/>
    <n v="0"/>
    <n v="0"/>
    <n v="0"/>
    <n v="0"/>
    <n v="1"/>
    <n v="0"/>
    <m/>
    <n v="67.599999999999994"/>
    <m/>
    <s v="Unique"/>
    <s v="Valid"/>
  </r>
  <r>
    <s v="USR-101160"/>
    <d v="2025-01-24T00:00:00"/>
    <x v="1"/>
    <x v="1"/>
    <x v="1"/>
    <x v="1"/>
    <x v="1"/>
    <n v="0"/>
    <n v="0"/>
    <n v="0"/>
    <n v="0"/>
    <n v="0"/>
    <n v="0"/>
    <n v="0"/>
    <m/>
    <n v="68.400000000000006"/>
    <m/>
    <s v="Unique"/>
    <s v="Valid"/>
  </r>
  <r>
    <s v="USR-101161"/>
    <d v="2025-05-22T00:00:00"/>
    <x v="1"/>
    <x v="3"/>
    <x v="1"/>
    <x v="2"/>
    <x v="0"/>
    <n v="1"/>
    <n v="1"/>
    <n v="1"/>
    <n v="0"/>
    <n v="0"/>
    <n v="0"/>
    <n v="0"/>
    <m/>
    <n v="66.5"/>
    <m/>
    <s v="Unique"/>
    <s v="Valid"/>
  </r>
  <r>
    <s v="USR-101162"/>
    <d v="2025-03-27T00:00:00"/>
    <x v="1"/>
    <x v="3"/>
    <x v="1"/>
    <x v="2"/>
    <x v="1"/>
    <n v="1"/>
    <n v="0"/>
    <n v="0"/>
    <n v="0"/>
    <n v="0"/>
    <n v="0"/>
    <n v="0"/>
    <m/>
    <n v="38.200000000000003"/>
    <m/>
    <s v="Unique"/>
    <s v="Valid"/>
  </r>
  <r>
    <s v="USR-101163"/>
    <d v="2025-01-02T00:00:00"/>
    <x v="1"/>
    <x v="1"/>
    <x v="1"/>
    <x v="4"/>
    <x v="1"/>
    <n v="0"/>
    <n v="0"/>
    <n v="0"/>
    <n v="0"/>
    <n v="0"/>
    <n v="1"/>
    <n v="0"/>
    <m/>
    <n v="66.7"/>
    <m/>
    <s v="Unique"/>
    <s v="Valid"/>
  </r>
  <r>
    <s v="USR-101164"/>
    <d v="2025-02-24T00:00:00"/>
    <x v="1"/>
    <x v="0"/>
    <x v="1"/>
    <x v="2"/>
    <x v="1"/>
    <n v="0"/>
    <n v="0"/>
    <n v="0"/>
    <n v="0"/>
    <n v="0"/>
    <n v="1"/>
    <n v="0"/>
    <m/>
    <n v="73.7"/>
    <m/>
    <s v="Unique"/>
    <s v="Valid"/>
  </r>
  <r>
    <s v="USR-101165"/>
    <d v="2025-03-01T00:00:00"/>
    <x v="1"/>
    <x v="1"/>
    <x v="0"/>
    <x v="1"/>
    <x v="0"/>
    <n v="1"/>
    <n v="1"/>
    <n v="1"/>
    <n v="0"/>
    <n v="0"/>
    <n v="0"/>
    <n v="0"/>
    <m/>
    <n v="63.9"/>
    <m/>
    <s v="Unique"/>
    <s v="Valid"/>
  </r>
  <r>
    <s v="USR-101166"/>
    <d v="2025-03-26T00:00:00"/>
    <x v="1"/>
    <x v="3"/>
    <x v="2"/>
    <x v="1"/>
    <x v="0"/>
    <n v="1"/>
    <n v="0"/>
    <n v="0"/>
    <n v="0"/>
    <n v="0"/>
    <n v="1"/>
    <n v="0"/>
    <m/>
    <n v="82.6"/>
    <m/>
    <s v="Unique"/>
    <s v="Valid"/>
  </r>
  <r>
    <s v="USR-101167"/>
    <d v="2025-05-25T00:00:00"/>
    <x v="1"/>
    <x v="2"/>
    <x v="1"/>
    <x v="2"/>
    <x v="1"/>
    <n v="0"/>
    <n v="0"/>
    <n v="0"/>
    <n v="0"/>
    <n v="0"/>
    <n v="1"/>
    <n v="0"/>
    <m/>
    <n v="58.3"/>
    <m/>
    <s v="Unique"/>
    <s v="Valid"/>
  </r>
  <r>
    <s v="USR-101168"/>
    <d v="2025-02-25T00:00:00"/>
    <x v="1"/>
    <x v="1"/>
    <x v="1"/>
    <x v="3"/>
    <x v="2"/>
    <n v="1"/>
    <n v="1"/>
    <n v="1"/>
    <n v="1"/>
    <n v="1547.06"/>
    <n v="0"/>
    <n v="1"/>
    <n v="2"/>
    <n v="72.900000000000006"/>
    <m/>
    <s v="Unique"/>
    <s v="Valid"/>
  </r>
  <r>
    <s v="USR-101169"/>
    <d v="2025-03-23T00:00:00"/>
    <x v="1"/>
    <x v="3"/>
    <x v="1"/>
    <x v="4"/>
    <x v="1"/>
    <n v="1"/>
    <n v="1"/>
    <n v="1"/>
    <n v="0"/>
    <n v="0"/>
    <n v="2"/>
    <n v="0"/>
    <m/>
    <n v="53.5"/>
    <m/>
    <s v="Unique"/>
    <s v="Valid"/>
  </r>
  <r>
    <s v="USR-101170"/>
    <d v="2025-04-21T00:00:00"/>
    <x v="1"/>
    <x v="1"/>
    <x v="1"/>
    <x v="3"/>
    <x v="1"/>
    <n v="1"/>
    <n v="0"/>
    <n v="0"/>
    <n v="0"/>
    <n v="0"/>
    <n v="0"/>
    <n v="0"/>
    <m/>
    <n v="54.8"/>
    <m/>
    <s v="Unique"/>
    <s v="Valid"/>
  </r>
  <r>
    <s v="USR-101171"/>
    <d v="2025-05-21T00:00:00"/>
    <x v="1"/>
    <x v="0"/>
    <x v="1"/>
    <x v="1"/>
    <x v="2"/>
    <n v="1"/>
    <n v="0"/>
    <n v="0"/>
    <n v="0"/>
    <n v="0"/>
    <n v="0"/>
    <n v="0"/>
    <m/>
    <n v="69.5"/>
    <m/>
    <s v="Unique"/>
    <s v="Valid"/>
  </r>
  <r>
    <s v="USR-101172"/>
    <d v="2025-04-25T00:00:00"/>
    <x v="1"/>
    <x v="0"/>
    <x v="0"/>
    <x v="4"/>
    <x v="1"/>
    <n v="1"/>
    <n v="0"/>
    <n v="0"/>
    <n v="0"/>
    <n v="0"/>
    <n v="1"/>
    <n v="0"/>
    <m/>
    <n v="71.3"/>
    <m/>
    <s v="Unique"/>
    <s v="Valid"/>
  </r>
  <r>
    <s v="USR-101173"/>
    <d v="2025-05-23T00:00:00"/>
    <x v="1"/>
    <x v="1"/>
    <x v="1"/>
    <x v="3"/>
    <x v="0"/>
    <n v="1"/>
    <n v="0"/>
    <n v="0"/>
    <n v="0"/>
    <n v="0"/>
    <n v="1"/>
    <n v="0"/>
    <m/>
    <n v="57.5"/>
    <m/>
    <s v="Unique"/>
    <s v="Valid"/>
  </r>
  <r>
    <s v="USR-101174"/>
    <d v="2025-03-18T00:00:00"/>
    <x v="1"/>
    <x v="3"/>
    <x v="1"/>
    <x v="0"/>
    <x v="1"/>
    <n v="1"/>
    <n v="0"/>
    <n v="0"/>
    <n v="0"/>
    <n v="0"/>
    <n v="4"/>
    <n v="0"/>
    <m/>
    <n v="50.9"/>
    <m/>
    <s v="Unique"/>
    <s v="Valid"/>
  </r>
  <r>
    <s v="USR-101175"/>
    <d v="2025-01-03T00:00:00"/>
    <x v="1"/>
    <x v="3"/>
    <x v="2"/>
    <x v="1"/>
    <x v="1"/>
    <n v="1"/>
    <n v="1"/>
    <n v="1"/>
    <n v="0"/>
    <n v="0"/>
    <n v="0"/>
    <n v="0"/>
    <m/>
    <n v="69.3"/>
    <m/>
    <s v="Unique"/>
    <s v="Valid"/>
  </r>
  <r>
    <s v="USR-101176"/>
    <d v="2025-02-08T00:00:00"/>
    <x v="1"/>
    <x v="1"/>
    <x v="0"/>
    <x v="1"/>
    <x v="1"/>
    <n v="1"/>
    <n v="0"/>
    <n v="0"/>
    <n v="0"/>
    <n v="0"/>
    <n v="0"/>
    <n v="0"/>
    <m/>
    <n v="50.1"/>
    <m/>
    <s v="Unique"/>
    <s v="Valid"/>
  </r>
  <r>
    <s v="USR-101177"/>
    <d v="2025-02-04T00:00:00"/>
    <x v="1"/>
    <x v="2"/>
    <x v="3"/>
    <x v="2"/>
    <x v="0"/>
    <n v="0"/>
    <n v="0"/>
    <n v="0"/>
    <n v="0"/>
    <n v="0"/>
    <n v="0"/>
    <n v="0"/>
    <m/>
    <n v="69.7"/>
    <m/>
    <s v="Unique"/>
    <s v="Valid"/>
  </r>
  <r>
    <s v="USR-101178"/>
    <d v="2025-01-16T00:00:00"/>
    <x v="1"/>
    <x v="0"/>
    <x v="1"/>
    <x v="2"/>
    <x v="1"/>
    <n v="0"/>
    <n v="0"/>
    <n v="0"/>
    <n v="0"/>
    <n v="0"/>
    <n v="0"/>
    <n v="0"/>
    <m/>
    <n v="63.5"/>
    <m/>
    <s v="Unique"/>
    <s v="Valid"/>
  </r>
  <r>
    <s v="USR-101179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  <m/>
    <s v="Unique"/>
    <s v="Valid"/>
  </r>
  <r>
    <s v="USR-101180"/>
    <d v="2025-01-23T00:00:00"/>
    <x v="1"/>
    <x v="0"/>
    <x v="0"/>
    <x v="2"/>
    <x v="1"/>
    <n v="0"/>
    <n v="0"/>
    <n v="0"/>
    <n v="0"/>
    <n v="0"/>
    <n v="0"/>
    <n v="0"/>
    <m/>
    <n v="58.9"/>
    <m/>
    <s v="Unique"/>
    <s v="Valid"/>
  </r>
  <r>
    <s v="USR-101181"/>
    <d v="2025-03-22T00:00:00"/>
    <x v="1"/>
    <x v="3"/>
    <x v="0"/>
    <x v="2"/>
    <x v="1"/>
    <n v="1"/>
    <n v="0"/>
    <n v="0"/>
    <n v="0"/>
    <n v="0"/>
    <n v="0"/>
    <n v="0"/>
    <m/>
    <n v="56.8"/>
    <m/>
    <s v="Unique"/>
    <s v="Valid"/>
  </r>
  <r>
    <s v="USR-101182"/>
    <d v="2025-02-02T00:00:00"/>
    <x v="1"/>
    <x v="2"/>
    <x v="2"/>
    <x v="4"/>
    <x v="2"/>
    <n v="0"/>
    <n v="0"/>
    <n v="0"/>
    <n v="0"/>
    <n v="0"/>
    <n v="0"/>
    <n v="0"/>
    <m/>
    <n v="73.900000000000006"/>
    <m/>
    <s v="Unique"/>
    <s v="Valid"/>
  </r>
  <r>
    <s v="USR-101183"/>
    <d v="2025-01-31T00:00:00"/>
    <x v="1"/>
    <x v="0"/>
    <x v="0"/>
    <x v="2"/>
    <x v="1"/>
    <n v="0"/>
    <n v="0"/>
    <n v="0"/>
    <n v="0"/>
    <n v="0"/>
    <n v="0"/>
    <n v="0"/>
    <m/>
    <n v="76.3"/>
    <m/>
    <s v="Unique"/>
    <s v="Valid"/>
  </r>
  <r>
    <s v="USR-101184"/>
    <d v="2025-05-27T00:00:00"/>
    <x v="1"/>
    <x v="1"/>
    <x v="1"/>
    <x v="1"/>
    <x v="0"/>
    <n v="1"/>
    <n v="0"/>
    <n v="0"/>
    <n v="0"/>
    <n v="0"/>
    <n v="0"/>
    <n v="0"/>
    <m/>
    <n v="56.9"/>
    <m/>
    <s v="Unique"/>
    <s v="Valid"/>
  </r>
  <r>
    <s v="USR-101185"/>
    <d v="2025-05-07T00:00:00"/>
    <x v="1"/>
    <x v="0"/>
    <x v="1"/>
    <x v="1"/>
    <x v="2"/>
    <n v="1"/>
    <n v="0"/>
    <n v="0"/>
    <n v="0"/>
    <n v="0"/>
    <n v="2"/>
    <n v="0"/>
    <m/>
    <n v="49.4"/>
    <m/>
    <s v="Unique"/>
    <s v="Valid"/>
  </r>
  <r>
    <s v="USR-101186"/>
    <d v="2025-05-08T00:00:00"/>
    <x v="1"/>
    <x v="0"/>
    <x v="0"/>
    <x v="2"/>
    <x v="0"/>
    <n v="1"/>
    <n v="0"/>
    <n v="0"/>
    <n v="0"/>
    <n v="0"/>
    <n v="0"/>
    <n v="0"/>
    <m/>
    <n v="86.7"/>
    <m/>
    <s v="Unique"/>
    <s v="Valid"/>
  </r>
  <r>
    <s v="USR-101187"/>
    <d v="2025-01-15T00:00:00"/>
    <x v="1"/>
    <x v="1"/>
    <x v="0"/>
    <x v="0"/>
    <x v="1"/>
    <n v="1"/>
    <n v="0"/>
    <n v="0"/>
    <n v="0"/>
    <n v="0"/>
    <n v="3"/>
    <n v="0"/>
    <m/>
    <n v="69"/>
    <m/>
    <s v="Unique"/>
    <s v="Valid"/>
  </r>
  <r>
    <s v="USR-101188"/>
    <d v="2025-01-18T00:00:00"/>
    <x v="1"/>
    <x v="0"/>
    <x v="1"/>
    <x v="2"/>
    <x v="1"/>
    <n v="0"/>
    <n v="0"/>
    <n v="0"/>
    <n v="0"/>
    <n v="0"/>
    <n v="0"/>
    <n v="0"/>
    <m/>
    <n v="84.5"/>
    <m/>
    <s v="Unique"/>
    <s v="Valid"/>
  </r>
  <r>
    <s v="USR-101189"/>
    <d v="2025-04-16T00:00:00"/>
    <x v="1"/>
    <x v="2"/>
    <x v="3"/>
    <x v="3"/>
    <x v="1"/>
    <n v="1"/>
    <n v="0"/>
    <n v="0"/>
    <n v="0"/>
    <n v="0"/>
    <n v="0"/>
    <n v="0"/>
    <m/>
    <n v="66.3"/>
    <m/>
    <s v="Unique"/>
    <s v="Valid"/>
  </r>
  <r>
    <s v="USR-101190"/>
    <d v="2025-02-16T00:00:00"/>
    <x v="1"/>
    <x v="2"/>
    <x v="0"/>
    <x v="2"/>
    <x v="1"/>
    <n v="0"/>
    <n v="0"/>
    <n v="0"/>
    <n v="0"/>
    <n v="0"/>
    <n v="0"/>
    <n v="0"/>
    <m/>
    <n v="52.2"/>
    <m/>
    <s v="Unique"/>
    <s v="Valid"/>
  </r>
  <r>
    <s v="USR-101191"/>
    <d v="2025-04-17T00:00:00"/>
    <x v="1"/>
    <x v="3"/>
    <x v="0"/>
    <x v="3"/>
    <x v="2"/>
    <n v="1"/>
    <n v="1"/>
    <n v="1"/>
    <n v="0"/>
    <n v="0"/>
    <n v="0"/>
    <n v="0"/>
    <m/>
    <n v="81.2"/>
    <m/>
    <s v="Unique"/>
    <s v="Valid"/>
  </r>
  <r>
    <s v="USR-101192"/>
    <d v="2025-04-30T00:00:00"/>
    <x v="1"/>
    <x v="3"/>
    <x v="1"/>
    <x v="1"/>
    <x v="0"/>
    <n v="0"/>
    <n v="0"/>
    <n v="0"/>
    <n v="0"/>
    <n v="0"/>
    <n v="0"/>
    <n v="0"/>
    <m/>
    <n v="53.9"/>
    <m/>
    <s v="Unique"/>
    <s v="Valid"/>
  </r>
  <r>
    <s v="USR-101193"/>
    <d v="2025-01-29T00:00:00"/>
    <x v="1"/>
    <x v="1"/>
    <x v="1"/>
    <x v="4"/>
    <x v="2"/>
    <n v="0"/>
    <n v="0"/>
    <n v="0"/>
    <n v="0"/>
    <n v="0"/>
    <n v="0"/>
    <n v="0"/>
    <m/>
    <n v="39.1"/>
    <m/>
    <s v="Unique"/>
    <s v="Valid"/>
  </r>
  <r>
    <s v="USR-101194"/>
    <d v="2025-01-11T00:00:00"/>
    <x v="1"/>
    <x v="0"/>
    <x v="1"/>
    <x v="4"/>
    <x v="0"/>
    <n v="0"/>
    <n v="0"/>
    <n v="0"/>
    <n v="0"/>
    <n v="0"/>
    <n v="0"/>
    <n v="0"/>
    <m/>
    <n v="57.3"/>
    <m/>
    <s v="Unique"/>
    <s v="Valid"/>
  </r>
  <r>
    <s v="USR-101195"/>
    <d v="2025-04-08T00:00:00"/>
    <x v="1"/>
    <x v="2"/>
    <x v="0"/>
    <x v="2"/>
    <x v="2"/>
    <n v="1"/>
    <n v="0"/>
    <n v="0"/>
    <n v="0"/>
    <n v="0"/>
    <n v="1"/>
    <n v="0"/>
    <m/>
    <n v="65.900000000000006"/>
    <m/>
    <s v="Unique"/>
    <s v="Valid"/>
  </r>
  <r>
    <s v="USR-101196"/>
    <d v="2025-02-22T00:00:00"/>
    <x v="1"/>
    <x v="0"/>
    <x v="3"/>
    <x v="4"/>
    <x v="1"/>
    <n v="1"/>
    <n v="0"/>
    <n v="0"/>
    <n v="0"/>
    <n v="0"/>
    <n v="1"/>
    <n v="0"/>
    <m/>
    <n v="34.200000000000003"/>
    <m/>
    <s v="Unique"/>
    <s v="Valid"/>
  </r>
  <r>
    <s v="USR-101197"/>
    <d v="2025-03-23T00:00:00"/>
    <x v="1"/>
    <x v="3"/>
    <x v="1"/>
    <x v="1"/>
    <x v="1"/>
    <n v="0"/>
    <n v="0"/>
    <n v="0"/>
    <n v="0"/>
    <n v="0"/>
    <n v="0"/>
    <n v="0"/>
    <m/>
    <n v="47.2"/>
    <m/>
    <s v="Unique"/>
    <s v="Valid"/>
  </r>
  <r>
    <s v="USR-101198"/>
    <d v="2025-05-23T00:00:00"/>
    <x v="1"/>
    <x v="3"/>
    <x v="2"/>
    <x v="2"/>
    <x v="1"/>
    <n v="1"/>
    <n v="0"/>
    <n v="0"/>
    <n v="0"/>
    <n v="0"/>
    <n v="1"/>
    <n v="0"/>
    <m/>
    <n v="55"/>
    <m/>
    <s v="Unique"/>
    <s v="Valid"/>
  </r>
  <r>
    <s v="USR-101199"/>
    <d v="2025-04-27T00:00:00"/>
    <x v="1"/>
    <x v="1"/>
    <x v="1"/>
    <x v="3"/>
    <x v="0"/>
    <n v="1"/>
    <n v="1"/>
    <n v="1"/>
    <n v="0"/>
    <n v="0"/>
    <n v="0"/>
    <n v="0"/>
    <m/>
    <n v="76.400000000000006"/>
    <m/>
    <s v="Unique"/>
    <s v="Valid"/>
  </r>
  <r>
    <s v="USR-101200"/>
    <d v="2025-05-26T00:00:00"/>
    <x v="1"/>
    <x v="0"/>
    <x v="1"/>
    <x v="3"/>
    <x v="1"/>
    <n v="1"/>
    <n v="0"/>
    <n v="0"/>
    <n v="0"/>
    <n v="0"/>
    <n v="0"/>
    <n v="0"/>
    <m/>
    <n v="70.8"/>
    <m/>
    <s v="Unique"/>
    <s v="Valid"/>
  </r>
  <r>
    <s v="USR-101201"/>
    <d v="2025-03-06T00:00:00"/>
    <x v="1"/>
    <x v="2"/>
    <x v="1"/>
    <x v="2"/>
    <x v="0"/>
    <n v="1"/>
    <n v="1"/>
    <n v="0"/>
    <n v="0"/>
    <n v="0"/>
    <n v="1"/>
    <n v="0"/>
    <m/>
    <n v="58"/>
    <m/>
    <s v="Unique"/>
    <s v="Valid"/>
  </r>
  <r>
    <s v="USR-101202"/>
    <d v="2025-04-03T00:00:00"/>
    <x v="1"/>
    <x v="1"/>
    <x v="1"/>
    <x v="1"/>
    <x v="0"/>
    <n v="1"/>
    <n v="1"/>
    <n v="1"/>
    <n v="0"/>
    <n v="0"/>
    <n v="1"/>
    <n v="0"/>
    <m/>
    <n v="70.8"/>
    <m/>
    <s v="Unique"/>
    <s v="Valid"/>
  </r>
  <r>
    <s v="USR-101203"/>
    <d v="2025-02-01T00:00:00"/>
    <x v="1"/>
    <x v="2"/>
    <x v="0"/>
    <x v="2"/>
    <x v="1"/>
    <n v="1"/>
    <n v="0"/>
    <n v="0"/>
    <n v="0"/>
    <n v="0"/>
    <n v="3"/>
    <n v="0"/>
    <m/>
    <n v="60"/>
    <m/>
    <s v="Unique"/>
    <s v="Valid"/>
  </r>
  <r>
    <s v="USR-101204"/>
    <d v="2025-05-01T00:00:00"/>
    <x v="1"/>
    <x v="1"/>
    <x v="1"/>
    <x v="3"/>
    <x v="2"/>
    <n v="1"/>
    <n v="1"/>
    <n v="1"/>
    <n v="0"/>
    <n v="0"/>
    <n v="3"/>
    <n v="0"/>
    <m/>
    <n v="58.1"/>
    <m/>
    <s v="Unique"/>
    <s v="Valid"/>
  </r>
  <r>
    <s v="USR-101205"/>
    <d v="2025-04-13T00:00:00"/>
    <x v="1"/>
    <x v="0"/>
    <x v="1"/>
    <x v="4"/>
    <x v="2"/>
    <n v="0"/>
    <n v="0"/>
    <n v="0"/>
    <n v="0"/>
    <n v="0"/>
    <n v="0"/>
    <n v="0"/>
    <m/>
    <n v="59.7"/>
    <m/>
    <s v="Unique"/>
    <s v="Valid"/>
  </r>
  <r>
    <s v="USR-101206"/>
    <d v="2025-01-25T00:00:00"/>
    <x v="1"/>
    <x v="2"/>
    <x v="1"/>
    <x v="4"/>
    <x v="1"/>
    <n v="0"/>
    <n v="0"/>
    <n v="0"/>
    <n v="0"/>
    <n v="0"/>
    <n v="0"/>
    <n v="0"/>
    <m/>
    <n v="47.7"/>
    <m/>
    <s v="Unique"/>
    <s v="Valid"/>
  </r>
  <r>
    <s v="USR-101207"/>
    <d v="2025-03-17T00:00:00"/>
    <x v="1"/>
    <x v="0"/>
    <x v="1"/>
    <x v="1"/>
    <x v="1"/>
    <n v="0"/>
    <n v="0"/>
    <n v="0"/>
    <n v="0"/>
    <n v="0"/>
    <n v="0"/>
    <n v="0"/>
    <m/>
    <n v="59.1"/>
    <m/>
    <s v="Unique"/>
    <s v="Valid"/>
  </r>
  <r>
    <s v="USR-101208"/>
    <d v="2025-02-21T00:00:00"/>
    <x v="1"/>
    <x v="1"/>
    <x v="0"/>
    <x v="4"/>
    <x v="0"/>
    <n v="1"/>
    <n v="0"/>
    <n v="0"/>
    <n v="0"/>
    <n v="0"/>
    <n v="1"/>
    <n v="0"/>
    <m/>
    <n v="68.7"/>
    <m/>
    <s v="Unique"/>
    <s v="Valid"/>
  </r>
  <r>
    <s v="USR-101209"/>
    <d v="2025-04-08T00:00:00"/>
    <x v="1"/>
    <x v="2"/>
    <x v="2"/>
    <x v="1"/>
    <x v="0"/>
    <n v="0"/>
    <n v="0"/>
    <n v="0"/>
    <n v="0"/>
    <n v="0"/>
    <n v="0"/>
    <n v="0"/>
    <m/>
    <n v="34.700000000000003"/>
    <m/>
    <s v="Unique"/>
    <s v="Valid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m/>
    <s v="Duplicate"/>
    <s v="Valid"/>
  </r>
  <r>
    <s v="USR-101211"/>
    <d v="2025-05-29T00:00:00"/>
    <x v="1"/>
    <x v="3"/>
    <x v="1"/>
    <x v="1"/>
    <x v="1"/>
    <n v="1"/>
    <n v="1"/>
    <n v="0"/>
    <n v="0"/>
    <n v="0"/>
    <n v="0"/>
    <n v="0"/>
    <m/>
    <n v="56"/>
    <m/>
    <s v="Unique"/>
    <s v="Valid"/>
  </r>
  <r>
    <s v="USR-101212"/>
    <d v="2025-05-30T00:00:00"/>
    <x v="1"/>
    <x v="0"/>
    <x v="1"/>
    <x v="0"/>
    <x v="0"/>
    <n v="1"/>
    <n v="0"/>
    <n v="0"/>
    <n v="0"/>
    <n v="0"/>
    <n v="1"/>
    <n v="0"/>
    <m/>
    <n v="65.8"/>
    <m/>
    <s v="Unique"/>
    <s v="Valid"/>
  </r>
  <r>
    <s v="USR-101213"/>
    <d v="2025-01-24T00:00:00"/>
    <x v="1"/>
    <x v="0"/>
    <x v="0"/>
    <x v="1"/>
    <x v="2"/>
    <n v="0"/>
    <n v="0"/>
    <n v="0"/>
    <n v="0"/>
    <n v="0"/>
    <n v="0"/>
    <n v="0"/>
    <m/>
    <n v="54.7"/>
    <m/>
    <s v="Unique"/>
    <s v="Valid"/>
  </r>
  <r>
    <s v="USR-101214"/>
    <d v="2025-05-12T00:00:00"/>
    <x v="1"/>
    <x v="3"/>
    <x v="1"/>
    <x v="1"/>
    <x v="0"/>
    <n v="1"/>
    <n v="1"/>
    <n v="0"/>
    <n v="0"/>
    <n v="0"/>
    <n v="0"/>
    <n v="0"/>
    <m/>
    <n v="64.099999999999994"/>
    <m/>
    <s v="Unique"/>
    <s v="Valid"/>
  </r>
  <r>
    <s v="USR-101215"/>
    <d v="2025-03-28T00:00:00"/>
    <x v="1"/>
    <x v="3"/>
    <x v="1"/>
    <x v="1"/>
    <x v="0"/>
    <n v="1"/>
    <n v="1"/>
    <n v="1"/>
    <n v="0"/>
    <n v="0"/>
    <n v="0"/>
    <n v="0"/>
    <m/>
    <n v="71.599999999999994"/>
    <m/>
    <s v="Unique"/>
    <s v="Valid"/>
  </r>
  <r>
    <s v="USR-101216"/>
    <d v="2025-04-14T00:00:00"/>
    <x v="1"/>
    <x v="0"/>
    <x v="1"/>
    <x v="3"/>
    <x v="0"/>
    <n v="1"/>
    <n v="0"/>
    <n v="0"/>
    <n v="0"/>
    <n v="0"/>
    <n v="0"/>
    <n v="0"/>
    <m/>
    <n v="78.400000000000006"/>
    <m/>
    <s v="Unique"/>
    <s v="Valid"/>
  </r>
  <r>
    <s v="USR-101217"/>
    <d v="2025-01-28T00:00:00"/>
    <x v="1"/>
    <x v="2"/>
    <x v="2"/>
    <x v="3"/>
    <x v="0"/>
    <n v="0"/>
    <n v="0"/>
    <n v="0"/>
    <n v="0"/>
    <n v="0"/>
    <n v="0"/>
    <n v="0"/>
    <m/>
    <n v="49.3"/>
    <m/>
    <s v="Unique"/>
    <s v="Valid"/>
  </r>
  <r>
    <s v="USR-101218"/>
    <d v="2025-05-21T00:00:00"/>
    <x v="1"/>
    <x v="0"/>
    <x v="1"/>
    <x v="1"/>
    <x v="0"/>
    <n v="0"/>
    <n v="0"/>
    <n v="0"/>
    <n v="0"/>
    <n v="0"/>
    <n v="0"/>
    <n v="0"/>
    <m/>
    <n v="52.8"/>
    <m/>
    <s v="Unique"/>
    <s v="Valid"/>
  </r>
  <r>
    <s v="USR-101219"/>
    <d v="2025-05-11T00:00:00"/>
    <x v="1"/>
    <x v="1"/>
    <x v="0"/>
    <x v="1"/>
    <x v="1"/>
    <n v="0"/>
    <n v="0"/>
    <n v="0"/>
    <n v="0"/>
    <n v="0"/>
    <n v="0"/>
    <n v="0"/>
    <m/>
    <n v="58.5"/>
    <m/>
    <s v="Unique"/>
    <s v="Valid"/>
  </r>
  <r>
    <s v="USR-101220"/>
    <d v="2025-02-02T00:00:00"/>
    <x v="1"/>
    <x v="3"/>
    <x v="1"/>
    <x v="2"/>
    <x v="1"/>
    <n v="1"/>
    <n v="0"/>
    <n v="0"/>
    <n v="0"/>
    <n v="0"/>
    <n v="0"/>
    <n v="0"/>
    <m/>
    <n v="55.9"/>
    <m/>
    <s v="Unique"/>
    <s v="Valid"/>
  </r>
  <r>
    <s v="USR-101221"/>
    <d v="2025-02-26T00:00:00"/>
    <x v="1"/>
    <x v="0"/>
    <x v="1"/>
    <x v="4"/>
    <x v="1"/>
    <n v="1"/>
    <n v="1"/>
    <n v="1"/>
    <n v="1"/>
    <n v="351.43"/>
    <n v="1"/>
    <n v="0"/>
    <n v="6"/>
    <n v="74.900000000000006"/>
    <m/>
    <s v="Unique"/>
    <s v="Valid"/>
  </r>
  <r>
    <s v="USR-101222"/>
    <d v="2025-02-27T00:00:00"/>
    <x v="1"/>
    <x v="3"/>
    <x v="0"/>
    <x v="3"/>
    <x v="1"/>
    <n v="1"/>
    <n v="1"/>
    <n v="1"/>
    <n v="1"/>
    <n v="352.42"/>
    <n v="0"/>
    <n v="0"/>
    <n v="4"/>
    <n v="58.5"/>
    <m/>
    <s v="Unique"/>
    <s v="Valid"/>
  </r>
  <r>
    <s v="USR-101223"/>
    <d v="2025-03-09T00:00:00"/>
    <x v="1"/>
    <x v="1"/>
    <x v="1"/>
    <x v="1"/>
    <x v="1"/>
    <n v="0"/>
    <n v="0"/>
    <n v="0"/>
    <n v="0"/>
    <n v="0"/>
    <n v="0"/>
    <n v="0"/>
    <m/>
    <n v="63.5"/>
    <m/>
    <s v="Unique"/>
    <s v="Valid"/>
  </r>
  <r>
    <s v="USR-101224"/>
    <d v="2025-02-07T00:00:00"/>
    <x v="1"/>
    <x v="0"/>
    <x v="1"/>
    <x v="2"/>
    <x v="0"/>
    <n v="1"/>
    <n v="0"/>
    <n v="0"/>
    <n v="0"/>
    <n v="0"/>
    <n v="1"/>
    <n v="0"/>
    <m/>
    <n v="64.8"/>
    <m/>
    <s v="Unique"/>
    <s v="Valid"/>
  </r>
  <r>
    <s v="USR-101225"/>
    <d v="2025-01-31T00:00:00"/>
    <x v="1"/>
    <x v="1"/>
    <x v="1"/>
    <x v="4"/>
    <x v="1"/>
    <n v="0"/>
    <n v="0"/>
    <n v="0"/>
    <n v="0"/>
    <n v="0"/>
    <n v="0"/>
    <n v="0"/>
    <m/>
    <n v="63.3"/>
    <m/>
    <s v="Unique"/>
    <s v="Valid"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8"/>
    <n v="83.7"/>
    <m/>
    <s v="Unique"/>
    <s v="Valid"/>
  </r>
  <r>
    <s v="USR-101227"/>
    <d v="2025-02-12T00:00:00"/>
    <x v="1"/>
    <x v="3"/>
    <x v="0"/>
    <x v="4"/>
    <x v="0"/>
    <n v="0"/>
    <n v="0"/>
    <n v="0"/>
    <n v="0"/>
    <n v="0"/>
    <n v="0"/>
    <n v="0"/>
    <m/>
    <n v="88.7"/>
    <m/>
    <s v="Unique"/>
    <s v="Valid"/>
  </r>
  <r>
    <s v="USR-101228"/>
    <d v="2025-03-23T00:00:00"/>
    <x v="1"/>
    <x v="2"/>
    <x v="3"/>
    <x v="2"/>
    <x v="1"/>
    <n v="1"/>
    <n v="0"/>
    <n v="0"/>
    <n v="0"/>
    <n v="0"/>
    <n v="1"/>
    <n v="0"/>
    <m/>
    <n v="61.5"/>
    <m/>
    <s v="Unique"/>
    <s v="Valid"/>
  </r>
  <r>
    <s v="USR-101229"/>
    <d v="2025-03-18T00:00:00"/>
    <x v="1"/>
    <x v="1"/>
    <x v="1"/>
    <x v="2"/>
    <x v="1"/>
    <n v="0"/>
    <n v="0"/>
    <n v="0"/>
    <n v="0"/>
    <n v="0"/>
    <n v="0"/>
    <n v="0"/>
    <m/>
    <n v="45.3"/>
    <m/>
    <s v="Unique"/>
    <s v="Valid"/>
  </r>
  <r>
    <s v="USR-101230"/>
    <d v="2025-05-17T00:00:00"/>
    <x v="1"/>
    <x v="0"/>
    <x v="1"/>
    <x v="4"/>
    <x v="1"/>
    <n v="1"/>
    <n v="0"/>
    <n v="0"/>
    <n v="0"/>
    <n v="0"/>
    <n v="0"/>
    <n v="0"/>
    <m/>
    <n v="37.299999999999997"/>
    <m/>
    <s v="Unique"/>
    <s v="Valid"/>
  </r>
  <r>
    <s v="USR-101231"/>
    <d v="2025-03-26T00:00:00"/>
    <x v="1"/>
    <x v="1"/>
    <x v="0"/>
    <x v="4"/>
    <x v="2"/>
    <n v="1"/>
    <n v="0"/>
    <n v="0"/>
    <n v="0"/>
    <n v="0"/>
    <n v="1"/>
    <n v="0"/>
    <m/>
    <n v="76.099999999999994"/>
    <m/>
    <s v="Unique"/>
    <s v="Valid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m/>
    <s v="Duplicate"/>
    <s v="Valid"/>
  </r>
  <r>
    <s v="USR-101233"/>
    <d v="2025-02-25T00:00:00"/>
    <x v="1"/>
    <x v="2"/>
    <x v="0"/>
    <x v="1"/>
    <x v="1"/>
    <n v="1"/>
    <n v="0"/>
    <n v="0"/>
    <n v="0"/>
    <n v="0"/>
    <n v="0"/>
    <n v="0"/>
    <m/>
    <n v="62.3"/>
    <m/>
    <s v="Unique"/>
    <s v="Valid"/>
  </r>
  <r>
    <s v="USR-101234"/>
    <d v="2025-03-01T00:00:00"/>
    <x v="1"/>
    <x v="2"/>
    <x v="0"/>
    <x v="4"/>
    <x v="1"/>
    <n v="0"/>
    <n v="0"/>
    <n v="0"/>
    <n v="0"/>
    <n v="0"/>
    <n v="0"/>
    <n v="0"/>
    <m/>
    <n v="62.7"/>
    <m/>
    <s v="Unique"/>
    <s v="Valid"/>
  </r>
  <r>
    <s v="USR-101235"/>
    <d v="2025-05-27T00:00:00"/>
    <x v="1"/>
    <x v="0"/>
    <x v="1"/>
    <x v="2"/>
    <x v="0"/>
    <n v="0"/>
    <n v="0"/>
    <n v="0"/>
    <n v="0"/>
    <n v="0"/>
    <n v="0"/>
    <n v="0"/>
    <m/>
    <n v="82.4"/>
    <m/>
    <s v="Unique"/>
    <s v="Valid"/>
  </r>
  <r>
    <s v="USR-101236"/>
    <d v="2025-02-05T00:00:00"/>
    <x v="1"/>
    <x v="1"/>
    <x v="1"/>
    <x v="5"/>
    <x v="2"/>
    <n v="1"/>
    <n v="0"/>
    <n v="0"/>
    <n v="0"/>
    <n v="0"/>
    <n v="0"/>
    <n v="0"/>
    <m/>
    <n v="78.900000000000006"/>
    <m/>
    <s v="Unique"/>
    <s v="Valid"/>
  </r>
  <r>
    <s v="USR-101237"/>
    <d v="2025-01-25T00:00:00"/>
    <x v="1"/>
    <x v="1"/>
    <x v="0"/>
    <x v="0"/>
    <x v="1"/>
    <n v="1"/>
    <n v="1"/>
    <n v="1"/>
    <n v="1"/>
    <n v="618.91"/>
    <n v="0"/>
    <n v="0"/>
    <n v="4"/>
    <n v="67.8"/>
    <m/>
    <s v="Unique"/>
    <s v="Valid"/>
  </r>
  <r>
    <s v="USR-101238"/>
    <d v="2025-04-10T00:00:00"/>
    <x v="1"/>
    <x v="2"/>
    <x v="1"/>
    <x v="1"/>
    <x v="2"/>
    <n v="1"/>
    <n v="0"/>
    <n v="0"/>
    <n v="0"/>
    <n v="0"/>
    <n v="0"/>
    <n v="0"/>
    <m/>
    <n v="68.8"/>
    <m/>
    <s v="Unique"/>
    <s v="Valid"/>
  </r>
  <r>
    <s v="USR-101239"/>
    <d v="2025-01-10T00:00:00"/>
    <x v="1"/>
    <x v="2"/>
    <x v="1"/>
    <x v="1"/>
    <x v="2"/>
    <n v="1"/>
    <n v="0"/>
    <n v="0"/>
    <n v="0"/>
    <n v="0"/>
    <n v="0"/>
    <n v="0"/>
    <m/>
    <n v="67.7"/>
    <m/>
    <s v="Unique"/>
    <s v="Valid"/>
  </r>
  <r>
    <s v="USR-101240"/>
    <d v="2025-02-23T00:00:00"/>
    <x v="1"/>
    <x v="2"/>
    <x v="1"/>
    <x v="5"/>
    <x v="1"/>
    <n v="0"/>
    <n v="0"/>
    <n v="0"/>
    <n v="0"/>
    <n v="0"/>
    <n v="0"/>
    <n v="0"/>
    <m/>
    <n v="88"/>
    <m/>
    <s v="Unique"/>
    <s v="Valid"/>
  </r>
  <r>
    <s v="USR-101241"/>
    <d v="2025-05-23T00:00:00"/>
    <x v="1"/>
    <x v="1"/>
    <x v="0"/>
    <x v="1"/>
    <x v="0"/>
    <n v="1"/>
    <n v="1"/>
    <n v="0"/>
    <n v="0"/>
    <n v="0"/>
    <n v="0"/>
    <n v="0"/>
    <m/>
    <n v="80.099999999999994"/>
    <m/>
    <s v="Unique"/>
    <s v="Valid"/>
  </r>
  <r>
    <s v="USR-101242"/>
    <d v="2025-03-08T00:00:00"/>
    <x v="1"/>
    <x v="0"/>
    <x v="2"/>
    <x v="0"/>
    <x v="0"/>
    <n v="0"/>
    <n v="0"/>
    <n v="0"/>
    <n v="0"/>
    <n v="0"/>
    <n v="1"/>
    <n v="0"/>
    <m/>
    <n v="48.2"/>
    <m/>
    <s v="Unique"/>
    <s v="Valid"/>
  </r>
  <r>
    <s v="USR-101243"/>
    <d v="2025-05-21T00:00:00"/>
    <x v="1"/>
    <x v="2"/>
    <x v="1"/>
    <x v="1"/>
    <x v="0"/>
    <n v="1"/>
    <n v="0"/>
    <n v="0"/>
    <n v="0"/>
    <n v="0"/>
    <n v="0"/>
    <n v="0"/>
    <m/>
    <n v="52.7"/>
    <m/>
    <s v="Unique"/>
    <s v="Valid"/>
  </r>
  <r>
    <s v="USR-101244"/>
    <d v="2025-04-22T00:00:00"/>
    <x v="1"/>
    <x v="0"/>
    <x v="1"/>
    <x v="0"/>
    <x v="0"/>
    <n v="1"/>
    <n v="1"/>
    <n v="0"/>
    <n v="0"/>
    <n v="0"/>
    <n v="0"/>
    <n v="0"/>
    <m/>
    <n v="59.9"/>
    <m/>
    <s v="Unique"/>
    <s v="Valid"/>
  </r>
  <r>
    <s v="USR-101245"/>
    <d v="2025-04-16T00:00:00"/>
    <x v="1"/>
    <x v="0"/>
    <x v="1"/>
    <x v="0"/>
    <x v="2"/>
    <n v="1"/>
    <n v="0"/>
    <n v="0"/>
    <n v="0"/>
    <n v="0"/>
    <n v="0"/>
    <n v="0"/>
    <m/>
    <n v="49.5"/>
    <m/>
    <s v="Unique"/>
    <s v="Valid"/>
  </r>
  <r>
    <s v="USR-101246"/>
    <d v="2025-05-08T00:00:00"/>
    <x v="1"/>
    <x v="0"/>
    <x v="2"/>
    <x v="1"/>
    <x v="1"/>
    <n v="1"/>
    <n v="0"/>
    <n v="0"/>
    <n v="0"/>
    <n v="0"/>
    <n v="0"/>
    <n v="0"/>
    <m/>
    <n v="41.5"/>
    <m/>
    <s v="Unique"/>
    <s v="Valid"/>
  </r>
  <r>
    <s v="USR-101247"/>
    <d v="2025-05-22T00:00:00"/>
    <x v="1"/>
    <x v="0"/>
    <x v="1"/>
    <x v="2"/>
    <x v="0"/>
    <n v="1"/>
    <n v="0"/>
    <n v="0"/>
    <n v="0"/>
    <n v="0"/>
    <n v="0"/>
    <n v="0"/>
    <m/>
    <n v="71.2"/>
    <m/>
    <s v="Unique"/>
    <s v="Valid"/>
  </r>
  <r>
    <s v="USR-101248"/>
    <d v="2025-03-21T00:00:00"/>
    <x v="1"/>
    <x v="0"/>
    <x v="1"/>
    <x v="3"/>
    <x v="0"/>
    <n v="1"/>
    <n v="1"/>
    <n v="1"/>
    <n v="0"/>
    <n v="0"/>
    <n v="0"/>
    <n v="0"/>
    <m/>
    <n v="65.8"/>
    <m/>
    <s v="Unique"/>
    <s v="Valid"/>
  </r>
  <r>
    <s v="USR-101249"/>
    <d v="2025-03-22T00:00:00"/>
    <x v="1"/>
    <x v="2"/>
    <x v="1"/>
    <x v="1"/>
    <x v="0"/>
    <n v="1"/>
    <n v="0"/>
    <n v="0"/>
    <n v="0"/>
    <n v="0"/>
    <n v="1"/>
    <n v="0"/>
    <m/>
    <n v="55.1"/>
    <m/>
    <s v="Unique"/>
    <s v="Valid"/>
  </r>
  <r>
    <s v="USR-101250"/>
    <d v="2025-01-10T00:00:00"/>
    <x v="1"/>
    <x v="1"/>
    <x v="0"/>
    <x v="4"/>
    <x v="1"/>
    <n v="1"/>
    <n v="0"/>
    <n v="0"/>
    <n v="0"/>
    <n v="0"/>
    <n v="0"/>
    <n v="0"/>
    <m/>
    <n v="54.6"/>
    <m/>
    <s v="Unique"/>
    <s v="Valid"/>
  </r>
  <r>
    <s v="USR-101251"/>
    <d v="2025-02-01T00:00:00"/>
    <x v="1"/>
    <x v="2"/>
    <x v="1"/>
    <x v="1"/>
    <x v="0"/>
    <n v="1"/>
    <n v="1"/>
    <n v="1"/>
    <n v="1"/>
    <n v="923.67"/>
    <n v="0"/>
    <n v="0"/>
    <n v="4"/>
    <n v="81.900000000000006"/>
    <m/>
    <s v="Unique"/>
    <s v="Valid"/>
  </r>
  <r>
    <s v="USR-101252"/>
    <d v="2025-03-31T00:00:00"/>
    <x v="1"/>
    <x v="3"/>
    <x v="1"/>
    <x v="2"/>
    <x v="0"/>
    <n v="1"/>
    <n v="1"/>
    <n v="0"/>
    <n v="0"/>
    <n v="0"/>
    <n v="3"/>
    <n v="0"/>
    <m/>
    <n v="63.2"/>
    <m/>
    <s v="Unique"/>
    <s v="Valid"/>
  </r>
  <r>
    <s v="USR-101253"/>
    <d v="2025-04-25T00:00:00"/>
    <x v="1"/>
    <x v="0"/>
    <x v="1"/>
    <x v="2"/>
    <x v="1"/>
    <n v="1"/>
    <n v="0"/>
    <n v="0"/>
    <n v="0"/>
    <n v="0"/>
    <n v="0"/>
    <n v="0"/>
    <m/>
    <n v="55.4"/>
    <m/>
    <s v="Unique"/>
    <s v="Valid"/>
  </r>
  <r>
    <s v="USR-101254"/>
    <d v="2025-05-02T00:00:00"/>
    <x v="1"/>
    <x v="1"/>
    <x v="1"/>
    <x v="4"/>
    <x v="0"/>
    <n v="0"/>
    <n v="0"/>
    <n v="0"/>
    <n v="0"/>
    <n v="0"/>
    <n v="0"/>
    <n v="0"/>
    <m/>
    <n v="87.5"/>
    <m/>
    <s v="Unique"/>
    <s v="Valid"/>
  </r>
  <r>
    <s v="USR-101255"/>
    <d v="2025-03-08T00:00:00"/>
    <x v="1"/>
    <x v="3"/>
    <x v="0"/>
    <x v="4"/>
    <x v="0"/>
    <n v="1"/>
    <n v="0"/>
    <n v="0"/>
    <n v="0"/>
    <n v="0"/>
    <n v="0"/>
    <n v="0"/>
    <m/>
    <n v="48.5"/>
    <m/>
    <s v="Unique"/>
    <s v="Valid"/>
  </r>
  <r>
    <s v="USR-101256"/>
    <d v="2025-01-27T00:00:00"/>
    <x v="1"/>
    <x v="2"/>
    <x v="0"/>
    <x v="5"/>
    <x v="1"/>
    <n v="1"/>
    <n v="1"/>
    <n v="1"/>
    <n v="1"/>
    <n v="420.27"/>
    <n v="0"/>
    <n v="0"/>
    <n v="6"/>
    <n v="58.4"/>
    <m/>
    <s v="Unique"/>
    <s v="Valid"/>
  </r>
  <r>
    <s v="USR-101257"/>
    <d v="2025-04-27T00:00:00"/>
    <x v="1"/>
    <x v="1"/>
    <x v="1"/>
    <x v="2"/>
    <x v="1"/>
    <n v="0"/>
    <n v="0"/>
    <n v="0"/>
    <n v="0"/>
    <n v="0"/>
    <n v="0"/>
    <n v="0"/>
    <m/>
    <n v="59.5"/>
    <m/>
    <s v="Unique"/>
    <s v="Valid"/>
  </r>
  <r>
    <s v="USR-101258"/>
    <d v="2025-01-16T00:00:00"/>
    <x v="1"/>
    <x v="1"/>
    <x v="0"/>
    <x v="2"/>
    <x v="0"/>
    <n v="1"/>
    <n v="0"/>
    <n v="0"/>
    <n v="0"/>
    <n v="0"/>
    <n v="0"/>
    <n v="0"/>
    <m/>
    <n v="93.2"/>
    <m/>
    <s v="Unique"/>
    <s v="Valid"/>
  </r>
  <r>
    <s v="USR-101259"/>
    <d v="2025-01-18T00:00:00"/>
    <x v="1"/>
    <x v="1"/>
    <x v="0"/>
    <x v="2"/>
    <x v="0"/>
    <n v="1"/>
    <n v="0"/>
    <n v="0"/>
    <n v="0"/>
    <n v="0"/>
    <n v="0"/>
    <n v="0"/>
    <m/>
    <n v="59"/>
    <m/>
    <s v="Unique"/>
    <s v="Valid"/>
  </r>
  <r>
    <s v="USR-101260"/>
    <d v="2025-03-21T00:00:00"/>
    <x v="1"/>
    <x v="0"/>
    <x v="1"/>
    <x v="1"/>
    <x v="1"/>
    <n v="1"/>
    <n v="0"/>
    <n v="0"/>
    <n v="0"/>
    <n v="0"/>
    <n v="0"/>
    <n v="0"/>
    <m/>
    <n v="37"/>
    <m/>
    <s v="Unique"/>
    <s v="Valid"/>
  </r>
  <r>
    <s v="USR-101261"/>
    <d v="2025-04-02T00:00:00"/>
    <x v="1"/>
    <x v="0"/>
    <x v="0"/>
    <x v="2"/>
    <x v="1"/>
    <n v="1"/>
    <n v="0"/>
    <n v="0"/>
    <n v="0"/>
    <n v="0"/>
    <n v="0"/>
    <n v="0"/>
    <m/>
    <n v="47.5"/>
    <m/>
    <s v="Unique"/>
    <s v="Valid"/>
  </r>
  <r>
    <s v="USR-101262"/>
    <d v="2025-02-16T00:00:00"/>
    <x v="1"/>
    <x v="1"/>
    <x v="0"/>
    <x v="1"/>
    <x v="1"/>
    <n v="1"/>
    <n v="1"/>
    <n v="1"/>
    <n v="0"/>
    <n v="0"/>
    <n v="0"/>
    <n v="0"/>
    <m/>
    <n v="78.7"/>
    <m/>
    <s v="Unique"/>
    <s v="Valid"/>
  </r>
  <r>
    <s v="USR-101263"/>
    <d v="2025-02-18T00:00:00"/>
    <x v="1"/>
    <x v="0"/>
    <x v="1"/>
    <x v="4"/>
    <x v="1"/>
    <n v="1"/>
    <n v="0"/>
    <n v="0"/>
    <n v="0"/>
    <n v="0"/>
    <n v="0"/>
    <n v="0"/>
    <m/>
    <n v="49.6"/>
    <m/>
    <s v="Unique"/>
    <s v="Valid"/>
  </r>
  <r>
    <s v="USR-101264"/>
    <d v="2025-01-09T00:00:00"/>
    <x v="1"/>
    <x v="2"/>
    <x v="1"/>
    <x v="1"/>
    <x v="1"/>
    <n v="1"/>
    <n v="0"/>
    <n v="0"/>
    <n v="0"/>
    <n v="0"/>
    <n v="0"/>
    <n v="0"/>
    <m/>
    <n v="58"/>
    <m/>
    <s v="Unique"/>
    <s v="Valid"/>
  </r>
  <r>
    <s v="USR-101265"/>
    <d v="2025-02-18T00:00:00"/>
    <x v="1"/>
    <x v="0"/>
    <x v="0"/>
    <x v="2"/>
    <x v="1"/>
    <n v="1"/>
    <n v="0"/>
    <n v="0"/>
    <n v="0"/>
    <n v="0"/>
    <n v="1"/>
    <n v="0"/>
    <m/>
    <n v="54.4"/>
    <m/>
    <s v="Unique"/>
    <s v="Valid"/>
  </r>
  <r>
    <s v="USR-101266"/>
    <d v="2025-01-10T00:00:00"/>
    <x v="1"/>
    <x v="2"/>
    <x v="1"/>
    <x v="3"/>
    <x v="1"/>
    <n v="0"/>
    <n v="0"/>
    <n v="0"/>
    <n v="0"/>
    <n v="0"/>
    <n v="0"/>
    <n v="0"/>
    <m/>
    <n v="33.700000000000003"/>
    <m/>
    <s v="Unique"/>
    <s v="Valid"/>
  </r>
  <r>
    <s v="USR-101267"/>
    <d v="2025-03-08T00:00:00"/>
    <x v="1"/>
    <x v="1"/>
    <x v="1"/>
    <x v="0"/>
    <x v="1"/>
    <n v="1"/>
    <n v="0"/>
    <n v="0"/>
    <n v="0"/>
    <n v="0"/>
    <n v="0"/>
    <n v="0"/>
    <m/>
    <n v="72.7"/>
    <m/>
    <s v="Unique"/>
    <s v="Valid"/>
  </r>
  <r>
    <s v="USR-101268"/>
    <d v="2025-04-16T00:00:00"/>
    <x v="1"/>
    <x v="2"/>
    <x v="0"/>
    <x v="2"/>
    <x v="0"/>
    <n v="0"/>
    <n v="0"/>
    <n v="0"/>
    <n v="0"/>
    <n v="0"/>
    <n v="0"/>
    <n v="0"/>
    <m/>
    <n v="64.7"/>
    <m/>
    <s v="Unique"/>
    <s v="Valid"/>
  </r>
  <r>
    <s v="USR-101269"/>
    <d v="2025-02-19T00:00:00"/>
    <x v="1"/>
    <x v="1"/>
    <x v="0"/>
    <x v="2"/>
    <x v="2"/>
    <n v="0"/>
    <n v="0"/>
    <n v="0"/>
    <n v="0"/>
    <n v="0"/>
    <n v="1"/>
    <n v="0"/>
    <m/>
    <n v="48.6"/>
    <m/>
    <s v="Unique"/>
    <s v="Valid"/>
  </r>
  <r>
    <s v="USR-101270"/>
    <d v="2025-03-16T00:00:00"/>
    <x v="1"/>
    <x v="2"/>
    <x v="0"/>
    <x v="4"/>
    <x v="1"/>
    <n v="1"/>
    <n v="1"/>
    <n v="0"/>
    <n v="0"/>
    <n v="0"/>
    <n v="0"/>
    <n v="0"/>
    <m/>
    <n v="66.2"/>
    <m/>
    <s v="Unique"/>
    <s v="Valid"/>
  </r>
  <r>
    <s v="USR-101271"/>
    <d v="2025-02-03T00:00:00"/>
    <x v="1"/>
    <x v="1"/>
    <x v="3"/>
    <x v="3"/>
    <x v="0"/>
    <n v="1"/>
    <n v="0"/>
    <n v="0"/>
    <n v="0"/>
    <n v="0"/>
    <n v="1"/>
    <n v="0"/>
    <m/>
    <n v="60.7"/>
    <m/>
    <s v="Unique"/>
    <s v="Valid"/>
  </r>
  <r>
    <s v="USR-101272"/>
    <d v="2025-03-12T00:00:00"/>
    <x v="1"/>
    <x v="1"/>
    <x v="1"/>
    <x v="2"/>
    <x v="0"/>
    <n v="1"/>
    <n v="0"/>
    <n v="0"/>
    <n v="0"/>
    <n v="0"/>
    <n v="0"/>
    <n v="0"/>
    <m/>
    <n v="36.5"/>
    <m/>
    <s v="Unique"/>
    <s v="Valid"/>
  </r>
  <r>
    <s v="USR-101273"/>
    <d v="2025-05-09T00:00:00"/>
    <x v="1"/>
    <x v="1"/>
    <x v="1"/>
    <x v="4"/>
    <x v="1"/>
    <n v="1"/>
    <n v="1"/>
    <n v="1"/>
    <n v="0"/>
    <n v="0"/>
    <n v="3"/>
    <n v="0"/>
    <m/>
    <n v="69.7"/>
    <m/>
    <s v="Unique"/>
    <s v="Valid"/>
  </r>
  <r>
    <s v="USR-101274"/>
    <d v="2025-01-19T00:00:00"/>
    <x v="1"/>
    <x v="3"/>
    <x v="0"/>
    <x v="4"/>
    <x v="2"/>
    <n v="1"/>
    <n v="0"/>
    <n v="0"/>
    <n v="0"/>
    <n v="0"/>
    <n v="0"/>
    <n v="0"/>
    <m/>
    <n v="81.8"/>
    <m/>
    <s v="Unique"/>
    <s v="Valid"/>
  </r>
  <r>
    <s v="USR-101275"/>
    <d v="2025-01-24T00:00:00"/>
    <x v="1"/>
    <x v="1"/>
    <x v="1"/>
    <x v="3"/>
    <x v="1"/>
    <n v="1"/>
    <n v="1"/>
    <n v="1"/>
    <n v="0"/>
    <n v="0"/>
    <n v="1"/>
    <n v="0"/>
    <m/>
    <n v="78.3"/>
    <m/>
    <s v="Unique"/>
    <s v="Valid"/>
  </r>
  <r>
    <s v="USR-101276"/>
    <d v="2025-03-03T00:00:00"/>
    <x v="1"/>
    <x v="2"/>
    <x v="1"/>
    <x v="3"/>
    <x v="1"/>
    <n v="1"/>
    <n v="1"/>
    <n v="0"/>
    <n v="0"/>
    <n v="0"/>
    <n v="0"/>
    <n v="0"/>
    <m/>
    <n v="79.400000000000006"/>
    <m/>
    <s v="Unique"/>
    <s v="Valid"/>
  </r>
  <r>
    <s v="USR-101277"/>
    <d v="2025-05-27T00:00:00"/>
    <x v="1"/>
    <x v="0"/>
    <x v="0"/>
    <x v="3"/>
    <x v="1"/>
    <n v="1"/>
    <n v="1"/>
    <n v="1"/>
    <n v="0"/>
    <n v="0"/>
    <n v="0"/>
    <n v="0"/>
    <m/>
    <n v="54.9"/>
    <m/>
    <s v="Unique"/>
    <s v="Valid"/>
  </r>
  <r>
    <s v="USR-101278"/>
    <d v="2025-04-23T00:00:00"/>
    <x v="1"/>
    <x v="1"/>
    <x v="0"/>
    <x v="1"/>
    <x v="0"/>
    <n v="1"/>
    <n v="0"/>
    <n v="0"/>
    <n v="0"/>
    <n v="0"/>
    <n v="0"/>
    <n v="0"/>
    <m/>
    <n v="54.9"/>
    <m/>
    <s v="Unique"/>
    <s v="Valid"/>
  </r>
  <r>
    <s v="USR-101279"/>
    <d v="2025-02-10T00:00:00"/>
    <x v="1"/>
    <x v="2"/>
    <x v="0"/>
    <x v="4"/>
    <x v="1"/>
    <n v="0"/>
    <n v="0"/>
    <n v="0"/>
    <n v="0"/>
    <n v="0"/>
    <n v="0"/>
    <n v="0"/>
    <m/>
    <n v="28.7"/>
    <m/>
    <s v="Unique"/>
    <s v="Valid"/>
  </r>
  <r>
    <s v="USR-101280"/>
    <d v="2025-02-11T00:00:00"/>
    <x v="1"/>
    <x v="0"/>
    <x v="1"/>
    <x v="1"/>
    <x v="1"/>
    <n v="0"/>
    <n v="0"/>
    <n v="0"/>
    <n v="0"/>
    <n v="0"/>
    <n v="0"/>
    <n v="0"/>
    <m/>
    <n v="68.8"/>
    <m/>
    <s v="Unique"/>
    <s v="Valid"/>
  </r>
  <r>
    <s v="USR-101281"/>
    <d v="2025-01-21T00:00:00"/>
    <x v="1"/>
    <x v="2"/>
    <x v="0"/>
    <x v="2"/>
    <x v="1"/>
    <n v="1"/>
    <n v="1"/>
    <n v="1"/>
    <n v="0"/>
    <n v="0"/>
    <n v="0"/>
    <n v="0"/>
    <m/>
    <n v="43.5"/>
    <m/>
    <s v="Unique"/>
    <s v="Valid"/>
  </r>
  <r>
    <s v="USR-101282"/>
    <d v="2025-02-02T00:00:00"/>
    <x v="1"/>
    <x v="1"/>
    <x v="0"/>
    <x v="4"/>
    <x v="1"/>
    <n v="1"/>
    <n v="1"/>
    <n v="0"/>
    <n v="0"/>
    <n v="0"/>
    <n v="0"/>
    <n v="0"/>
    <m/>
    <n v="62.6"/>
    <m/>
    <s v="Unique"/>
    <s v="Valid"/>
  </r>
  <r>
    <s v="USR-101283"/>
    <d v="2025-02-02T00:00:00"/>
    <x v="1"/>
    <x v="1"/>
    <x v="1"/>
    <x v="1"/>
    <x v="1"/>
    <n v="0"/>
    <n v="0"/>
    <n v="0"/>
    <n v="0"/>
    <n v="0"/>
    <n v="1"/>
    <n v="0"/>
    <m/>
    <n v="54.1"/>
    <m/>
    <s v="Unique"/>
    <s v="Valid"/>
  </r>
  <r>
    <s v="USR-101284"/>
    <d v="2025-02-26T00:00:00"/>
    <x v="1"/>
    <x v="1"/>
    <x v="2"/>
    <x v="4"/>
    <x v="1"/>
    <n v="1"/>
    <n v="1"/>
    <n v="1"/>
    <n v="0"/>
    <n v="0"/>
    <n v="0"/>
    <n v="0"/>
    <m/>
    <n v="80.099999999999994"/>
    <m/>
    <s v="Unique"/>
    <s v="Valid"/>
  </r>
  <r>
    <s v="USR-101285"/>
    <d v="2025-04-22T00:00:00"/>
    <x v="1"/>
    <x v="0"/>
    <x v="1"/>
    <x v="4"/>
    <x v="2"/>
    <n v="1"/>
    <n v="0"/>
    <n v="0"/>
    <n v="0"/>
    <n v="0"/>
    <n v="0"/>
    <n v="0"/>
    <m/>
    <n v="69.5"/>
    <m/>
    <s v="Unique"/>
    <s v="Valid"/>
  </r>
  <r>
    <s v="USR-101286"/>
    <d v="2025-03-11T00:00:00"/>
    <x v="1"/>
    <x v="0"/>
    <x v="0"/>
    <x v="1"/>
    <x v="0"/>
    <n v="0"/>
    <n v="0"/>
    <n v="0"/>
    <n v="0"/>
    <n v="0"/>
    <n v="2"/>
    <n v="0"/>
    <m/>
    <n v="46.6"/>
    <m/>
    <s v="Unique"/>
    <s v="Valid"/>
  </r>
  <r>
    <s v="USR-101287"/>
    <d v="2025-05-08T00:00:00"/>
    <x v="1"/>
    <x v="3"/>
    <x v="1"/>
    <x v="1"/>
    <x v="2"/>
    <n v="1"/>
    <n v="0"/>
    <n v="0"/>
    <n v="0"/>
    <n v="0"/>
    <n v="1"/>
    <n v="0"/>
    <m/>
    <n v="54.9"/>
    <m/>
    <s v="Unique"/>
    <s v="Valid"/>
  </r>
  <r>
    <s v="USR-101288"/>
    <d v="2025-03-10T00:00:00"/>
    <x v="1"/>
    <x v="2"/>
    <x v="0"/>
    <x v="1"/>
    <x v="1"/>
    <n v="0"/>
    <n v="0"/>
    <n v="0"/>
    <n v="0"/>
    <n v="0"/>
    <n v="0"/>
    <n v="0"/>
    <m/>
    <n v="100"/>
    <m/>
    <s v="Unique"/>
    <s v="Valid"/>
  </r>
  <r>
    <s v="USR-101289"/>
    <d v="2025-04-16T00:00:00"/>
    <x v="1"/>
    <x v="2"/>
    <x v="0"/>
    <x v="2"/>
    <x v="1"/>
    <n v="1"/>
    <n v="1"/>
    <n v="1"/>
    <n v="0"/>
    <n v="0"/>
    <n v="1"/>
    <n v="0"/>
    <m/>
    <n v="80.5"/>
    <m/>
    <s v="Unique"/>
    <s v="Valid"/>
  </r>
  <r>
    <s v="USR-101290"/>
    <d v="2025-03-01T00:00:00"/>
    <x v="1"/>
    <x v="1"/>
    <x v="2"/>
    <x v="1"/>
    <x v="0"/>
    <n v="1"/>
    <n v="0"/>
    <n v="0"/>
    <n v="0"/>
    <n v="0"/>
    <n v="0"/>
    <n v="0"/>
    <m/>
    <n v="51.2"/>
    <m/>
    <s v="Unique"/>
    <s v="Valid"/>
  </r>
  <r>
    <s v="USR-101291"/>
    <d v="2025-01-18T00:00:00"/>
    <x v="1"/>
    <x v="3"/>
    <x v="0"/>
    <x v="1"/>
    <x v="2"/>
    <n v="1"/>
    <n v="0"/>
    <n v="0"/>
    <n v="0"/>
    <n v="0"/>
    <n v="0"/>
    <n v="0"/>
    <m/>
    <n v="42.5"/>
    <m/>
    <s v="Unique"/>
    <s v="Valid"/>
  </r>
  <r>
    <s v="USR-101292"/>
    <d v="2025-03-30T00:00:00"/>
    <x v="1"/>
    <x v="0"/>
    <x v="1"/>
    <x v="2"/>
    <x v="1"/>
    <n v="0"/>
    <n v="0"/>
    <n v="0"/>
    <n v="0"/>
    <n v="0"/>
    <n v="0"/>
    <n v="0"/>
    <m/>
    <n v="72.5"/>
    <m/>
    <s v="Unique"/>
    <s v="Valid"/>
  </r>
  <r>
    <s v="USR-101293"/>
    <d v="2025-05-26T00:00:00"/>
    <x v="1"/>
    <x v="1"/>
    <x v="1"/>
    <x v="4"/>
    <x v="2"/>
    <n v="0"/>
    <n v="0"/>
    <n v="0"/>
    <n v="0"/>
    <n v="0"/>
    <n v="0"/>
    <n v="0"/>
    <m/>
    <n v="74.400000000000006"/>
    <m/>
    <s v="Unique"/>
    <s v="Valid"/>
  </r>
  <r>
    <s v="USR-101294"/>
    <d v="2025-03-19T00:00:00"/>
    <x v="1"/>
    <x v="2"/>
    <x v="0"/>
    <x v="4"/>
    <x v="1"/>
    <n v="0"/>
    <n v="0"/>
    <n v="0"/>
    <n v="0"/>
    <n v="0"/>
    <n v="0"/>
    <n v="0"/>
    <m/>
    <n v="78.400000000000006"/>
    <m/>
    <s v="Unique"/>
    <s v="Valid"/>
  </r>
  <r>
    <s v="USR-101295"/>
    <d v="2025-03-28T00:00:00"/>
    <x v="1"/>
    <x v="0"/>
    <x v="0"/>
    <x v="3"/>
    <x v="1"/>
    <n v="1"/>
    <n v="0"/>
    <n v="0"/>
    <n v="0"/>
    <n v="0"/>
    <n v="0"/>
    <n v="0"/>
    <m/>
    <n v="71.5"/>
    <m/>
    <s v="Unique"/>
    <s v="Valid"/>
  </r>
  <r>
    <s v="USR-101296"/>
    <d v="2025-05-28T00:00:00"/>
    <x v="1"/>
    <x v="3"/>
    <x v="0"/>
    <x v="4"/>
    <x v="1"/>
    <n v="1"/>
    <n v="0"/>
    <n v="0"/>
    <n v="0"/>
    <n v="0"/>
    <n v="0"/>
    <n v="0"/>
    <m/>
    <n v="66.7"/>
    <m/>
    <s v="Unique"/>
    <s v="Valid"/>
  </r>
  <r>
    <s v="USR-101297"/>
    <d v="2025-05-31T00:00:00"/>
    <x v="1"/>
    <x v="3"/>
    <x v="0"/>
    <x v="3"/>
    <x v="2"/>
    <n v="1"/>
    <n v="1"/>
    <n v="1"/>
    <n v="1"/>
    <n v="1496.09"/>
    <n v="0"/>
    <n v="0"/>
    <n v="7"/>
    <n v="60.4"/>
    <m/>
    <s v="Unique"/>
    <s v="Valid"/>
  </r>
  <r>
    <s v="USR-101298"/>
    <d v="2025-05-10T00:00:00"/>
    <x v="1"/>
    <x v="0"/>
    <x v="1"/>
    <x v="3"/>
    <x v="1"/>
    <n v="0"/>
    <n v="0"/>
    <n v="0"/>
    <n v="0"/>
    <n v="0"/>
    <n v="1"/>
    <n v="0"/>
    <m/>
    <n v="72.900000000000006"/>
    <m/>
    <s v="Unique"/>
    <s v="Valid"/>
  </r>
  <r>
    <s v="USR-101299"/>
    <d v="2025-05-17T00:00:00"/>
    <x v="1"/>
    <x v="1"/>
    <x v="1"/>
    <x v="1"/>
    <x v="1"/>
    <n v="0"/>
    <n v="0"/>
    <n v="0"/>
    <n v="0"/>
    <n v="0"/>
    <n v="3"/>
    <n v="0"/>
    <m/>
    <n v="60.02"/>
    <m/>
    <s v="Unique"/>
    <s v="Valid"/>
  </r>
  <r>
    <s v="USR-101300"/>
    <d v="2025-01-18T00:00:00"/>
    <x v="1"/>
    <x v="3"/>
    <x v="1"/>
    <x v="1"/>
    <x v="2"/>
    <n v="1"/>
    <n v="0"/>
    <n v="0"/>
    <n v="0"/>
    <n v="0"/>
    <n v="0"/>
    <n v="0"/>
    <m/>
    <n v="55.2"/>
    <m/>
    <s v="Unique"/>
    <s v="Valid"/>
  </r>
  <r>
    <s v="USR-101301"/>
    <d v="2025-05-04T00:00:00"/>
    <x v="1"/>
    <x v="1"/>
    <x v="1"/>
    <x v="4"/>
    <x v="1"/>
    <n v="1"/>
    <n v="0"/>
    <n v="0"/>
    <n v="0"/>
    <n v="0"/>
    <n v="0"/>
    <n v="0"/>
    <m/>
    <n v="67.8"/>
    <m/>
    <s v="Unique"/>
    <s v="Valid"/>
  </r>
  <r>
    <s v="USR-101302"/>
    <d v="2025-03-25T00:00:00"/>
    <x v="1"/>
    <x v="0"/>
    <x v="1"/>
    <x v="1"/>
    <x v="1"/>
    <n v="1"/>
    <n v="0"/>
    <n v="0"/>
    <n v="0"/>
    <n v="0"/>
    <n v="2"/>
    <n v="0"/>
    <m/>
    <n v="70"/>
    <m/>
    <s v="Unique"/>
    <s v="Valid"/>
  </r>
  <r>
    <s v="USR-101303"/>
    <d v="2025-02-27T00:00:00"/>
    <x v="1"/>
    <x v="0"/>
    <x v="1"/>
    <x v="4"/>
    <x v="0"/>
    <n v="1"/>
    <n v="1"/>
    <n v="1"/>
    <n v="0"/>
    <n v="0"/>
    <n v="0"/>
    <n v="0"/>
    <m/>
    <n v="51.1"/>
    <m/>
    <s v="Unique"/>
    <s v="Valid"/>
  </r>
  <r>
    <s v="USR-101304"/>
    <d v="2025-01-14T00:00:00"/>
    <x v="1"/>
    <x v="1"/>
    <x v="1"/>
    <x v="2"/>
    <x v="0"/>
    <n v="1"/>
    <n v="1"/>
    <n v="1"/>
    <n v="0"/>
    <n v="0"/>
    <n v="0"/>
    <n v="0"/>
    <m/>
    <n v="57"/>
    <m/>
    <s v="Unique"/>
    <s v="Valid"/>
  </r>
  <r>
    <s v="USR-101305"/>
    <d v="2025-04-11T00:00:00"/>
    <x v="1"/>
    <x v="2"/>
    <x v="1"/>
    <x v="4"/>
    <x v="1"/>
    <n v="0"/>
    <n v="0"/>
    <n v="0"/>
    <n v="0"/>
    <n v="0"/>
    <n v="1"/>
    <n v="0"/>
    <m/>
    <n v="47.1"/>
    <m/>
    <s v="Unique"/>
    <s v="Valid"/>
  </r>
  <r>
    <s v="USR-101306"/>
    <d v="2025-03-26T00:00:00"/>
    <x v="1"/>
    <x v="2"/>
    <x v="0"/>
    <x v="4"/>
    <x v="0"/>
    <n v="0"/>
    <n v="0"/>
    <n v="0"/>
    <n v="0"/>
    <n v="0"/>
    <n v="0"/>
    <n v="0"/>
    <m/>
    <n v="30.7"/>
    <m/>
    <s v="Unique"/>
    <s v="Valid"/>
  </r>
  <r>
    <s v="USR-101307"/>
    <d v="2025-02-12T00:00:00"/>
    <x v="1"/>
    <x v="1"/>
    <x v="0"/>
    <x v="4"/>
    <x v="1"/>
    <n v="1"/>
    <n v="0"/>
    <n v="0"/>
    <n v="0"/>
    <n v="0"/>
    <n v="0"/>
    <n v="0"/>
    <m/>
    <n v="57.3"/>
    <m/>
    <s v="Unique"/>
    <s v="Valid"/>
  </r>
  <r>
    <s v="USR-101308"/>
    <d v="2025-02-18T00:00:00"/>
    <x v="1"/>
    <x v="1"/>
    <x v="2"/>
    <x v="2"/>
    <x v="0"/>
    <n v="1"/>
    <n v="0"/>
    <n v="0"/>
    <n v="0"/>
    <n v="0"/>
    <n v="0"/>
    <n v="0"/>
    <m/>
    <n v="70"/>
    <m/>
    <s v="Unique"/>
    <s v="Valid"/>
  </r>
  <r>
    <s v="USR-101309"/>
    <d v="2025-05-25T00:00:00"/>
    <x v="1"/>
    <x v="2"/>
    <x v="0"/>
    <x v="4"/>
    <x v="1"/>
    <n v="1"/>
    <n v="1"/>
    <n v="1"/>
    <n v="0"/>
    <n v="0"/>
    <n v="0"/>
    <n v="0"/>
    <m/>
    <n v="59.7"/>
    <m/>
    <s v="Unique"/>
    <s v="Valid"/>
  </r>
  <r>
    <s v="USR-101310"/>
    <d v="2025-05-23T00:00:00"/>
    <x v="1"/>
    <x v="2"/>
    <x v="0"/>
    <x v="2"/>
    <x v="0"/>
    <n v="1"/>
    <n v="0"/>
    <n v="0"/>
    <n v="0"/>
    <n v="0"/>
    <n v="0"/>
    <n v="0"/>
    <m/>
    <n v="68.8"/>
    <m/>
    <s v="Unique"/>
    <s v="Valid"/>
  </r>
  <r>
    <s v="USR-101311"/>
    <d v="2025-01-16T00:00:00"/>
    <x v="1"/>
    <x v="0"/>
    <x v="0"/>
    <x v="1"/>
    <x v="1"/>
    <n v="1"/>
    <n v="1"/>
    <n v="1"/>
    <n v="1"/>
    <n v="428.37"/>
    <n v="0"/>
    <n v="0"/>
    <n v="9"/>
    <n v="88.3"/>
    <m/>
    <s v="Unique"/>
    <s v="Valid"/>
  </r>
  <r>
    <s v="USR-101312"/>
    <d v="2025-01-19T00:00:00"/>
    <x v="1"/>
    <x v="1"/>
    <x v="0"/>
    <x v="0"/>
    <x v="0"/>
    <n v="0"/>
    <n v="0"/>
    <n v="0"/>
    <n v="0"/>
    <n v="0"/>
    <n v="0"/>
    <n v="0"/>
    <m/>
    <n v="83.4"/>
    <m/>
    <s v="Unique"/>
    <s v="Valid"/>
  </r>
  <r>
    <s v="USR-101313"/>
    <d v="2025-05-18T00:00:00"/>
    <x v="1"/>
    <x v="3"/>
    <x v="1"/>
    <x v="3"/>
    <x v="1"/>
    <n v="0"/>
    <n v="0"/>
    <n v="0"/>
    <n v="0"/>
    <n v="0"/>
    <n v="1"/>
    <n v="0"/>
    <m/>
    <n v="81.599999999999994"/>
    <m/>
    <s v="Unique"/>
    <s v="Valid"/>
  </r>
  <r>
    <s v="USR-101314"/>
    <d v="2025-01-23T00:00:00"/>
    <x v="1"/>
    <x v="2"/>
    <x v="2"/>
    <x v="4"/>
    <x v="2"/>
    <n v="1"/>
    <n v="0"/>
    <n v="0"/>
    <n v="0"/>
    <n v="0"/>
    <n v="0"/>
    <n v="0"/>
    <m/>
    <n v="91.6"/>
    <m/>
    <s v="Unique"/>
    <s v="Valid"/>
  </r>
  <r>
    <s v="USR-101315"/>
    <d v="2025-01-08T00:00:00"/>
    <x v="1"/>
    <x v="2"/>
    <x v="2"/>
    <x v="5"/>
    <x v="2"/>
    <n v="1"/>
    <n v="1"/>
    <n v="1"/>
    <n v="0"/>
    <n v="0"/>
    <n v="1"/>
    <n v="0"/>
    <m/>
    <n v="61.5"/>
    <m/>
    <s v="Unique"/>
    <s v="Valid"/>
  </r>
  <r>
    <s v="USR-101316"/>
    <d v="2025-02-19T00:00:00"/>
    <x v="1"/>
    <x v="0"/>
    <x v="1"/>
    <x v="1"/>
    <x v="2"/>
    <n v="0"/>
    <n v="0"/>
    <n v="0"/>
    <n v="0"/>
    <n v="0"/>
    <n v="0"/>
    <n v="0"/>
    <m/>
    <n v="60.02"/>
    <m/>
    <s v="Unique"/>
    <s v="Valid"/>
  </r>
  <r>
    <s v="USR-101317"/>
    <d v="2025-02-10T00:00:00"/>
    <x v="1"/>
    <x v="3"/>
    <x v="1"/>
    <x v="1"/>
    <x v="1"/>
    <n v="1"/>
    <n v="0"/>
    <n v="0"/>
    <n v="0"/>
    <n v="0"/>
    <n v="0"/>
    <n v="0"/>
    <m/>
    <n v="32.6"/>
    <m/>
    <s v="Unique"/>
    <s v="Valid"/>
  </r>
  <r>
    <s v="USR-101318"/>
    <d v="2025-04-13T00:00:00"/>
    <x v="1"/>
    <x v="3"/>
    <x v="1"/>
    <x v="2"/>
    <x v="1"/>
    <n v="1"/>
    <n v="0"/>
    <n v="0"/>
    <n v="0"/>
    <n v="0"/>
    <n v="0"/>
    <n v="0"/>
    <m/>
    <n v="73.900000000000006"/>
    <m/>
    <s v="Unique"/>
    <s v="Valid"/>
  </r>
  <r>
    <s v="USR-101319"/>
    <d v="2025-05-20T00:00:00"/>
    <x v="1"/>
    <x v="2"/>
    <x v="1"/>
    <x v="1"/>
    <x v="1"/>
    <n v="1"/>
    <n v="1"/>
    <n v="1"/>
    <n v="1"/>
    <n v="444.06"/>
    <n v="0"/>
    <n v="0"/>
    <n v="9"/>
    <n v="99.9"/>
    <m/>
    <s v="Unique"/>
    <s v="Valid"/>
  </r>
  <r>
    <s v="USR-101320"/>
    <d v="2025-05-13T00:00:00"/>
    <x v="1"/>
    <x v="3"/>
    <x v="1"/>
    <x v="2"/>
    <x v="0"/>
    <n v="1"/>
    <n v="1"/>
    <n v="0"/>
    <n v="0"/>
    <n v="0"/>
    <n v="1"/>
    <n v="0"/>
    <m/>
    <n v="62.4"/>
    <m/>
    <s v="Unique"/>
    <s v="Valid"/>
  </r>
  <r>
    <s v="USR-101321"/>
    <d v="2025-05-28T00:00:00"/>
    <x v="1"/>
    <x v="3"/>
    <x v="0"/>
    <x v="2"/>
    <x v="0"/>
    <n v="1"/>
    <n v="0"/>
    <n v="0"/>
    <n v="0"/>
    <n v="0"/>
    <n v="0"/>
    <n v="0"/>
    <m/>
    <n v="46.1"/>
    <m/>
    <s v="Unique"/>
    <s v="Valid"/>
  </r>
  <r>
    <s v="USR-101322"/>
    <d v="2025-03-19T00:00:00"/>
    <x v="1"/>
    <x v="1"/>
    <x v="1"/>
    <x v="1"/>
    <x v="1"/>
    <n v="1"/>
    <n v="1"/>
    <n v="1"/>
    <n v="1"/>
    <n v="2660.21"/>
    <n v="0"/>
    <n v="0"/>
    <n v="3"/>
    <n v="73.900000000000006"/>
    <m/>
    <s v="Unique"/>
    <s v="Valid"/>
  </r>
  <r>
    <s v="USR-101323"/>
    <d v="2025-02-03T00:00:00"/>
    <x v="1"/>
    <x v="0"/>
    <x v="1"/>
    <x v="0"/>
    <x v="2"/>
    <n v="0"/>
    <n v="0"/>
    <n v="0"/>
    <n v="0"/>
    <n v="0"/>
    <n v="0"/>
    <n v="0"/>
    <m/>
    <n v="90"/>
    <m/>
    <s v="Unique"/>
    <s v="Valid"/>
  </r>
  <r>
    <s v="USR-101324"/>
    <d v="2025-02-26T00:00:00"/>
    <x v="1"/>
    <x v="3"/>
    <x v="1"/>
    <x v="0"/>
    <x v="0"/>
    <n v="1"/>
    <n v="0"/>
    <n v="0"/>
    <n v="0"/>
    <n v="0"/>
    <n v="1"/>
    <n v="0"/>
    <m/>
    <n v="68.8"/>
    <m/>
    <s v="Unique"/>
    <s v="Valid"/>
  </r>
  <r>
    <s v="USR-101325"/>
    <d v="2025-01-26T00:00:00"/>
    <x v="1"/>
    <x v="1"/>
    <x v="1"/>
    <x v="2"/>
    <x v="1"/>
    <n v="1"/>
    <n v="0"/>
    <n v="0"/>
    <n v="0"/>
    <n v="0"/>
    <n v="0"/>
    <n v="0"/>
    <m/>
    <n v="66.599999999999994"/>
    <m/>
    <s v="Unique"/>
    <s v="Valid"/>
  </r>
  <r>
    <s v="USR-101326"/>
    <d v="2025-05-13T00:00:00"/>
    <x v="1"/>
    <x v="0"/>
    <x v="1"/>
    <x v="1"/>
    <x v="2"/>
    <n v="1"/>
    <n v="0"/>
    <n v="0"/>
    <n v="0"/>
    <n v="0"/>
    <n v="0"/>
    <n v="0"/>
    <m/>
    <n v="49.7"/>
    <m/>
    <s v="Unique"/>
    <s v="Valid"/>
  </r>
  <r>
    <s v="USR-101327"/>
    <d v="2025-02-02T00:00:00"/>
    <x v="1"/>
    <x v="3"/>
    <x v="1"/>
    <x v="2"/>
    <x v="0"/>
    <n v="0"/>
    <n v="0"/>
    <n v="0"/>
    <n v="0"/>
    <n v="0"/>
    <n v="0"/>
    <n v="0"/>
    <m/>
    <n v="67.900000000000006"/>
    <m/>
    <s v="Unique"/>
    <s v="Valid"/>
  </r>
  <r>
    <s v="USR-101328"/>
    <d v="2025-04-30T00:00:00"/>
    <x v="1"/>
    <x v="1"/>
    <x v="1"/>
    <x v="5"/>
    <x v="0"/>
    <n v="0"/>
    <n v="0"/>
    <n v="0"/>
    <n v="0"/>
    <n v="0"/>
    <n v="0"/>
    <n v="0"/>
    <m/>
    <n v="66.900000000000006"/>
    <m/>
    <s v="Unique"/>
    <s v="Valid"/>
  </r>
  <r>
    <s v="USR-101329"/>
    <d v="2025-03-29T00:00:00"/>
    <x v="1"/>
    <x v="2"/>
    <x v="1"/>
    <x v="1"/>
    <x v="1"/>
    <n v="0"/>
    <n v="0"/>
    <n v="0"/>
    <n v="0"/>
    <n v="0"/>
    <n v="0"/>
    <n v="0"/>
    <m/>
    <n v="46.1"/>
    <m/>
    <s v="Unique"/>
    <s v="Valid"/>
  </r>
  <r>
    <s v="USR-101330"/>
    <d v="2025-04-09T00:00:00"/>
    <x v="1"/>
    <x v="1"/>
    <x v="0"/>
    <x v="3"/>
    <x v="2"/>
    <n v="1"/>
    <n v="0"/>
    <n v="0"/>
    <n v="0"/>
    <n v="0"/>
    <n v="0"/>
    <n v="0"/>
    <m/>
    <n v="85.6"/>
    <m/>
    <s v="Unique"/>
    <s v="Valid"/>
  </r>
  <r>
    <s v="USR-101331"/>
    <d v="2025-01-22T00:00:00"/>
    <x v="1"/>
    <x v="3"/>
    <x v="2"/>
    <x v="1"/>
    <x v="1"/>
    <n v="0"/>
    <n v="0"/>
    <n v="0"/>
    <n v="0"/>
    <n v="0"/>
    <n v="0"/>
    <n v="0"/>
    <m/>
    <n v="39.6"/>
    <m/>
    <s v="Unique"/>
    <s v="Valid"/>
  </r>
  <r>
    <s v="USR-101332"/>
    <d v="2025-01-27T00:00:00"/>
    <x v="1"/>
    <x v="3"/>
    <x v="1"/>
    <x v="1"/>
    <x v="0"/>
    <n v="1"/>
    <n v="0"/>
    <n v="0"/>
    <n v="0"/>
    <n v="0"/>
    <n v="0"/>
    <n v="0"/>
    <m/>
    <n v="52.5"/>
    <m/>
    <s v="Unique"/>
    <s v="Valid"/>
  </r>
  <r>
    <s v="USR-101333"/>
    <d v="2025-01-22T00:00:00"/>
    <x v="1"/>
    <x v="2"/>
    <x v="1"/>
    <x v="4"/>
    <x v="2"/>
    <n v="1"/>
    <n v="0"/>
    <n v="0"/>
    <n v="0"/>
    <n v="0"/>
    <n v="0"/>
    <n v="0"/>
    <m/>
    <n v="73.5"/>
    <m/>
    <s v="Unique"/>
    <s v="Valid"/>
  </r>
  <r>
    <s v="USR-101334"/>
    <d v="2025-01-06T00:00:00"/>
    <x v="1"/>
    <x v="1"/>
    <x v="0"/>
    <x v="2"/>
    <x v="1"/>
    <n v="0"/>
    <n v="0"/>
    <n v="0"/>
    <n v="0"/>
    <n v="0"/>
    <n v="0"/>
    <n v="0"/>
    <m/>
    <n v="62.5"/>
    <m/>
    <s v="Unique"/>
    <s v="Valid"/>
  </r>
  <r>
    <s v="USR-101335"/>
    <d v="2025-04-16T00:00:00"/>
    <x v="1"/>
    <x v="3"/>
    <x v="3"/>
    <x v="1"/>
    <x v="1"/>
    <n v="1"/>
    <n v="0"/>
    <n v="0"/>
    <n v="0"/>
    <n v="0"/>
    <n v="0"/>
    <n v="0"/>
    <m/>
    <n v="76.900000000000006"/>
    <m/>
    <s v="Unique"/>
    <s v="Valid"/>
  </r>
  <r>
    <s v="USR-101336"/>
    <d v="2025-04-14T00:00:00"/>
    <x v="1"/>
    <x v="3"/>
    <x v="1"/>
    <x v="1"/>
    <x v="1"/>
    <n v="1"/>
    <n v="0"/>
    <n v="0"/>
    <n v="0"/>
    <n v="0"/>
    <n v="0"/>
    <n v="0"/>
    <m/>
    <n v="51.4"/>
    <m/>
    <s v="Unique"/>
    <s v="Valid"/>
  </r>
  <r>
    <s v="USR-101337"/>
    <d v="2025-02-22T00:00:00"/>
    <x v="1"/>
    <x v="1"/>
    <x v="1"/>
    <x v="2"/>
    <x v="0"/>
    <n v="1"/>
    <n v="0"/>
    <n v="0"/>
    <n v="0"/>
    <n v="0"/>
    <n v="0"/>
    <n v="0"/>
    <m/>
    <n v="59.3"/>
    <m/>
    <s v="Unique"/>
    <s v="Valid"/>
  </r>
  <r>
    <s v="USR-101338"/>
    <d v="2025-03-09T00:00:00"/>
    <x v="1"/>
    <x v="0"/>
    <x v="1"/>
    <x v="1"/>
    <x v="0"/>
    <n v="0"/>
    <n v="0"/>
    <n v="0"/>
    <n v="0"/>
    <n v="0"/>
    <n v="0"/>
    <n v="0"/>
    <m/>
    <n v="74.900000000000006"/>
    <m/>
    <s v="Unique"/>
    <s v="Valid"/>
  </r>
  <r>
    <s v="USR-101339"/>
    <d v="2025-04-20T00:00:00"/>
    <x v="1"/>
    <x v="1"/>
    <x v="0"/>
    <x v="1"/>
    <x v="1"/>
    <n v="1"/>
    <n v="0"/>
    <n v="0"/>
    <n v="0"/>
    <n v="0"/>
    <n v="0"/>
    <n v="0"/>
    <m/>
    <n v="67"/>
    <m/>
    <s v="Unique"/>
    <s v="Valid"/>
  </r>
  <r>
    <s v="USR-101340"/>
    <d v="2025-03-10T00:00:00"/>
    <x v="1"/>
    <x v="3"/>
    <x v="1"/>
    <x v="0"/>
    <x v="1"/>
    <n v="0"/>
    <n v="0"/>
    <n v="0"/>
    <n v="0"/>
    <n v="0"/>
    <n v="0"/>
    <n v="0"/>
    <m/>
    <n v="63.6"/>
    <m/>
    <s v="Unique"/>
    <s v="Valid"/>
  </r>
  <r>
    <s v="USR-101341"/>
    <d v="2025-02-21T00:00:00"/>
    <x v="1"/>
    <x v="3"/>
    <x v="1"/>
    <x v="0"/>
    <x v="1"/>
    <n v="1"/>
    <n v="1"/>
    <n v="0"/>
    <n v="0"/>
    <n v="0"/>
    <n v="1"/>
    <n v="0"/>
    <m/>
    <n v="58.4"/>
    <m/>
    <s v="Unique"/>
    <s v="Valid"/>
  </r>
  <r>
    <s v="USR-101342"/>
    <d v="2025-01-06T00:00:00"/>
    <x v="1"/>
    <x v="0"/>
    <x v="0"/>
    <x v="4"/>
    <x v="1"/>
    <n v="1"/>
    <n v="0"/>
    <n v="0"/>
    <n v="0"/>
    <n v="0"/>
    <n v="0"/>
    <n v="0"/>
    <m/>
    <n v="36.799999999999997"/>
    <m/>
    <s v="Unique"/>
    <s v="Valid"/>
  </r>
  <r>
    <s v="USR-101343"/>
    <d v="2025-04-17T00:00:00"/>
    <x v="1"/>
    <x v="3"/>
    <x v="1"/>
    <x v="1"/>
    <x v="2"/>
    <n v="1"/>
    <n v="0"/>
    <n v="0"/>
    <n v="0"/>
    <n v="0"/>
    <n v="0"/>
    <n v="0"/>
    <m/>
    <n v="71.599999999999994"/>
    <m/>
    <s v="Unique"/>
    <s v="Valid"/>
  </r>
  <r>
    <s v="USR-101344"/>
    <d v="2025-05-23T00:00:00"/>
    <x v="1"/>
    <x v="3"/>
    <x v="1"/>
    <x v="0"/>
    <x v="0"/>
    <n v="1"/>
    <n v="1"/>
    <n v="0"/>
    <n v="0"/>
    <n v="0"/>
    <n v="1"/>
    <n v="0"/>
    <m/>
    <n v="79.7"/>
    <m/>
    <s v="Unique"/>
    <s v="Valid"/>
  </r>
  <r>
    <s v="USR-101345"/>
    <d v="2025-03-14T00:00:00"/>
    <x v="1"/>
    <x v="1"/>
    <x v="0"/>
    <x v="1"/>
    <x v="0"/>
    <n v="1"/>
    <n v="0"/>
    <n v="0"/>
    <n v="0"/>
    <n v="0"/>
    <n v="1"/>
    <n v="0"/>
    <m/>
    <n v="56.5"/>
    <m/>
    <s v="Unique"/>
    <s v="Valid"/>
  </r>
  <r>
    <s v="USR-101346"/>
    <d v="2025-04-21T00:00:00"/>
    <x v="1"/>
    <x v="0"/>
    <x v="1"/>
    <x v="4"/>
    <x v="2"/>
    <n v="1"/>
    <n v="0"/>
    <n v="0"/>
    <n v="0"/>
    <n v="0"/>
    <n v="0"/>
    <n v="0"/>
    <m/>
    <n v="44.7"/>
    <m/>
    <s v="Unique"/>
    <s v="Valid"/>
  </r>
  <r>
    <s v="USR-101347"/>
    <d v="2025-01-03T00:00:00"/>
    <x v="1"/>
    <x v="3"/>
    <x v="1"/>
    <x v="4"/>
    <x v="1"/>
    <n v="1"/>
    <n v="1"/>
    <n v="1"/>
    <n v="0"/>
    <n v="0"/>
    <n v="1"/>
    <n v="0"/>
    <m/>
    <n v="66"/>
    <m/>
    <s v="Unique"/>
    <s v="Valid"/>
  </r>
  <r>
    <s v="USR-101348"/>
    <d v="2025-05-09T00:00:00"/>
    <x v="1"/>
    <x v="0"/>
    <x v="0"/>
    <x v="1"/>
    <x v="0"/>
    <n v="1"/>
    <n v="0"/>
    <n v="0"/>
    <n v="0"/>
    <n v="0"/>
    <n v="0"/>
    <n v="0"/>
    <m/>
    <n v="73"/>
    <m/>
    <s v="Unique"/>
    <s v="Valid"/>
  </r>
  <r>
    <s v="USR-101349"/>
    <d v="2025-05-22T00:00:00"/>
    <x v="1"/>
    <x v="3"/>
    <x v="1"/>
    <x v="1"/>
    <x v="0"/>
    <n v="1"/>
    <n v="1"/>
    <n v="1"/>
    <n v="0"/>
    <n v="0"/>
    <n v="1"/>
    <n v="0"/>
    <m/>
    <n v="72.5"/>
    <m/>
    <s v="Unique"/>
    <s v="Valid"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6"/>
    <n v="100"/>
    <m/>
    <s v="Unique"/>
    <s v="Valid"/>
  </r>
  <r>
    <s v="USR-101351"/>
    <d v="2025-02-08T00:00:00"/>
    <x v="1"/>
    <x v="2"/>
    <x v="1"/>
    <x v="4"/>
    <x v="1"/>
    <n v="0"/>
    <n v="0"/>
    <n v="0"/>
    <n v="0"/>
    <n v="0"/>
    <n v="1"/>
    <n v="0"/>
    <m/>
    <n v="90.5"/>
    <m/>
    <s v="Unique"/>
    <s v="Valid"/>
  </r>
  <r>
    <s v="USR-101352"/>
    <d v="2025-04-03T00:00:00"/>
    <x v="1"/>
    <x v="0"/>
    <x v="2"/>
    <x v="4"/>
    <x v="0"/>
    <n v="1"/>
    <n v="0"/>
    <n v="0"/>
    <n v="0"/>
    <n v="0"/>
    <n v="0"/>
    <n v="0"/>
    <m/>
    <n v="70.2"/>
    <m/>
    <s v="Unique"/>
    <s v="Valid"/>
  </r>
  <r>
    <s v="USR-101353"/>
    <d v="2025-04-17T00:00:00"/>
    <x v="1"/>
    <x v="2"/>
    <x v="0"/>
    <x v="2"/>
    <x v="1"/>
    <n v="1"/>
    <n v="0"/>
    <n v="0"/>
    <n v="0"/>
    <n v="0"/>
    <n v="1"/>
    <n v="0"/>
    <m/>
    <n v="67.099999999999994"/>
    <m/>
    <s v="Unique"/>
    <s v="Valid"/>
  </r>
  <r>
    <s v="USR-101354"/>
    <d v="2025-05-04T00:00:00"/>
    <x v="1"/>
    <x v="2"/>
    <x v="1"/>
    <x v="1"/>
    <x v="1"/>
    <n v="0"/>
    <n v="0"/>
    <n v="0"/>
    <n v="0"/>
    <n v="0"/>
    <n v="0"/>
    <n v="0"/>
    <m/>
    <n v="54.5"/>
    <m/>
    <s v="Unique"/>
    <s v="Valid"/>
  </r>
  <r>
    <s v="USR-101355"/>
    <d v="2025-05-11T00:00:00"/>
    <x v="1"/>
    <x v="1"/>
    <x v="0"/>
    <x v="1"/>
    <x v="1"/>
    <n v="1"/>
    <n v="0"/>
    <n v="0"/>
    <n v="0"/>
    <n v="0"/>
    <n v="0"/>
    <n v="0"/>
    <m/>
    <n v="63.4"/>
    <m/>
    <s v="Unique"/>
    <s v="Valid"/>
  </r>
  <r>
    <s v="USR-101356"/>
    <d v="2025-03-01T00:00:00"/>
    <x v="1"/>
    <x v="0"/>
    <x v="0"/>
    <x v="5"/>
    <x v="1"/>
    <n v="1"/>
    <n v="1"/>
    <n v="1"/>
    <n v="0"/>
    <n v="0"/>
    <n v="0"/>
    <n v="0"/>
    <m/>
    <n v="84.3"/>
    <m/>
    <s v="Unique"/>
    <s v="Valid"/>
  </r>
  <r>
    <s v="USR-101357"/>
    <d v="2025-02-20T00:00:00"/>
    <x v="1"/>
    <x v="1"/>
    <x v="0"/>
    <x v="1"/>
    <x v="1"/>
    <n v="1"/>
    <n v="0"/>
    <n v="0"/>
    <n v="0"/>
    <n v="0"/>
    <n v="1"/>
    <n v="0"/>
    <m/>
    <n v="55"/>
    <m/>
    <s v="Unique"/>
    <s v="Valid"/>
  </r>
  <r>
    <s v="USR-101358"/>
    <d v="2025-05-09T00:00:00"/>
    <x v="1"/>
    <x v="1"/>
    <x v="1"/>
    <x v="4"/>
    <x v="1"/>
    <n v="1"/>
    <n v="0"/>
    <n v="0"/>
    <n v="0"/>
    <n v="0"/>
    <n v="0"/>
    <n v="0"/>
    <m/>
    <n v="63.6"/>
    <m/>
    <s v="Unique"/>
    <s v="Valid"/>
  </r>
  <r>
    <s v="USR-101359"/>
    <d v="2025-04-30T00:00:00"/>
    <x v="1"/>
    <x v="1"/>
    <x v="1"/>
    <x v="1"/>
    <x v="1"/>
    <n v="1"/>
    <n v="0"/>
    <n v="0"/>
    <n v="0"/>
    <n v="0"/>
    <n v="0"/>
    <n v="0"/>
    <m/>
    <n v="55.5"/>
    <m/>
    <s v="Unique"/>
    <s v="Valid"/>
  </r>
  <r>
    <s v="USR-101360"/>
    <d v="2025-01-07T00:00:00"/>
    <x v="1"/>
    <x v="3"/>
    <x v="1"/>
    <x v="4"/>
    <x v="0"/>
    <n v="0"/>
    <n v="0"/>
    <n v="0"/>
    <n v="0"/>
    <n v="0"/>
    <n v="0"/>
    <n v="0"/>
    <m/>
    <n v="50.5"/>
    <m/>
    <s v="Unique"/>
    <s v="Valid"/>
  </r>
  <r>
    <s v="USR-101361"/>
    <d v="2025-04-30T00:00:00"/>
    <x v="1"/>
    <x v="0"/>
    <x v="1"/>
    <x v="4"/>
    <x v="0"/>
    <n v="1"/>
    <n v="0"/>
    <n v="0"/>
    <n v="0"/>
    <n v="0"/>
    <n v="0"/>
    <n v="0"/>
    <m/>
    <n v="45.3"/>
    <m/>
    <s v="Unique"/>
    <s v="Valid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m/>
    <s v="Duplicate"/>
    <s v="Valid"/>
  </r>
  <r>
    <s v="USR-101363"/>
    <d v="2025-03-12T00:00:00"/>
    <x v="1"/>
    <x v="3"/>
    <x v="1"/>
    <x v="2"/>
    <x v="2"/>
    <n v="1"/>
    <n v="1"/>
    <n v="1"/>
    <n v="0"/>
    <n v="0"/>
    <n v="0"/>
    <n v="0"/>
    <m/>
    <n v="88.2"/>
    <m/>
    <s v="Unique"/>
    <s v="Valid"/>
  </r>
  <r>
    <s v="USR-101364"/>
    <d v="2025-02-17T00:00:00"/>
    <x v="1"/>
    <x v="0"/>
    <x v="1"/>
    <x v="1"/>
    <x v="2"/>
    <n v="1"/>
    <n v="0"/>
    <n v="0"/>
    <n v="0"/>
    <n v="0"/>
    <n v="0"/>
    <n v="0"/>
    <m/>
    <n v="51.8"/>
    <m/>
    <s v="Unique"/>
    <s v="Valid"/>
  </r>
  <r>
    <s v="USR-101365"/>
    <d v="2025-05-27T00:00:00"/>
    <x v="1"/>
    <x v="0"/>
    <x v="0"/>
    <x v="1"/>
    <x v="0"/>
    <n v="0"/>
    <n v="0"/>
    <n v="0"/>
    <n v="0"/>
    <n v="0"/>
    <n v="0"/>
    <n v="0"/>
    <m/>
    <n v="87.9"/>
    <m/>
    <s v="Unique"/>
    <s v="Valid"/>
  </r>
  <r>
    <s v="USR-101366"/>
    <d v="2025-05-10T00:00:00"/>
    <x v="1"/>
    <x v="3"/>
    <x v="1"/>
    <x v="4"/>
    <x v="2"/>
    <n v="1"/>
    <n v="0"/>
    <n v="0"/>
    <n v="0"/>
    <n v="0"/>
    <n v="2"/>
    <n v="0"/>
    <m/>
    <n v="70.5"/>
    <m/>
    <s v="Unique"/>
    <s v="Valid"/>
  </r>
  <r>
    <s v="USR-101367"/>
    <d v="2025-01-20T00:00:00"/>
    <x v="1"/>
    <x v="0"/>
    <x v="1"/>
    <x v="1"/>
    <x v="0"/>
    <n v="1"/>
    <n v="1"/>
    <n v="0"/>
    <n v="0"/>
    <n v="0"/>
    <n v="2"/>
    <n v="0"/>
    <m/>
    <n v="58.5"/>
    <m/>
    <s v="Unique"/>
    <s v="Valid"/>
  </r>
  <r>
    <s v="USR-101368"/>
    <d v="2025-01-19T00:00:00"/>
    <x v="1"/>
    <x v="2"/>
    <x v="1"/>
    <x v="3"/>
    <x v="1"/>
    <n v="1"/>
    <n v="0"/>
    <n v="0"/>
    <n v="0"/>
    <n v="0"/>
    <n v="0"/>
    <n v="0"/>
    <m/>
    <n v="65.599999999999994"/>
    <m/>
    <s v="Unique"/>
    <s v="Valid"/>
  </r>
  <r>
    <s v="USR-101369"/>
    <d v="2025-03-07T00:00:00"/>
    <x v="1"/>
    <x v="1"/>
    <x v="0"/>
    <x v="2"/>
    <x v="0"/>
    <n v="1"/>
    <n v="1"/>
    <n v="0"/>
    <n v="0"/>
    <n v="0"/>
    <n v="0"/>
    <n v="0"/>
    <m/>
    <n v="62.7"/>
    <m/>
    <s v="Unique"/>
    <s v="Valid"/>
  </r>
  <r>
    <s v="USR-101370"/>
    <d v="2025-02-02T00:00:00"/>
    <x v="1"/>
    <x v="2"/>
    <x v="1"/>
    <x v="1"/>
    <x v="1"/>
    <n v="0"/>
    <n v="0"/>
    <n v="0"/>
    <n v="0"/>
    <n v="0"/>
    <n v="1"/>
    <n v="0"/>
    <m/>
    <n v="50.9"/>
    <m/>
    <s v="Unique"/>
    <s v="Valid"/>
  </r>
  <r>
    <s v="USR-101371"/>
    <d v="2025-03-07T00:00:00"/>
    <x v="1"/>
    <x v="0"/>
    <x v="1"/>
    <x v="1"/>
    <x v="1"/>
    <n v="0"/>
    <n v="0"/>
    <n v="0"/>
    <n v="0"/>
    <n v="0"/>
    <n v="1"/>
    <n v="0"/>
    <m/>
    <n v="60.6"/>
    <m/>
    <s v="Unique"/>
    <s v="Valid"/>
  </r>
  <r>
    <s v="USR-101372"/>
    <d v="2025-03-30T00:00:00"/>
    <x v="1"/>
    <x v="2"/>
    <x v="0"/>
    <x v="1"/>
    <x v="1"/>
    <n v="1"/>
    <n v="1"/>
    <n v="1"/>
    <n v="0"/>
    <n v="0"/>
    <n v="0"/>
    <n v="0"/>
    <m/>
    <n v="76.599999999999994"/>
    <m/>
    <s v="Unique"/>
    <s v="Valid"/>
  </r>
  <r>
    <s v="USR-101373"/>
    <d v="2025-05-05T00:00:00"/>
    <x v="1"/>
    <x v="2"/>
    <x v="0"/>
    <x v="2"/>
    <x v="1"/>
    <n v="1"/>
    <n v="1"/>
    <n v="1"/>
    <n v="0"/>
    <n v="0"/>
    <n v="0"/>
    <n v="0"/>
    <m/>
    <n v="54.4"/>
    <m/>
    <s v="Unique"/>
    <s v="Valid"/>
  </r>
  <r>
    <s v="USR-101374"/>
    <d v="2025-04-11T00:00:00"/>
    <x v="1"/>
    <x v="3"/>
    <x v="1"/>
    <x v="4"/>
    <x v="1"/>
    <n v="1"/>
    <n v="0"/>
    <n v="0"/>
    <n v="0"/>
    <n v="0"/>
    <n v="0"/>
    <n v="0"/>
    <m/>
    <n v="31.2"/>
    <m/>
    <s v="Unique"/>
    <s v="Valid"/>
  </r>
  <r>
    <s v="USR-101375"/>
    <d v="2025-03-25T00:00:00"/>
    <x v="1"/>
    <x v="1"/>
    <x v="0"/>
    <x v="0"/>
    <x v="2"/>
    <n v="1"/>
    <n v="0"/>
    <n v="0"/>
    <n v="0"/>
    <n v="0"/>
    <n v="0"/>
    <n v="0"/>
    <m/>
    <n v="72.400000000000006"/>
    <m/>
    <s v="Unique"/>
    <s v="Valid"/>
  </r>
  <r>
    <s v="USR-101376"/>
    <d v="2025-03-24T00:00:00"/>
    <x v="1"/>
    <x v="0"/>
    <x v="1"/>
    <x v="1"/>
    <x v="2"/>
    <n v="1"/>
    <n v="0"/>
    <n v="0"/>
    <n v="0"/>
    <n v="0"/>
    <n v="0"/>
    <n v="0"/>
    <m/>
    <n v="74.5"/>
    <m/>
    <s v="Unique"/>
    <s v="Valid"/>
  </r>
  <r>
    <s v="USR-101377"/>
    <d v="2025-04-27T00:00:00"/>
    <x v="1"/>
    <x v="2"/>
    <x v="1"/>
    <x v="1"/>
    <x v="0"/>
    <n v="0"/>
    <n v="0"/>
    <n v="0"/>
    <n v="0"/>
    <n v="0"/>
    <n v="0"/>
    <n v="0"/>
    <m/>
    <n v="52.6"/>
    <m/>
    <s v="Unique"/>
    <s v="Valid"/>
  </r>
  <r>
    <s v="USR-101378"/>
    <d v="2025-01-25T00:00:00"/>
    <x v="1"/>
    <x v="0"/>
    <x v="0"/>
    <x v="2"/>
    <x v="1"/>
    <n v="1"/>
    <n v="0"/>
    <n v="0"/>
    <n v="0"/>
    <n v="0"/>
    <n v="0"/>
    <n v="0"/>
    <m/>
    <n v="75.400000000000006"/>
    <m/>
    <s v="Unique"/>
    <s v="Valid"/>
  </r>
  <r>
    <s v="USR-101379"/>
    <d v="2025-02-17T00:00:00"/>
    <x v="1"/>
    <x v="0"/>
    <x v="2"/>
    <x v="4"/>
    <x v="0"/>
    <n v="1"/>
    <n v="1"/>
    <n v="1"/>
    <n v="1"/>
    <n v="751.33"/>
    <n v="0"/>
    <n v="0"/>
    <n v="9"/>
    <n v="34"/>
    <m/>
    <s v="Unique"/>
    <s v="Valid"/>
  </r>
  <r>
    <s v="USR-101380"/>
    <d v="2025-04-13T00:00:00"/>
    <x v="1"/>
    <x v="3"/>
    <x v="0"/>
    <x v="1"/>
    <x v="1"/>
    <n v="1"/>
    <n v="0"/>
    <n v="0"/>
    <n v="0"/>
    <n v="0"/>
    <n v="0"/>
    <n v="0"/>
    <m/>
    <n v="67.099999999999994"/>
    <m/>
    <s v="Unique"/>
    <s v="Valid"/>
  </r>
  <r>
    <s v="USR-101381"/>
    <d v="2025-05-03T00:00:00"/>
    <x v="1"/>
    <x v="1"/>
    <x v="0"/>
    <x v="2"/>
    <x v="2"/>
    <n v="1"/>
    <n v="0"/>
    <n v="0"/>
    <n v="0"/>
    <n v="0"/>
    <n v="0"/>
    <n v="0"/>
    <m/>
    <n v="37.299999999999997"/>
    <m/>
    <s v="Unique"/>
    <s v="Valid"/>
  </r>
  <r>
    <s v="USR-101382"/>
    <d v="2025-04-29T00:00:00"/>
    <x v="1"/>
    <x v="1"/>
    <x v="1"/>
    <x v="0"/>
    <x v="1"/>
    <n v="1"/>
    <n v="0"/>
    <n v="0"/>
    <n v="0"/>
    <n v="0"/>
    <n v="0"/>
    <n v="0"/>
    <m/>
    <n v="54.7"/>
    <m/>
    <s v="Unique"/>
    <s v="Valid"/>
  </r>
  <r>
    <s v="USR-101383"/>
    <d v="2025-05-03T00:00:00"/>
    <x v="1"/>
    <x v="2"/>
    <x v="0"/>
    <x v="2"/>
    <x v="1"/>
    <n v="1"/>
    <n v="0"/>
    <n v="0"/>
    <n v="0"/>
    <n v="0"/>
    <n v="0"/>
    <n v="0"/>
    <m/>
    <n v="51.8"/>
    <m/>
    <s v="Unique"/>
    <s v="Valid"/>
  </r>
  <r>
    <s v="USR-101384"/>
    <d v="2025-04-28T00:00:00"/>
    <x v="1"/>
    <x v="1"/>
    <x v="1"/>
    <x v="2"/>
    <x v="1"/>
    <n v="0"/>
    <n v="0"/>
    <n v="0"/>
    <n v="0"/>
    <n v="0"/>
    <n v="0"/>
    <n v="0"/>
    <m/>
    <n v="49.2"/>
    <m/>
    <s v="Unique"/>
    <s v="Valid"/>
  </r>
  <r>
    <s v="USR-101385"/>
    <d v="2025-01-21T00:00:00"/>
    <x v="1"/>
    <x v="1"/>
    <x v="1"/>
    <x v="1"/>
    <x v="1"/>
    <n v="1"/>
    <n v="0"/>
    <n v="0"/>
    <n v="0"/>
    <n v="0"/>
    <n v="2"/>
    <n v="0"/>
    <m/>
    <n v="58.8"/>
    <m/>
    <s v="Unique"/>
    <s v="Valid"/>
  </r>
  <r>
    <s v="USR-101386"/>
    <d v="2025-01-21T00:00:00"/>
    <x v="1"/>
    <x v="0"/>
    <x v="2"/>
    <x v="2"/>
    <x v="0"/>
    <n v="0"/>
    <n v="0"/>
    <n v="0"/>
    <n v="0"/>
    <n v="0"/>
    <n v="1"/>
    <n v="0"/>
    <m/>
    <n v="59.1"/>
    <m/>
    <s v="Unique"/>
    <s v="Valid"/>
  </r>
  <r>
    <s v="USR-101387"/>
    <d v="2025-05-21T00:00:00"/>
    <x v="1"/>
    <x v="1"/>
    <x v="0"/>
    <x v="2"/>
    <x v="1"/>
    <n v="1"/>
    <n v="0"/>
    <n v="0"/>
    <n v="0"/>
    <n v="0"/>
    <n v="2"/>
    <n v="0"/>
    <m/>
    <n v="49.6"/>
    <m/>
    <s v="Unique"/>
    <s v="Valid"/>
  </r>
  <r>
    <s v="USR-101388"/>
    <d v="2025-01-05T00:00:00"/>
    <x v="1"/>
    <x v="0"/>
    <x v="1"/>
    <x v="3"/>
    <x v="1"/>
    <n v="0"/>
    <n v="0"/>
    <n v="0"/>
    <n v="0"/>
    <n v="0"/>
    <n v="0"/>
    <n v="0"/>
    <m/>
    <n v="58.2"/>
    <m/>
    <s v="Unique"/>
    <s v="Valid"/>
  </r>
  <r>
    <s v="USR-101389"/>
    <d v="2025-03-06T00:00:00"/>
    <x v="1"/>
    <x v="3"/>
    <x v="0"/>
    <x v="1"/>
    <x v="1"/>
    <n v="1"/>
    <n v="0"/>
    <n v="0"/>
    <n v="0"/>
    <n v="0"/>
    <n v="0"/>
    <n v="0"/>
    <m/>
    <n v="66.8"/>
    <m/>
    <s v="Unique"/>
    <s v="Valid"/>
  </r>
  <r>
    <s v="USR-101390"/>
    <d v="2025-04-18T00:00:00"/>
    <x v="1"/>
    <x v="0"/>
    <x v="1"/>
    <x v="2"/>
    <x v="1"/>
    <n v="1"/>
    <n v="0"/>
    <n v="0"/>
    <n v="0"/>
    <n v="0"/>
    <n v="3"/>
    <n v="0"/>
    <m/>
    <n v="58.3"/>
    <m/>
    <s v="Unique"/>
    <s v="Valid"/>
  </r>
  <r>
    <s v="USR-101391"/>
    <d v="2025-04-15T00:00:00"/>
    <x v="1"/>
    <x v="1"/>
    <x v="1"/>
    <x v="1"/>
    <x v="0"/>
    <n v="1"/>
    <n v="1"/>
    <n v="1"/>
    <n v="0"/>
    <n v="0"/>
    <n v="0"/>
    <n v="0"/>
    <m/>
    <n v="38.5"/>
    <m/>
    <s v="Unique"/>
    <s v="Valid"/>
  </r>
  <r>
    <s v="USR-101392"/>
    <d v="2025-02-10T00:00:00"/>
    <x v="1"/>
    <x v="2"/>
    <x v="1"/>
    <x v="2"/>
    <x v="1"/>
    <n v="1"/>
    <n v="0"/>
    <n v="0"/>
    <n v="0"/>
    <n v="0"/>
    <n v="0"/>
    <n v="0"/>
    <m/>
    <n v="76.900000000000006"/>
    <m/>
    <s v="Unique"/>
    <s v="Valid"/>
  </r>
  <r>
    <s v="USR-101393"/>
    <d v="2025-05-08T00:00:00"/>
    <x v="1"/>
    <x v="2"/>
    <x v="1"/>
    <x v="1"/>
    <x v="1"/>
    <n v="1"/>
    <n v="0"/>
    <n v="0"/>
    <n v="0"/>
    <n v="0"/>
    <n v="0"/>
    <n v="0"/>
    <m/>
    <n v="54"/>
    <m/>
    <s v="Unique"/>
    <s v="Valid"/>
  </r>
  <r>
    <s v="USR-101394"/>
    <d v="2025-05-28T00:00:00"/>
    <x v="1"/>
    <x v="2"/>
    <x v="2"/>
    <x v="1"/>
    <x v="1"/>
    <n v="1"/>
    <n v="0"/>
    <n v="0"/>
    <n v="0"/>
    <n v="0"/>
    <n v="0"/>
    <n v="0"/>
    <m/>
    <n v="70.599999999999994"/>
    <m/>
    <s v="Unique"/>
    <s v="Valid"/>
  </r>
  <r>
    <s v="USR-101395"/>
    <d v="2025-04-25T00:00:00"/>
    <x v="1"/>
    <x v="0"/>
    <x v="2"/>
    <x v="3"/>
    <x v="2"/>
    <n v="1"/>
    <n v="1"/>
    <n v="1"/>
    <n v="0"/>
    <n v="0"/>
    <n v="1"/>
    <n v="0"/>
    <m/>
    <n v="69.400000000000006"/>
    <m/>
    <s v="Unique"/>
    <s v="Valid"/>
  </r>
  <r>
    <s v="USR-101396"/>
    <d v="2025-02-11T00:00:00"/>
    <x v="1"/>
    <x v="3"/>
    <x v="1"/>
    <x v="5"/>
    <x v="2"/>
    <n v="1"/>
    <n v="1"/>
    <n v="1"/>
    <n v="1"/>
    <n v="1009.9"/>
    <n v="0"/>
    <n v="0"/>
    <n v="6"/>
    <n v="89.7"/>
    <m/>
    <s v="Unique"/>
    <s v="Valid"/>
  </r>
  <r>
    <s v="USR-101397"/>
    <d v="2025-04-14T00:00:00"/>
    <x v="1"/>
    <x v="1"/>
    <x v="1"/>
    <x v="1"/>
    <x v="1"/>
    <n v="1"/>
    <n v="0"/>
    <n v="0"/>
    <n v="0"/>
    <n v="0"/>
    <n v="0"/>
    <n v="0"/>
    <m/>
    <n v="62.4"/>
    <m/>
    <s v="Unique"/>
    <s v="Valid"/>
  </r>
  <r>
    <s v="USR-101398"/>
    <d v="2025-02-04T00:00:00"/>
    <x v="1"/>
    <x v="1"/>
    <x v="2"/>
    <x v="1"/>
    <x v="2"/>
    <n v="0"/>
    <n v="0"/>
    <n v="0"/>
    <n v="0"/>
    <n v="0"/>
    <n v="0"/>
    <n v="0"/>
    <m/>
    <n v="67.3"/>
    <m/>
    <s v="Unique"/>
    <s v="Valid"/>
  </r>
  <r>
    <s v="USR-101399"/>
    <d v="2025-03-22T00:00:00"/>
    <x v="1"/>
    <x v="2"/>
    <x v="1"/>
    <x v="3"/>
    <x v="1"/>
    <n v="1"/>
    <n v="0"/>
    <n v="0"/>
    <n v="0"/>
    <n v="0"/>
    <n v="0"/>
    <n v="0"/>
    <m/>
    <n v="54.9"/>
    <m/>
    <s v="Unique"/>
    <s v="Valid"/>
  </r>
  <r>
    <s v="USR-101400"/>
    <d v="2025-04-18T00:00:00"/>
    <x v="1"/>
    <x v="2"/>
    <x v="0"/>
    <x v="4"/>
    <x v="1"/>
    <n v="0"/>
    <n v="0"/>
    <n v="0"/>
    <n v="0"/>
    <n v="0"/>
    <n v="0"/>
    <n v="0"/>
    <m/>
    <n v="55.7"/>
    <m/>
    <s v="Unique"/>
    <s v="Valid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m/>
    <s v="Duplicate"/>
    <s v="Valid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m/>
    <s v="Duplicate"/>
    <s v="Valid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m/>
    <s v="Duplicate"/>
    <s v="Valid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m/>
    <s v="Duplicate"/>
    <s v="Valid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m/>
    <s v="Duplicate"/>
    <s v="Valid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m/>
    <s v="Duplicate"/>
    <s v="Valid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m/>
    <s v="Duplicate"/>
    <s v="Valid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m/>
    <s v="Duplicate"/>
    <s v="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EE3E0-415D-4404-900F-AF9FD33B99A1}" name="PivotTable1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5:E33" firstHeaderRow="1" firstDataRow="2" firstDataCol="1"/>
  <pivotFields count="19">
    <pivotField showAll="0"/>
    <pivotField numFmtId="168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evenue_30d" fld="11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BFC85-3FAF-4B5C-8657-38A903C7DB6F}" name="PivotTable1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E21" firstHeaderRow="1" firstDataRow="2" firstDataCol="1"/>
  <pivotFields count="19">
    <pivotField showAll="0"/>
    <pivotField numFmtId="168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8AC15-8934-4AEA-95E4-86F7C8A204B6}" name="PivotTable1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10" firstHeaderRow="1" firstDataRow="2" firstDataCol="1"/>
  <pivotFields count="19">
    <pivotField showAll="0"/>
    <pivotField numFmtId="168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/>
  </dataFields>
  <formats count="2">
    <format dxfId="0">
      <pivotArea collapsedLevelsAreSubtotals="1" fieldPosition="0">
        <references count="1">
          <reference field="3" count="0"/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BF74-EBD5-4630-8275-C78E1727647B}">
  <dimension ref="A1:C12"/>
  <sheetViews>
    <sheetView workbookViewId="0">
      <selection activeCell="C20" sqref="C20"/>
    </sheetView>
  </sheetViews>
  <sheetFormatPr defaultRowHeight="14.4" x14ac:dyDescent="0.3"/>
  <cols>
    <col min="1" max="1" width="25.44140625" customWidth="1"/>
    <col min="2" max="2" width="11.5546875" customWidth="1"/>
    <col min="3" max="3" width="19.33203125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>
        <f>COUNTIF([1]experiment_data!$C$2:$C$1409,"Control")</f>
        <v>693</v>
      </c>
      <c r="C2" s="4">
        <f>COUNTIF([1]experiment_data!$C$2:$C$1409,"Treatment")</f>
        <v>715</v>
      </c>
    </row>
    <row r="3" spans="1:3" x14ac:dyDescent="0.3">
      <c r="A3" s="3" t="s">
        <v>4</v>
      </c>
      <c r="B3" s="5">
        <f>COUNTIFS([1]experiment_data!$C$2:$C$1409,"Control",[1]experiment_data!$H$2:$H$1409,1)/COUNTIF([1]experiment_data!$C$2:$C$1409,"Control")</f>
        <v>0.63636363636363635</v>
      </c>
      <c r="C3" s="5">
        <f>COUNTIFS([1]experiment_data!$C$2:$C$1409,"Treatment",[1]experiment_data!$H$2:$H$1409,1)/COUNTIF([1]experiment_data!$C$2:$C$1409,"Treatment")</f>
        <v>0.72587412587412592</v>
      </c>
    </row>
    <row r="4" spans="1:3" x14ac:dyDescent="0.3">
      <c r="A4" s="3" t="s">
        <v>5</v>
      </c>
      <c r="B4" s="4">
        <f>COUNTIFS([1]experiment_data!$C$2:$C$1409,"Control",[1]experiment_data!$I$2:$I$1409,1)/COUNTIF([1]experiment_data!$C$2:$C$1409,"Control")</f>
        <v>0.25108225108225107</v>
      </c>
      <c r="C4" s="4">
        <f>COUNTIFS([1]experiment_data!$C$2:$C$1409,"Treatment",[1]experiment_data!$I$2:$I$1409,1)/COUNTIF([1]experiment_data!$C$2:$C$1409,"Treatment")</f>
        <v>0.29090909090909089</v>
      </c>
    </row>
    <row r="5" spans="1:3" x14ac:dyDescent="0.3">
      <c r="A5" s="3" t="s">
        <v>6</v>
      </c>
      <c r="B5" s="4">
        <f>COUNTIFS([1]experiment_data!$C$2:$C$1409,"Control",[1]experiment_data!$J$2:$J$1409,1)/COUNTIF([1]experiment_data!$C$2:$C$1409,"Control")</f>
        <v>0.15584415584415584</v>
      </c>
      <c r="C5" s="4">
        <f>COUNTIFS([1]experiment_data!$C$2:$C$1409,"Treatment",[1]experiment_data!$J$2:$J$1409,1)/COUNTIF([1]experiment_data!$C$2:$C$1409,"Treatment")</f>
        <v>0.21258741258741259</v>
      </c>
    </row>
    <row r="6" spans="1:3" x14ac:dyDescent="0.3">
      <c r="A6" s="3" t="s">
        <v>7</v>
      </c>
      <c r="B6" s="4">
        <f>COUNTIFS([1]experiment_data!$C$2:$C$1409,"Control",[1]experiment_data!$K$2:$K$1409,1)/COUNTIF([1]experiment_data!$C$2:$C$1409,"Control")</f>
        <v>3.1746031746031744E-2</v>
      </c>
      <c r="C6" s="4">
        <f>COUNTIFS([1]experiment_data!$C$2:$C$1409,"Treatment",[1]experiment_data!$K$2:$K$1409,1)/COUNTIF([1]experiment_data!$C$2:$C$1409,"Treatment")</f>
        <v>6.9930069930069935E-2</v>
      </c>
    </row>
    <row r="7" spans="1:3" x14ac:dyDescent="0.3">
      <c r="A7" s="3" t="s">
        <v>8</v>
      </c>
      <c r="B7" s="4">
        <f>SUMIFS([1]experiment_data!$L$2:$L$1409,[1]experiment_data!$C$2:$C$1409,"Control")/COUNTIF([1]experiment_data!$C$2:$C$1409,"Control")</f>
        <v>51.74932178932179</v>
      </c>
      <c r="C7" s="4">
        <f>SUMIFS([1]experiment_data!$L$2:$L$1409,[1]experiment_data!$C$2:$C$1409,"Treatment")/COUNTIF([1]experiment_data!$C$2:$C$1409,"Treatment")</f>
        <v>53.875118881118873</v>
      </c>
    </row>
    <row r="8" spans="1:3" ht="28.8" x14ac:dyDescent="0.3">
      <c r="A8" s="3" t="s">
        <v>9</v>
      </c>
      <c r="B8" s="4">
        <f>SUMIFS([1]experiment_data!$L$2:$L$1409,[1]experiment_data!$C$2:$C$1409,"Control")/COUNTIFS([1]experiment_data!$C$2:$C$1409,"Control",[1]experiment_data!$K$2:$K$1409,1)</f>
        <v>1630.1036363636363</v>
      </c>
      <c r="C8" s="4">
        <f>SUMIFS([1]experiment_data!$L$2:$L$1409,[1]experiment_data!$C$2:$C$1409,"Treatment")/COUNTIFS([1]experiment_data!$C$2:$C$1409,"Treatment",[1]experiment_data!$K$2:$K$1409,1)</f>
        <v>770.41419999999982</v>
      </c>
    </row>
    <row r="9" spans="1:3" x14ac:dyDescent="0.3">
      <c r="A9" s="3" t="s">
        <v>10</v>
      </c>
      <c r="B9" s="4">
        <f>COUNTIFS([1]experiment_data!$C$2:$C$1409,"Control",[1]experiment_data!$N$2:$N$1409,1)/COUNTIF([1]experiment_data!$C$2:$C$1409,"Control")</f>
        <v>0</v>
      </c>
      <c r="C9" s="4">
        <f>COUNTIFS([1]experiment_data!$C$2:$C$1409,"Treatment",[1]experiment_data!$N$2:$N$1409,1)/COUNTIF([1]experiment_data!$C$2:$C$1409,"Treatment")</f>
        <v>4.1958041958041958E-3</v>
      </c>
    </row>
    <row r="10" spans="1:3" x14ac:dyDescent="0.3">
      <c r="A10" s="3" t="s">
        <v>11</v>
      </c>
      <c r="B10" s="5">
        <f>COUNTIFS([1]experiment_data!$C$2:$C$1409,"Control",[1]experiment_data!$M$2:$M$1409,"&gt;0")/COUNTIF([1]experiment_data!$C$2:$C$1409,"Control")</f>
        <v>0.1471861471861472</v>
      </c>
      <c r="C10" s="5">
        <f>COUNTIFS([1]experiment_data!$C$2:$C$1409,"Treatment",[1]experiment_data!$M$2:$M$1409,"&gt;0")/COUNTIF([1]experiment_data!$C$2:$C$1409,"Treatment")</f>
        <v>0.24755244755244754</v>
      </c>
    </row>
    <row r="11" spans="1:3" x14ac:dyDescent="0.3">
      <c r="A11" s="3" t="s">
        <v>12</v>
      </c>
      <c r="B11" s="4">
        <f>AVERAGEIFS([1]experiment_data!$P$2:$P$1409,[1]experiment_data!$C$2:$C$1409,"Control")</f>
        <v>57.052121212121257</v>
      </c>
      <c r="C11" s="4">
        <f>AVERAGEIFS([1]experiment_data!$P$2:$P$1409,[1]experiment_data!$C$2:$C$1409,"Treatment")</f>
        <v>62.899384615384612</v>
      </c>
    </row>
    <row r="12" spans="1:3" x14ac:dyDescent="0.3">
      <c r="A12" s="3" t="s">
        <v>13</v>
      </c>
      <c r="B12" s="4">
        <f>AVERAGEIFS([1]experiment_data!$O$2:$O$1409,[1]experiment_data!$C$2:$C$1409,"Control",[1]experiment_data!$K$2:$K1409,1)</f>
        <v>8.8636363636363633</v>
      </c>
      <c r="C12" s="4">
        <f>AVERAGEIFS([1]experiment_data!$O$2:$O$1409,[1]experiment_data!$C$2:$C$1409,"Treatment",[1]experiment_data!$K$2:$K1409,1)</f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0FC4-CEAE-4F25-93DF-9E566053A7E2}">
  <dimension ref="B2:E33"/>
  <sheetViews>
    <sheetView tabSelected="1" workbookViewId="0">
      <selection activeCell="B17" sqref="B17"/>
    </sheetView>
  </sheetViews>
  <sheetFormatPr defaultRowHeight="14.4" x14ac:dyDescent="0.3"/>
  <cols>
    <col min="2" max="2" width="27" bestFit="1" customWidth="1"/>
    <col min="3" max="3" width="15.5546875" bestFit="1" customWidth="1"/>
    <col min="4" max="4" width="9.77734375" bestFit="1" customWidth="1"/>
    <col min="5" max="5" width="10.77734375" bestFit="1" customWidth="1"/>
  </cols>
  <sheetData>
    <row r="2" spans="2:5" ht="21" x14ac:dyDescent="0.4">
      <c r="B2" s="9" t="s">
        <v>22</v>
      </c>
      <c r="C2" s="9"/>
      <c r="D2" s="9"/>
      <c r="E2" s="9"/>
    </row>
    <row r="4" spans="2:5" x14ac:dyDescent="0.3">
      <c r="B4" s="8" t="s">
        <v>14</v>
      </c>
      <c r="C4" s="8" t="s">
        <v>15</v>
      </c>
    </row>
    <row r="5" spans="2:5" x14ac:dyDescent="0.3">
      <c r="B5" s="8" t="s">
        <v>16</v>
      </c>
      <c r="C5" t="s">
        <v>1</v>
      </c>
      <c r="D5" t="s">
        <v>2</v>
      </c>
      <c r="E5" t="s">
        <v>17</v>
      </c>
    </row>
    <row r="6" spans="2:5" x14ac:dyDescent="0.3">
      <c r="B6" s="6" t="s">
        <v>18</v>
      </c>
      <c r="C6" s="7">
        <v>2.5316455696202531E-2</v>
      </c>
      <c r="D6" s="7">
        <v>6.3953488372093026E-2</v>
      </c>
      <c r="E6" s="7">
        <v>4.5454545454545456E-2</v>
      </c>
    </row>
    <row r="7" spans="2:5" x14ac:dyDescent="0.3">
      <c r="B7" s="6" t="s">
        <v>19</v>
      </c>
      <c r="C7" s="7">
        <v>3.4482758620689655E-2</v>
      </c>
      <c r="D7" s="7">
        <v>8.8888888888888892E-2</v>
      </c>
      <c r="E7" s="7">
        <v>6.0052219321148827E-2</v>
      </c>
    </row>
    <row r="8" spans="2:5" x14ac:dyDescent="0.3">
      <c r="B8" s="6" t="s">
        <v>20</v>
      </c>
      <c r="C8" s="7">
        <v>3.2608695652173912E-2</v>
      </c>
      <c r="D8" s="7">
        <v>7.6086956521739135E-2</v>
      </c>
      <c r="E8" s="7">
        <v>5.434782608695652E-2</v>
      </c>
    </row>
    <row r="9" spans="2:5" x14ac:dyDescent="0.3">
      <c r="B9" s="6" t="s">
        <v>21</v>
      </c>
      <c r="C9" s="7">
        <v>3.3783783783783786E-2</v>
      </c>
      <c r="D9" s="7">
        <v>5.027932960893855E-2</v>
      </c>
      <c r="E9" s="7">
        <v>4.2813455657492352E-2</v>
      </c>
    </row>
    <row r="10" spans="2:5" x14ac:dyDescent="0.3">
      <c r="B10" s="6" t="s">
        <v>17</v>
      </c>
      <c r="C10" s="7">
        <v>3.1746031746031744E-2</v>
      </c>
      <c r="D10" s="7">
        <v>6.9930069930069935E-2</v>
      </c>
      <c r="E10" s="7">
        <v>5.113636363636364E-2</v>
      </c>
    </row>
    <row r="13" spans="2:5" ht="21" x14ac:dyDescent="0.4">
      <c r="B13" s="9" t="s">
        <v>23</v>
      </c>
      <c r="C13" s="9"/>
      <c r="D13" s="9"/>
      <c r="E13" s="9"/>
    </row>
    <row r="15" spans="2:5" x14ac:dyDescent="0.3">
      <c r="B15" s="8" t="s">
        <v>24</v>
      </c>
      <c r="C15" s="8" t="s">
        <v>15</v>
      </c>
    </row>
    <row r="16" spans="2:5" x14ac:dyDescent="0.3">
      <c r="B16" s="8" t="s">
        <v>16</v>
      </c>
      <c r="C16" t="s">
        <v>1</v>
      </c>
      <c r="D16" t="s">
        <v>2</v>
      </c>
      <c r="E16" t="s">
        <v>17</v>
      </c>
    </row>
    <row r="17" spans="2:5" x14ac:dyDescent="0.3">
      <c r="B17" s="6" t="s">
        <v>25</v>
      </c>
      <c r="C17">
        <v>57.226600000000005</v>
      </c>
      <c r="D17">
        <v>63.215140186915903</v>
      </c>
      <c r="E17">
        <v>60.322125603864734</v>
      </c>
    </row>
    <row r="18" spans="2:5" x14ac:dyDescent="0.3">
      <c r="B18" s="6" t="s">
        <v>26</v>
      </c>
      <c r="C18">
        <v>57.372850467289688</v>
      </c>
      <c r="D18">
        <v>62.74568807339454</v>
      </c>
      <c r="E18">
        <v>60.084143518518481</v>
      </c>
    </row>
    <row r="19" spans="2:5" x14ac:dyDescent="0.3">
      <c r="B19" s="6" t="s">
        <v>27</v>
      </c>
      <c r="C19">
        <v>55.83428571428572</v>
      </c>
      <c r="D19">
        <v>63.007142857142846</v>
      </c>
      <c r="E19">
        <v>59.420714285714304</v>
      </c>
    </row>
    <row r="20" spans="2:5" x14ac:dyDescent="0.3">
      <c r="B20" s="6" t="s">
        <v>28</v>
      </c>
      <c r="C20">
        <v>45.500000000000007</v>
      </c>
      <c r="D20">
        <v>62.166666666666664</v>
      </c>
      <c r="E20">
        <v>53.833333333333343</v>
      </c>
    </row>
    <row r="21" spans="2:5" x14ac:dyDescent="0.3">
      <c r="B21" s="6" t="s">
        <v>17</v>
      </c>
      <c r="C21">
        <v>57.052121212121257</v>
      </c>
      <c r="D21">
        <v>62.899384615384662</v>
      </c>
      <c r="E21">
        <v>60.021434659090886</v>
      </c>
    </row>
    <row r="24" spans="2:5" ht="21" x14ac:dyDescent="0.4">
      <c r="B24" s="9" t="s">
        <v>29</v>
      </c>
      <c r="C24" s="9"/>
      <c r="D24" s="9"/>
      <c r="E24" s="9"/>
    </row>
    <row r="25" spans="2:5" x14ac:dyDescent="0.3">
      <c r="B25" s="8" t="s">
        <v>30</v>
      </c>
      <c r="C25" s="8" t="s">
        <v>15</v>
      </c>
    </row>
    <row r="26" spans="2:5" x14ac:dyDescent="0.3">
      <c r="B26" s="8" t="s">
        <v>16</v>
      </c>
      <c r="C26" t="s">
        <v>1</v>
      </c>
      <c r="D26" t="s">
        <v>2</v>
      </c>
      <c r="E26" t="s">
        <v>17</v>
      </c>
    </row>
    <row r="27" spans="2:5" x14ac:dyDescent="0.3">
      <c r="B27" s="6" t="s">
        <v>31</v>
      </c>
      <c r="C27">
        <v>28.720675675675675</v>
      </c>
      <c r="D27">
        <v>44.980892857142855</v>
      </c>
      <c r="E27">
        <v>35.725076923076927</v>
      </c>
    </row>
    <row r="28" spans="2:5" x14ac:dyDescent="0.3">
      <c r="B28" s="6" t="s">
        <v>32</v>
      </c>
      <c r="C28">
        <v>42.512601626016256</v>
      </c>
      <c r="D28">
        <v>50.706390041493769</v>
      </c>
      <c r="E28">
        <v>46.56743326488705</v>
      </c>
    </row>
    <row r="29" spans="2:5" x14ac:dyDescent="0.3">
      <c r="B29" s="6" t="s">
        <v>33</v>
      </c>
      <c r="C29">
        <v>10.837435897435897</v>
      </c>
      <c r="D29">
        <v>34.781590909090909</v>
      </c>
      <c r="E29">
        <v>23.530722891566267</v>
      </c>
    </row>
    <row r="30" spans="2:5" x14ac:dyDescent="0.3">
      <c r="B30" s="6" t="s">
        <v>34</v>
      </c>
      <c r="C30">
        <v>33.310987654320989</v>
      </c>
      <c r="D30">
        <v>103.00417582417583</v>
      </c>
      <c r="E30">
        <v>70.18354651162791</v>
      </c>
    </row>
    <row r="31" spans="2:5" x14ac:dyDescent="0.3">
      <c r="B31" s="6" t="s">
        <v>35</v>
      </c>
      <c r="C31">
        <v>136.08715384615383</v>
      </c>
      <c r="D31">
        <v>51.552105263157898</v>
      </c>
      <c r="E31">
        <v>93.337490494296574</v>
      </c>
    </row>
    <row r="32" spans="2:5" x14ac:dyDescent="0.3">
      <c r="B32" s="6" t="s">
        <v>28</v>
      </c>
      <c r="C32">
        <v>199.78166666666667</v>
      </c>
      <c r="D32">
        <v>79.453888888888898</v>
      </c>
      <c r="E32">
        <v>109.53583333333334</v>
      </c>
    </row>
    <row r="33" spans="2:5" x14ac:dyDescent="0.3">
      <c r="B33" s="6" t="s">
        <v>17</v>
      </c>
      <c r="C33">
        <v>51.74932178932179</v>
      </c>
      <c r="D33">
        <v>53.87511888111888</v>
      </c>
      <c r="E33">
        <v>52.828828124999994</v>
      </c>
    </row>
  </sheetData>
  <mergeCells count="3">
    <mergeCell ref="B2:E2"/>
    <mergeCell ref="B13:E13"/>
    <mergeCell ref="B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Metrics</vt:lpstr>
      <vt:lpstr>Segment_analysis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Amardas</dc:creator>
  <cp:lastModifiedBy>Amardas</cp:lastModifiedBy>
  <dcterms:created xsi:type="dcterms:W3CDTF">2026-06-28T03:51:15Z</dcterms:created>
  <dcterms:modified xsi:type="dcterms:W3CDTF">2026-06-28T07:38:33Z</dcterms:modified>
</cp:coreProperties>
</file>