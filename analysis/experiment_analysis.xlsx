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Richa\BITSOM\Assignments'\Assignment 6\Part 2\richadeshmukh_ba_2511416_part2_kpi_experiment\analysis\"/>
    </mc:Choice>
  </mc:AlternateContent>
  <xr:revisionPtr revIDLastSave="0" documentId="13_ncr:1_{94308D34-79AF-4C59-B71D-8CE6F8B44574}" xr6:coauthVersionLast="47" xr6:coauthVersionMax="47" xr10:uidLastSave="{00000000-0000-0000-0000-000000000000}"/>
  <bookViews>
    <workbookView xWindow="-108" yWindow="-108" windowWidth="23256" windowHeight="12456" firstSheet="5" activeTab="8" xr2:uid="{00000000-000D-0000-FFFF-FFFF00000000}"/>
  </bookViews>
  <sheets>
    <sheet name="control_treatment" sheetId="3" r:id="rId1"/>
    <sheet name="region_SD" sheetId="4" r:id="rId2"/>
    <sheet name="device_type_SD" sheetId="5" r:id="rId3"/>
    <sheet name="traffic_source_SD" sheetId="6" r:id="rId4"/>
    <sheet name="plan_type_SD" sheetId="7" r:id="rId5"/>
    <sheet name="Pivot_Region" sheetId="8" r:id="rId6"/>
    <sheet name="Pivot_Device_type" sheetId="9" r:id="rId7"/>
    <sheet name="Pivot_Traffic_source" sheetId="10" r:id="rId8"/>
    <sheet name="Hypothesis_test" sheetId="11" r:id="rId9"/>
    <sheet name="experiment_data" sheetId="1" r:id="rId10"/>
    <sheet name="business_context" sheetId="2" r:id="rId11"/>
  </sheets>
  <calcPr calcId="191029"/>
  <pivotCaches>
    <pivotCache cacheId="5" r:id="rId12"/>
    <pivotCache cacheId="19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3" i="1" l="1"/>
  <c r="X22" i="1"/>
  <c r="B2" i="11" l="1" a="1"/>
  <c r="B2" i="11" s="1"/>
  <c r="A2" i="11" a="1"/>
  <c r="A2" i="11" s="1"/>
  <c r="Y19" i="1"/>
  <c r="Y18" i="1"/>
  <c r="Y17" i="1"/>
  <c r="Y16" i="1"/>
  <c r="Y14" i="1"/>
  <c r="Y15" i="1" s="1"/>
  <c r="Y1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W2" i="1"/>
  <c r="V2" i="1"/>
  <c r="U2" i="1"/>
  <c r="Y8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2" i="1"/>
  <c r="Y7" i="1" s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2" i="1"/>
  <c r="Q19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3" i="1"/>
  <c r="Q4" i="1"/>
  <c r="Q2" i="1"/>
  <c r="Y10" i="1" l="1"/>
  <c r="Y9" i="1"/>
  <c r="Y6" i="1"/>
  <c r="Y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<sst xmlns="http://schemas.openxmlformats.org/spreadsheetml/2006/main" count="8614" uniqueCount="1488">
  <si>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</si>
  <si>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</si>
  <si>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</si>
  <si>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</si>
  <si>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</si>
  <si>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</si>
  <si>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</si>
  <si>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</si>
  <si>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</si>
  <si>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</si>
  <si>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</si>
  <si>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</si>
  <si>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</si>
  <si>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</si>
  <si>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</si>
  <si>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</si>
  <si>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</si>
  <si>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</si>
  <si>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</si>
  <si>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</si>
  <si>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</si>
  <si>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</si>
  <si>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</si>
  <si>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</si>
  <si>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</si>
  <si>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</si>
  <si>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</si>
  <si>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</si>
  <si>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</si>
  <si>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</si>
  <si>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</si>
  <si>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</si>
  <si>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</si>
  <si>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</si>
  <si>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</si>
  <si>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</si>
  <si>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</si>
  <si>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</si>
  <si>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</si>
  <si>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</si>
  <si>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</si>
  <si>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</si>
  <si>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</si>
  <si>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</si>
  <si>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</si>
  <si>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</si>
  <si>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</si>
  <si>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</si>
  <si>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</si>
  <si>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</si>
  <si>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</si>
  <si>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</si>
  <si>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</si>
  <si>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</si>
  <si>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</si>
  <si>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</si>
  <si>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</si>
  <si>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</si>
  <si>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</si>
  <si>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</si>
  <si>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</si>
  <si>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</si>
  <si>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</si>
  <si>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</si>
  <si>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</si>
  <si>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</si>
  <si>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</si>
  <si>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</si>
  <si>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</si>
  <si>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</si>
  <si>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</si>
  <si>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</si>
  <si>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</si>
  <si>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</si>
  <si>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</si>
  <si>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</si>
  <si>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</si>
  <si>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</si>
  <si>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</si>
  <si>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</si>
  <si>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</si>
  <si>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</si>
  <si>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</si>
  <si>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</si>
  <si>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</si>
  <si>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</si>
  <si>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</si>
  <si>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</si>
  <si>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</si>
  <si>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</si>
  <si>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</si>
  <si>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</si>
  <si>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</si>
  <si>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</si>
  <si>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</si>
  <si>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</si>
  <si>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</si>
  <si>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</si>
  <si>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</si>
  <si>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</si>
  <si>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</si>
  <si>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</si>
  <si>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</si>
  <si>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</si>
  <si>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</si>
  <si>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</si>
  <si>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</si>
  <si>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</si>
  <si>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</si>
  <si>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</si>
  <si>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</si>
  <si>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</si>
  <si>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</si>
  <si>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</si>
  <si>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</si>
  <si>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</si>
  <si>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</si>
  <si>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</si>
  <si>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</si>
  <si>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</si>
  <si>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</si>
  <si>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</si>
  <si>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</si>
  <si>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</si>
  <si>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</si>
  <si>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</si>
  <si>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</si>
  <si>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</si>
  <si>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</si>
  <si>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</si>
  <si>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</si>
  <si>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</si>
  <si>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</si>
  <si>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</si>
  <si>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</si>
  <si>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</si>
  <si>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</si>
  <si>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</si>
  <si>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</si>
  <si>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</si>
  <si>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</si>
  <si>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</si>
  <si>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</si>
  <si>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</si>
  <si>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</si>
  <si>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</si>
  <si>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</si>
  <si>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</si>
  <si>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</si>
  <si>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</si>
  <si>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</si>
  <si>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</si>
  <si>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</si>
  <si>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</si>
  <si>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</si>
  <si>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</si>
  <si>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</si>
  <si>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</si>
  <si>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</si>
  <si>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</si>
  <si>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</si>
  <si>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</si>
  <si>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</si>
  <si>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</si>
  <si>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</si>
  <si>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</si>
  <si>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</si>
  <si>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</si>
  <si>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</si>
  <si>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</si>
  <si>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</si>
  <si>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</si>
  <si>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</si>
  <si>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</si>
  <si>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</si>
  <si>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</si>
  <si>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</si>
  <si>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</si>
  <si>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</si>
  <si>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</si>
  <si>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</si>
  <si>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</si>
  <si>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</si>
  <si>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</si>
  <si>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</si>
  <si>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</si>
  <si>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</si>
  <si>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</si>
  <si>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</si>
  <si>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</si>
  <si>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</si>
  <si>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</si>
  <si>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</si>
  <si>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</si>
  <si>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</si>
  <si>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</si>
  <si>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</si>
  <si>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</si>
  <si>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</si>
  <si>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</si>
  <si>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</si>
  <si>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</si>
  <si>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</si>
  <si>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</si>
  <si>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</si>
  <si>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</si>
  <si>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</si>
  <si>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</si>
  <si>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</si>
  <si>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</si>
  <si>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</si>
  <si>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</si>
  <si>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</si>
  <si>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</si>
  <si>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</si>
  <si>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</si>
  <si>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</si>
  <si>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</si>
  <si>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</si>
  <si>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</si>
  <si>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</si>
  <si>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</si>
  <si>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</si>
  <si>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</si>
  <si>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</si>
  <si>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</si>
  <si>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</si>
  <si>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</si>
  <si>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</si>
  <si>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</si>
  <si>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</si>
  <si>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</si>
  <si>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</si>
  <si>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</si>
  <si>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</si>
  <si>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</si>
  <si>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</si>
  <si>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</si>
  <si>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</si>
  <si>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</si>
  <si>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</si>
  <si>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</si>
  <si>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</si>
  <si>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</si>
  <si>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</si>
  <si>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</si>
  <si>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</si>
  <si>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</si>
  <si>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</si>
  <si>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</si>
  <si>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</si>
  <si>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</si>
  <si>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</si>
  <si>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</si>
  <si>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</si>
  <si>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</si>
  <si>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</si>
  <si>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</si>
  <si>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</si>
  <si>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</si>
  <si>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</si>
  <si>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</si>
  <si>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</si>
  <si>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</si>
  <si>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</si>
  <si>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</si>
  <si>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</si>
  <si>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</si>
  <si>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</si>
  <si>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</si>
  <si>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</si>
  <si>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</si>
  <si>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</si>
  <si>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</si>
  <si>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</si>
  <si>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</si>
  <si>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</si>
  <si>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</si>
  <si>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</si>
  <si>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</si>
  <si>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</si>
  <si>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</si>
  <si>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</si>
  <si>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</si>
  <si>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</si>
  <si>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</si>
  <si>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</si>
  <si>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</si>
  <si>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</si>
  <si>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</si>
  <si>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</si>
  <si>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</si>
  <si>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</si>
  <si>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</si>
  <si>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</si>
  <si>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</si>
  <si>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</si>
  <si>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</si>
  <si>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</si>
  <si>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</si>
  <si>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</si>
  <si>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</si>
  <si>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</si>
  <si>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</si>
  <si>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</si>
  <si>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</si>
  <si>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</si>
  <si>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</si>
  <si>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</si>
  <si>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</si>
  <si>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</si>
  <si>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</si>
  <si>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</si>
  <si>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</si>
  <si>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</si>
  <si>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</si>
  <si>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</si>
  <si>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</si>
  <si>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</si>
  <si>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</si>
  <si>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</si>
  <si>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</si>
  <si>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</si>
  <si>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</si>
  <si>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</si>
  <si>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</si>
  <si>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</si>
  <si>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</si>
  <si>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</si>
  <si>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</si>
  <si>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</si>
  <si>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</si>
  <si>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</si>
  <si>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</si>
  <si>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</si>
  <si>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</si>
  <si>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</si>
  <si>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</si>
  <si>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</si>
  <si>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</si>
  <si>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</si>
  <si>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</si>
  <si>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</si>
  <si>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</si>
  <si>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</si>
  <si>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</si>
  <si>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</si>
  <si>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</si>
  <si>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</si>
  <si>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</si>
  <si>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</si>
  <si>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</si>
  <si>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</si>
  <si>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</si>
  <si>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</si>
  <si>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</si>
  <si>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</si>
  <si>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</si>
  <si>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</si>
  <si>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</si>
  <si>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</si>
  <si>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</si>
  <si>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</si>
  <si>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</si>
  <si>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</si>
  <si>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</si>
  <si>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</si>
  <si>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</si>
  <si>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</si>
  <si>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</si>
  <si>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</si>
  <si>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</si>
  <si>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</si>
  <si>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</si>
  <si>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</si>
  <si>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</si>
  <si>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</si>
  <si>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</si>
  <si>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</si>
  <si>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</si>
  <si>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</si>
  <si>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</si>
  <si>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</si>
  <si>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</si>
  <si>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</si>
  <si>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</si>
  <si>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</si>
  <si>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</si>
  <si>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</si>
  <si>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</si>
  <si>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</si>
  <si>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</si>
  <si>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</si>
  <si>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</si>
  <si>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</si>
  <si>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</si>
  <si>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</si>
  <si>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</si>
  <si>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</si>
  <si>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</si>
  <si>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</si>
  <si>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</si>
  <si>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</si>
  <si>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</si>
  <si>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</si>
  <si>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</si>
  <si>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</si>
  <si>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</si>
  <si>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</si>
  <si>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</si>
  <si>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</si>
  <si>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</si>
  <si>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</si>
  <si>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</si>
  <si>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</si>
  <si>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</si>
  <si>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</si>
  <si>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</si>
  <si>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</si>
  <si>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</si>
  <si>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</si>
  <si>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</si>
  <si>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</si>
  <si>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</si>
  <si>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</si>
  <si>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</si>
  <si>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</si>
  <si>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</si>
  <si>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</si>
  <si>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</si>
  <si>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</si>
  <si>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</si>
  <si>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</si>
  <si>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</si>
  <si>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</si>
  <si>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</si>
  <si>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</si>
  <si>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</si>
  <si>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</si>
  <si>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</si>
  <si>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</si>
  <si>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</si>
  <si>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</si>
  <si>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</si>
  <si>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</si>
  <si>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</si>
  <si>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</si>
  <si>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</si>
  <si>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</si>
  <si>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</si>
  <si>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</si>
  <si>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</si>
  <si>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</si>
  <si>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</si>
  <si>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</si>
  <si>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</si>
  <si>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</si>
  <si>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</si>
  <si>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</si>
  <si>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</si>
  <si>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</si>
  <si>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</si>
  <si>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</si>
  <si>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</si>
  <si>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</si>
  <si>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</si>
  <si>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</si>
  <si>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</si>
  <si>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</si>
  <si>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</si>
  <si>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</si>
  <si>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</si>
  <si>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</si>
  <si>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</si>
  <si>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</si>
  <si>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</si>
  <si>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</si>
  <si>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</si>
  <si>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</si>
  <si>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</si>
  <si>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</si>
  <si>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</si>
  <si>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</si>
  <si>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</si>
  <si>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</si>
  <si>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</si>
  <si>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</si>
  <si>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</si>
  <si>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</si>
  <si>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</si>
  <si>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</si>
  <si>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</si>
  <si>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</si>
  <si>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</si>
  <si>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</si>
  <si>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</si>
  <si>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</si>
  <si>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</si>
  <si>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</si>
  <si>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</si>
  <si>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</si>
  <si>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</si>
  <si>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</si>
  <si>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</si>
  <si>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</si>
  <si>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</si>
  <si>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</si>
  <si>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</si>
  <si>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</si>
  <si>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</si>
  <si>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</si>
  <si>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</si>
  <si>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</si>
  <si>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</si>
  <si>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</si>
  <si>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</si>
  <si>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</si>
  <si>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</si>
  <si>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</si>
  <si>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</si>
  <si>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</si>
  <si>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</si>
  <si>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</si>
  <si>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</si>
  <si>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</si>
  <si>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</si>
  <si>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</si>
  <si>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</si>
  <si>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</si>
  <si>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</si>
  <si>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</si>
  <si>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</si>
  <si>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</si>
  <si>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</si>
  <si>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</si>
  <si>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</si>
  <si>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</si>
  <si>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</si>
  <si>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</si>
  <si>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</si>
  <si>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</si>
  <si>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</si>
  <si>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</si>
  <si>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</si>
  <si>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</si>
  <si>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</si>
  <si>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</si>
  <si>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</si>
  <si>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</si>
  <si>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</si>
  <si>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</si>
  <si>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</si>
  <si>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</si>
  <si>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</si>
  <si>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</si>
  <si>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</si>
  <si>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</si>
  <si>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</si>
  <si>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</si>
  <si>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</si>
  <si>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</si>
  <si>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</si>
  <si>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</si>
  <si>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</si>
  <si>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</si>
  <si>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</si>
  <si>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</si>
  <si>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</si>
  <si>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</si>
  <si>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</si>
  <si>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</si>
  <si>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</si>
  <si>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</si>
  <si>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</si>
  <si>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</si>
  <si>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</si>
  <si>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</si>
  <si>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</si>
  <si>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</si>
  <si>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</si>
  <si>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</si>
  <si>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</si>
  <si>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</si>
  <si>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</si>
  <si>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</si>
  <si>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</si>
  <si>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</si>
  <si>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</si>
  <si>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</si>
  <si>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</si>
  <si>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</si>
  <si>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</si>
  <si>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</si>
  <si>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</si>
  <si>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</si>
  <si>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</si>
  <si>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</si>
  <si>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</si>
  <si>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</si>
  <si>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</si>
  <si>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</si>
  <si>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</si>
  <si>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</si>
  <si>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</si>
  <si>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</si>
  <si>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</si>
  <si>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</si>
  <si>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</si>
  <si>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</si>
  <si>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</si>
  <si>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</si>
  <si>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</si>
  <si>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</si>
  <si>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</si>
  <si>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</si>
  <si>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</si>
  <si>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</si>
  <si>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</si>
  <si>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</si>
  <si>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</si>
  <si>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</si>
  <si>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</si>
  <si>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</si>
  <si>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</si>
  <si>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</si>
  <si>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</si>
  <si>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</si>
  <si>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</si>
  <si>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</si>
  <si>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</si>
  <si>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</si>
  <si>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</si>
  <si>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</si>
  <si>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</si>
  <si>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</si>
  <si>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</si>
  <si>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</si>
  <si>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</si>
  <si>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</si>
  <si>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</si>
  <si>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</si>
  <si>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</si>
  <si>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</si>
  <si>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</si>
  <si>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</si>
  <si>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</si>
  <si>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</si>
  <si>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</si>
  <si>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</si>
  <si>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</si>
  <si>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</si>
  <si>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</si>
  <si>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</si>
  <si>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</si>
  <si>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</si>
  <si>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</si>
  <si>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</si>
  <si>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</si>
  <si>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</si>
  <si>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</si>
  <si>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</si>
  <si>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</si>
  <si>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</si>
  <si>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</si>
  <si>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</si>
  <si>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</si>
  <si>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</si>
  <si>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</si>
  <si>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</si>
  <si>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</si>
  <si>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</si>
  <si>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</si>
  <si>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</si>
  <si>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</si>
  <si>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</si>
  <si>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</si>
  <si>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</si>
  <si>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</si>
  <si>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</si>
  <si>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</si>
  <si>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</si>
  <si>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</si>
  <si>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</si>
  <si>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</si>
  <si>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</si>
  <si>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</si>
  <si>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</si>
  <si>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</si>
  <si>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</si>
  <si>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</si>
  <si>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</si>
  <si>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</si>
  <si>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</si>
  <si>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</si>
  <si>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</si>
  <si>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</si>
  <si>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</si>
  <si>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</si>
  <si>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</si>
  <si>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</si>
  <si>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</si>
  <si>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</si>
  <si>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</si>
  <si>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</si>
  <si>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</si>
  <si>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</si>
  <si>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</si>
  <si>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</si>
  <si>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</si>
  <si>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</si>
  <si>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</si>
  <si>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</si>
  <si>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</si>
  <si>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</si>
  <si>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</si>
  <si>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</si>
  <si>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</si>
  <si>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</si>
  <si>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</si>
  <si>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</si>
  <si>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</si>
  <si>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</si>
  <si>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</si>
  <si>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</si>
  <si>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</si>
  <si>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</si>
  <si>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</si>
  <si>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</si>
  <si>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</si>
  <si>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</si>
  <si>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</si>
  <si>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</si>
  <si>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</si>
  <si>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</si>
  <si>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</si>
  <si>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</si>
  <si>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</si>
  <si>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</si>
  <si>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</si>
  <si>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</si>
  <si>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</si>
  <si>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</si>
  <si>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</si>
  <si>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</si>
  <si>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</si>
  <si>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</si>
  <si>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</si>
  <si>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</si>
  <si>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</si>
  <si>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</si>
  <si>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</si>
  <si>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</si>
  <si>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</si>
  <si>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</si>
  <si>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</si>
  <si>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</si>
  <si>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</si>
  <si>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</si>
  <si>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</si>
  <si>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</si>
  <si>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</si>
  <si>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</si>
  <si>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</si>
  <si>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</si>
  <si>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</si>
  <si>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</si>
  <si>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</si>
  <si>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</si>
  <si>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</si>
  <si>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</si>
  <si>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</si>
  <si>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</si>
  <si>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</si>
  <si>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</si>
  <si>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</si>
  <si>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</si>
  <si>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</si>
  <si>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</si>
  <si>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</si>
  <si>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</si>
  <si>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</si>
  <si>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</si>
  <si>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</si>
  <si>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</si>
  <si>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</si>
  <si>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</si>
  <si>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</si>
  <si>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</si>
  <si>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</si>
  <si>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</si>
  <si>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</si>
  <si>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</si>
  <si>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</si>
  <si>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</si>
  <si>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</si>
  <si>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</si>
  <si>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</si>
  <si>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</si>
  <si>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</si>
  <si>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</si>
  <si>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</si>
  <si>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</si>
  <si>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</si>
  <si>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</si>
  <si>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</si>
  <si>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</si>
  <si>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</si>
  <si>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</si>
  <si>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</si>
  <si>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</si>
  <si>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</si>
  <si>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</si>
  <si>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</si>
  <si>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</si>
  <si>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</si>
  <si>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</si>
  <si>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</si>
  <si>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</si>
  <si>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</si>
  <si>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</si>
  <si>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</si>
  <si>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</si>
  <si>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</si>
  <si>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</si>
  <si>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</si>
  <si>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</si>
  <si>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</si>
  <si>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</si>
  <si>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</si>
  <si>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</si>
  <si>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</si>
  <si>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</si>
  <si>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</si>
  <si>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</si>
  <si>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</si>
  <si>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</si>
  <si>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</si>
  <si>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</si>
  <si>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</si>
  <si>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</si>
  <si>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</si>
  <si>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</si>
  <si>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</si>
  <si>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</si>
  <si>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</si>
  <si>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</si>
  <si>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</si>
  <si>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</si>
  <si>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</si>
  <si>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</si>
  <si>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</si>
  <si>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</si>
  <si>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</si>
  <si>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</si>
  <si>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</si>
  <si>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</si>
  <si>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</si>
  <si>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</si>
  <si>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</si>
  <si>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</si>
  <si>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</si>
  <si>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</si>
  <si>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</si>
  <si>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</si>
  <si>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</si>
  <si>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</si>
  <si>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</si>
  <si>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</si>
  <si>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</si>
  <si>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</si>
  <si>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</si>
  <si>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</si>
  <si>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</si>
  <si>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</si>
  <si>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</si>
  <si>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</si>
  <si>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</si>
  <si>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</si>
  <si>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</si>
  <si>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</si>
  <si>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</si>
  <si>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</si>
  <si>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</si>
  <si>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</si>
  <si>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</si>
  <si>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</si>
  <si>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</si>
  <si>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</si>
  <si>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</si>
  <si>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</si>
  <si>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</si>
  <si>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</si>
  <si>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</si>
  <si>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</si>
  <si>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</si>
  <si>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</si>
  <si>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</si>
  <si>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</si>
  <si>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</si>
  <si>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</si>
  <si>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</si>
  <si>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</si>
  <si>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</si>
  <si>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</si>
  <si>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</si>
  <si>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</si>
  <si>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</si>
  <si>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</si>
  <si>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</si>
  <si>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</si>
  <si>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</si>
  <si>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</si>
  <si>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</si>
  <si>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</si>
  <si>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</si>
  <si>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</si>
  <si>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</si>
  <si>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</si>
  <si>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</si>
  <si>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</si>
  <si>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</si>
  <si>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</si>
  <si>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</si>
  <si>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</si>
  <si>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</si>
  <si>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</si>
  <si>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</si>
  <si>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</si>
  <si>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</si>
  <si>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</si>
  <si>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</si>
  <si>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</si>
  <si>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</si>
  <si>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</si>
  <si>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</si>
  <si>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</si>
  <si>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</si>
  <si>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</si>
  <si>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</si>
  <si>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</si>
  <si>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</si>
  <si>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</si>
  <si>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</si>
  <si>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</si>
  <si>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</si>
  <si>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</si>
  <si>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</si>
  <si>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</si>
  <si>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</si>
  <si>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</si>
  <si>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</si>
  <si>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</si>
  <si>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</si>
  <si>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</si>
  <si>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</si>
  <si>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</si>
  <si>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</si>
  <si>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</si>
  <si>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</si>
  <si>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</si>
  <si>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</si>
  <si>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</si>
  <si>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</si>
  <si>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</si>
  <si>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</si>
  <si>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</si>
  <si>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</si>
  <si>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</si>
  <si>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</si>
  <si>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</si>
  <si>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</si>
  <si>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</si>
  <si>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</si>
  <si>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</si>
  <si>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</si>
  <si>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</si>
  <si>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</si>
  <si>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</si>
  <si>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</si>
  <si>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</si>
  <si>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</si>
  <si>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</si>
  <si>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</si>
  <si>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</si>
  <si>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</si>
  <si>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</si>
  <si>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</si>
  <si>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</si>
  <si>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</si>
  <si>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</si>
  <si>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</si>
  <si>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</si>
  <si>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</si>
  <si>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</si>
  <si>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</si>
  <si>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</si>
  <si>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</si>
  <si>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</si>
  <si>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</si>
  <si>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</si>
  <si>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</si>
  <si>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</si>
  <si>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</si>
  <si>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</si>
  <si>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</si>
  <si>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</si>
  <si>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</si>
  <si>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</si>
  <si>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</si>
  <si>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</si>
  <si>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</si>
  <si>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</si>
  <si>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</si>
  <si>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</si>
  <si>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</si>
  <si>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</si>
  <si>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</si>
  <si>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</si>
  <si>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</si>
  <si>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</si>
  <si>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</si>
  <si>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</si>
  <si>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</si>
  <si>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</si>
  <si>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</si>
  <si>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</si>
  <si>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</si>
  <si>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</si>
  <si>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</si>
  <si>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</si>
  <si>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</si>
  <si>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</si>
  <si>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</si>
  <si>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</si>
  <si>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</si>
  <si>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</si>
  <si>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</si>
  <si>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</si>
  <si>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</si>
  <si>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</si>
  <si>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</si>
  <si>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</si>
  <si>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</si>
  <si>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</si>
  <si>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</si>
  <si>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</si>
  <si>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</si>
  <si>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</si>
  <si>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</si>
  <si>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</si>
  <si>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</si>
  <si>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</si>
  <si>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</si>
  <si>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</si>
  <si>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</si>
  <si>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</si>
  <si>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</si>
  <si>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</si>
  <si>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</si>
  <si>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</si>
  <si>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</si>
  <si>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</si>
  <si>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</si>
  <si>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</si>
  <si>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</si>
  <si>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</si>
  <si>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</si>
  <si>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</si>
  <si>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</si>
  <si>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</si>
  <si>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</si>
  <si>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</si>
  <si>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</si>
  <si>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</si>
  <si>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</si>
  <si>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</si>
  <si>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</si>
  <si>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</si>
  <si>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</si>
  <si>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</si>
  <si>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</si>
  <si>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</si>
  <si>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</si>
  <si>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</si>
  <si>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</si>
  <si>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</si>
  <si>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</si>
  <si>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</si>
  <si>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</si>
  <si>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</si>
  <si>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</si>
  <si>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</si>
  <si>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</si>
  <si>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</si>
  <si>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</si>
  <si>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</si>
  <si>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</si>
  <si>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</si>
  <si>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</si>
  <si>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</si>
  <si>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</si>
  <si>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</si>
  <si>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</si>
  <si>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</si>
  <si>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</si>
  <si>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</si>
  <si>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</si>
  <si>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</si>
  <si>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</si>
  <si>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</si>
  <si>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</si>
  <si>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</si>
  <si>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</si>
  <si>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</si>
  <si>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</si>
  <si>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</si>
  <si>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</si>
  <si>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</si>
  <si>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</si>
  <si>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</si>
  <si>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</si>
  <si>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</si>
  <si>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</si>
  <si>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</si>
  <si>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</si>
  <si>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</si>
  <si>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</si>
  <si>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</si>
  <si>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</si>
  <si>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</si>
  <si>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</si>
  <si>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</si>
  <si>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</si>
  <si>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</si>
  <si>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</si>
  <si>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</si>
  <si>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</si>
  <si>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</si>
  <si>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</si>
  <si>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</si>
  <si>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</si>
  <si>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</si>
  <si>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</si>
  <si>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</si>
  <si>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</si>
  <si>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</si>
  <si>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</si>
  <si>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</si>
  <si>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</si>
  <si>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</si>
  <si>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</si>
  <si>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</si>
  <si>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</si>
  <si>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</si>
  <si>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</si>
  <si>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</si>
  <si>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</si>
  <si>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</si>
  <si>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</si>
  <si>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</si>
  <si>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</si>
  <si>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</si>
  <si>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</si>
  <si>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</si>
  <si>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</si>
  <si>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</si>
  <si>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</si>
  <si>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</si>
  <si>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</si>
  <si>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</si>
  <si>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</si>
  <si>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</si>
  <si>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</si>
  <si>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</si>
  <si>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</si>
  <si>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</si>
  <si>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</si>
  <si>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</si>
  <si>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</si>
  <si>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</si>
  <si>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</si>
  <si>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</si>
  <si>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</si>
  <si>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</si>
  <si>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</si>
  <si>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</si>
  <si>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</si>
  <si>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</si>
  <si>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</si>
  <si>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</si>
  <si>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</si>
  <si>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</si>
  <si>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</si>
  <si>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</si>
  <si>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</si>
  <si>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</si>
  <si>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</si>
  <si>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</si>
  <si>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</si>
  <si>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</si>
  <si>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</si>
  <si>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</si>
  <si>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</si>
  <si>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</si>
  <si>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</si>
  <si>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</si>
  <si>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</si>
  <si>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</si>
  <si>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</si>
  <si>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</si>
  <si>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</si>
  <si>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</si>
  <si>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</si>
  <si>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</si>
  <si>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</si>
  <si>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</si>
  <si>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</si>
  <si>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</si>
  <si>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</si>
  <si>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</si>
  <si>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</si>
  <si>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</si>
  <si>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</si>
  <si>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</si>
  <si>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</si>
  <si>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</si>
  <si>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</si>
  <si>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</si>
  <si>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</si>
  <si>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</si>
  <si>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</si>
  <si>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</si>
  <si>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</si>
  <si>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</si>
  <si>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</si>
  <si>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</si>
  <si>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</si>
  <si>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</si>
  <si>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</si>
  <si>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</si>
  <si>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</si>
  <si>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</si>
  <si>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</si>
  <si>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</si>
  <si>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</si>
  <si>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</si>
  <si>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</si>
  <si>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</si>
  <si>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</si>
  <si>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</si>
  <si>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</si>
  <si>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</si>
  <si>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</si>
  <si>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</si>
  <si>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</si>
  <si>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</si>
  <si>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</si>
  <si>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</si>
  <si>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</si>
  <si>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</si>
  <si>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</si>
  <si>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</si>
  <si>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</si>
  <si>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</si>
  <si>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</si>
  <si>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</si>
  <si>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</si>
  <si>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</si>
  <si>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</si>
  <si>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</si>
  <si>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</si>
  <si>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</si>
  <si>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</si>
  <si>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</si>
  <si>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</si>
  <si>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</si>
  <si>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</si>
  <si>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</si>
  <si>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</si>
  <si>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</si>
  <si>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</si>
  <si>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</si>
  <si>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</si>
  <si>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</si>
  <si>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</si>
  <si>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</si>
  <si>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</si>
  <si>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</si>
  <si>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</si>
  <si>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</si>
  <si>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</si>
  <si>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</si>
  <si>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</si>
  <si>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</si>
  <si>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</si>
  <si>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</si>
  <si>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</si>
  <si>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</si>
  <si>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</si>
  <si>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</si>
  <si>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</si>
  <si>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</si>
  <si>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</si>
  <si>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</si>
  <si>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</si>
  <si>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</si>
  <si>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</si>
  <si>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</si>
  <si>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</si>
  <si>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</si>
  <si>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</si>
  <si>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</si>
  <si>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</si>
  <si>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</si>
  <si>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</si>
  <si>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</si>
  <si>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</si>
  <si>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</si>
  <si>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</si>
  <si>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</si>
  <si>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</si>
  <si>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</si>
  <si>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</si>
  <si>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</si>
  <si>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</si>
  <si>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</si>
  <si>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</si>
  <si>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</si>
  <si>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</si>
  <si>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</si>
  <si>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</si>
  <si>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</si>
  <si>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</si>
  <si>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</si>
  <si>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</si>
  <si>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</si>
  <si>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</si>
  <si>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</si>
  <si>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</si>
  <si>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</si>
  <si>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</si>
  <si>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</si>
  <si>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</si>
  <si>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</si>
  <si>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</si>
  <si>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</si>
  <si>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</si>
  <si>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</si>
  <si>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</si>
  <si>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</si>
  <si>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</si>
  <si>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</si>
  <si>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</si>
  <si>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</si>
  <si>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</si>
  <si>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</si>
  <si>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</si>
  <si>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</si>
  <si>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</si>
  <si>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</si>
  <si>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</si>
  <si>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</si>
  <si>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</si>
  <si>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</si>
  <si>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</si>
  <si>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</si>
  <si>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</si>
  <si>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</si>
  <si>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</si>
  <si>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</si>
  <si>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</si>
  <si>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</si>
  <si>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</si>
  <si>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</si>
  <si>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</si>
  <si>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</si>
  <si>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</si>
  <si>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</si>
  <si>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</si>
  <si>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</si>
  <si>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</si>
  <si>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</si>
  <si>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</si>
  <si>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</si>
  <si>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</si>
  <si>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</si>
  <si>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</si>
  <si>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</si>
  <si>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</si>
  <si>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</si>
  <si>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</si>
  <si>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</si>
  <si>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</si>
  <si>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</si>
  <si>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</si>
  <si>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</si>
  <si>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</si>
  <si>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</si>
  <si>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</si>
  <si>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</si>
  <si>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</si>
  <si>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</si>
  <si>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</si>
  <si>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</si>
  <si>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</si>
  <si>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</si>
  <si>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</si>
  <si>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</si>
  <si>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</si>
  <si>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</si>
  <si>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</si>
  <si>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</si>
  <si>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</si>
  <si>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</si>
  <si>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</si>
  <si>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</si>
  <si>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</si>
  <si>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</si>
  <si>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</si>
  <si>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</si>
  <si>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</si>
  <si>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</si>
  <si>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</si>
  <si>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</si>
  <si>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</si>
  <si>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</si>
  <si>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</si>
  <si>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</si>
  <si>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</si>
  <si>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</si>
  <si>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</si>
  <si>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</si>
  <si>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</si>
  <si>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Item</t>
  </si>
  <si>
    <t>Description</t>
  </si>
  <si>
    <t>Business context</t>
  </si>
  <si>
    <t>A subscription product tested a new onboarding and activation campaign against the existing experience.</t>
  </si>
  <si>
    <t>Existing onboarding experience.</t>
  </si>
  <si>
    <t>New campaign experience.</t>
  </si>
  <si>
    <t>Primary decision</t>
  </si>
  <si>
    <t>Decide whether to launch, reject, continue testing, or launch only for selected segments.</t>
  </si>
  <si>
    <t>1 if the user visited the landing page after signup; otherwise 0.</t>
  </si>
  <si>
    <t>1 if the user started a trial; otherwise 0.</t>
  </si>
  <si>
    <t>1 if the user completed onboarding; otherwise 0.</t>
  </si>
  <si>
    <t>1 if the user became a paid customer; otherwise 0.</t>
  </si>
  <si>
    <t>Revenue generated within 30 days of signup.</t>
  </si>
  <si>
    <t>Number of support tickets raised within 30 days.</t>
  </si>
  <si>
    <t>1 if the user requested a refund; otherwise 0.</t>
  </si>
  <si>
    <t>Internal engagement score from 0 to 100.</t>
  </si>
  <si>
    <t>Guardrail caution</t>
  </si>
  <si>
    <t>A better conversion rate may still be risky if refunds, support tickets, or low-quality revenue increase.</t>
  </si>
  <si>
    <t>UNKNOWN</t>
  </si>
  <si>
    <t>missing_value_handling</t>
  </si>
  <si>
    <t>duplicate_values</t>
  </si>
  <si>
    <t>Duplicate Values</t>
  </si>
  <si>
    <t>Row Labels</t>
  </si>
  <si>
    <t>Grand Total</t>
  </si>
  <si>
    <t>Count of user_id</t>
  </si>
  <si>
    <t>Binary Column Validation</t>
  </si>
  <si>
    <t>landing_visits</t>
  </si>
  <si>
    <t>column</t>
  </si>
  <si>
    <t>invalid_counts</t>
  </si>
  <si>
    <t>helper_columns_for_binary_column_validation</t>
  </si>
  <si>
    <t>outliers in revenue</t>
  </si>
  <si>
    <t>Q1</t>
  </si>
  <si>
    <t>Q3</t>
  </si>
  <si>
    <t>IQR</t>
  </si>
  <si>
    <t>Users with Revenue = 0</t>
  </si>
  <si>
    <t>Total Users</t>
  </si>
  <si>
    <t>Users with Revenue &gt; 0</t>
  </si>
  <si>
    <t>Maximum revenue</t>
  </si>
  <si>
    <t>Column Labels</t>
  </si>
  <si>
    <t>Average of converted_to_paid</t>
  </si>
  <si>
    <t>Average of engagement_score</t>
  </si>
  <si>
    <t>Average of revenue_30d</t>
  </si>
  <si>
    <t>t-Test: Two-Sample Assuming Unequal Variances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</si>
  <si>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</si>
  <si>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</si>
  <si>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</si>
  <si>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</si>
  <si>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</si>
  <si>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</si>
  <si>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</si>
  <si>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</si>
  <si>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</si>
  <si>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</si>
  <si>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 xml:space="preserve">Alpha is &lt;0.05 </t>
  </si>
  <si>
    <t>Reject the Null Hypothesis (H₀).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</si>
</sst>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2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10" fontId="0" fillId="0" borderId="0" xfId="0" applyNumberFormat="1"/>
    <xf numFmtId="0" fontId="3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ardas" refreshedDate="46200.784655787036" createdVersion="8" refreshedVersion="8" minRefreshableVersion="3" recordCount="1408" xr:uid="{6BA305B5-5A39-4CEC-A1E4-6EB03C1BEE3A}">
  <cacheSource type="worksheet">
    <worksheetSource ref="A1:P1409" sheet="experiment_data"/>
  </cacheSource>
  <cacheFields count="16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/>
    </cacheField>
    <cacheField name="device_type" numFmtId="0">
      <sharedItems/>
    </cacheField>
    <cacheField name="traffic_source" numFmtId="0">
      <sharedItems/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emiMixedTypes="0" containsString="0" containsNumber="1" minValue="6.2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ardas" refreshedDate="46200.811394675926" createdVersion="8" refreshedVersion="8" minRefreshableVersion="3" recordCount="1408" xr:uid="{62387CFE-804A-4EB4-B3EF-BC9950E3A7FB}">
  <cacheSource type="worksheet">
    <worksheetSource ref="A1:S1409" sheet="experiment_data"/>
  </cacheSource>
  <cacheFields count="19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unt="4">
        <s v="Desktop"/>
        <s v="Mobile"/>
        <s v="Tablet"/>
        <s v="UNKNOWN"/>
      </sharedItems>
    </cacheField>
    <cacheField name="traffic_source" numFmtId="0">
      <sharedItems count="6">
        <s v="Email"/>
        <s v="Organic"/>
        <s v="Paid Search"/>
        <s v="Referral"/>
        <s v="Social"/>
        <s v="UNKNOWN"/>
      </sharedItems>
    </cacheField>
    <cacheField name="plan_type" numFmtId="0">
      <sharedItems count="3">
        <s v="Basic"/>
        <s v="Free"/>
        <s v="Premium"/>
      </sharedItems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emiMixedTypes="0" containsString="0" containsNumber="1" minValue="6.2" maxValue="100"/>
    </cacheField>
    <cacheField name="missing_value_handling" numFmtId="0">
      <sharedItems containsString="0" containsBlank="1" containsNumber="1" minValue="0" maxValue="1336"/>
    </cacheField>
    <cacheField name="duplicate_values" numFmtId="0">
      <sharedItems/>
    </cacheField>
    <cacheField name="helper_columns_for_binary_column_valid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s v="North"/>
    <s v="Desktop"/>
    <s v="Email"/>
    <s v="Basic"/>
    <n v="0"/>
    <n v="0"/>
    <n v="0"/>
    <n v="0"/>
    <n v="0"/>
    <n v="0"/>
    <n v="0"/>
    <m/>
    <n v="45.7"/>
  </r>
  <r>
    <s v="USR-100002"/>
    <d v="2025-03-08T00:00:00"/>
    <x v="0"/>
    <s v="West"/>
    <s v="Mobile"/>
    <s v="Organic"/>
    <s v="Free"/>
    <n v="1"/>
    <n v="0"/>
    <n v="0"/>
    <n v="0"/>
    <n v="0"/>
    <n v="0"/>
    <n v="0"/>
    <m/>
    <n v="48.6"/>
  </r>
  <r>
    <s v="USR-100003"/>
    <d v="2025-04-24T00:00:00"/>
    <x v="0"/>
    <s v="East"/>
    <s v="Mobile"/>
    <s v="Paid Search"/>
    <s v="Premium"/>
    <n v="1"/>
    <n v="0"/>
    <n v="0"/>
    <n v="0"/>
    <n v="0"/>
    <n v="1"/>
    <n v="0"/>
    <m/>
    <n v="35.4"/>
  </r>
  <r>
    <s v="USR-100004"/>
    <d v="2025-05-04T00:00:00"/>
    <x v="0"/>
    <s v="South"/>
    <s v="Mobile"/>
    <s v="Email"/>
    <s v="Basic"/>
    <n v="1"/>
    <n v="0"/>
    <n v="0"/>
    <n v="0"/>
    <n v="0"/>
    <n v="0"/>
    <n v="0"/>
    <m/>
    <n v="64.599999999999994"/>
  </r>
  <r>
    <s v="USR-100005"/>
    <d v="2025-02-12T00:00:00"/>
    <x v="0"/>
    <s v="North"/>
    <s v="Tablet"/>
    <s v="Organic"/>
    <s v="Free"/>
    <n v="0"/>
    <n v="0"/>
    <n v="0"/>
    <n v="0"/>
    <n v="0"/>
    <n v="0"/>
    <n v="0"/>
    <m/>
    <n v="66.599999999999994"/>
  </r>
  <r>
    <s v="USR-100006"/>
    <d v="2025-01-28T00:00:00"/>
    <x v="0"/>
    <s v="East"/>
    <s v="Mobile"/>
    <s v="Organic"/>
    <s v="Premium"/>
    <n v="1"/>
    <n v="0"/>
    <n v="0"/>
    <n v="0"/>
    <n v="0"/>
    <n v="0"/>
    <n v="0"/>
    <m/>
    <n v="40.799999999999997"/>
  </r>
  <r>
    <s v="USR-100007"/>
    <d v="2025-04-08T00:00:00"/>
    <x v="0"/>
    <s v="East"/>
    <s v="Mobile"/>
    <s v="Paid Search"/>
    <s v="Basic"/>
    <n v="1"/>
    <n v="1"/>
    <n v="0"/>
    <n v="0"/>
    <n v="0"/>
    <n v="0"/>
    <n v="0"/>
    <m/>
    <n v="57.1"/>
  </r>
  <r>
    <s v="USR-100008"/>
    <d v="2025-05-17T00:00:00"/>
    <x v="0"/>
    <s v="South"/>
    <s v="Mobile"/>
    <s v="Paid Search"/>
    <s v="Free"/>
    <n v="0"/>
    <n v="0"/>
    <n v="0"/>
    <n v="0"/>
    <n v="0"/>
    <n v="0"/>
    <n v="0"/>
    <m/>
    <n v="36.4"/>
  </r>
  <r>
    <s v="USR-100009"/>
    <d v="2025-02-23T00:00:00"/>
    <x v="0"/>
    <s v="South"/>
    <s v="Tablet"/>
    <s v="Referral"/>
    <s v="Basic"/>
    <n v="0"/>
    <n v="0"/>
    <n v="0"/>
    <n v="0"/>
    <n v="0"/>
    <n v="0"/>
    <n v="0"/>
    <m/>
    <n v="55.4"/>
  </r>
  <r>
    <s v="USR-100010"/>
    <d v="2025-05-29T00:00:00"/>
    <x v="0"/>
    <s v="West"/>
    <s v="Desktop"/>
    <s v="Social"/>
    <s v="Free"/>
    <n v="1"/>
    <n v="0"/>
    <n v="0"/>
    <n v="0"/>
    <n v="0"/>
    <n v="0"/>
    <n v="0"/>
    <m/>
    <n v="57.3"/>
  </r>
  <r>
    <s v="USR-100011"/>
    <d v="2025-04-30T00:00:00"/>
    <x v="0"/>
    <s v="East"/>
    <s v="Mobile"/>
    <s v="Paid Search"/>
    <s v="Basic"/>
    <n v="1"/>
    <n v="1"/>
    <n v="1"/>
    <n v="0"/>
    <n v="0"/>
    <n v="0"/>
    <n v="0"/>
    <m/>
    <n v="63.6"/>
  </r>
  <r>
    <s v="USR-100012"/>
    <d v="2025-03-16T00:00:00"/>
    <x v="0"/>
    <s v="East"/>
    <s v="Mobile"/>
    <s v="Social"/>
    <s v="Premium"/>
    <n v="1"/>
    <n v="1"/>
    <n v="1"/>
    <n v="0"/>
    <n v="0"/>
    <n v="1"/>
    <n v="0"/>
    <m/>
    <n v="80.400000000000006"/>
  </r>
  <r>
    <s v="USR-100013"/>
    <d v="2025-02-07T00:00:00"/>
    <x v="0"/>
    <s v="South"/>
    <s v="Desktop"/>
    <s v="Email"/>
    <s v="Basic"/>
    <n v="1"/>
    <n v="0"/>
    <n v="0"/>
    <n v="0"/>
    <n v="0"/>
    <n v="0"/>
    <n v="0"/>
    <m/>
    <n v="62.4"/>
  </r>
  <r>
    <s v="USR-100014"/>
    <d v="2025-03-02T00:00:00"/>
    <x v="0"/>
    <s v="West"/>
    <s v="Mobile"/>
    <s v="Social"/>
    <s v="Basic"/>
    <n v="1"/>
    <n v="0"/>
    <n v="0"/>
    <n v="0"/>
    <n v="0"/>
    <n v="0"/>
    <n v="0"/>
    <m/>
    <n v="82.4"/>
  </r>
  <r>
    <s v="USR-100015"/>
    <d v="2025-05-30T00:00:00"/>
    <x v="0"/>
    <s v="South"/>
    <s v="Mobile"/>
    <s v="Organic"/>
    <s v="Basic"/>
    <n v="0"/>
    <n v="0"/>
    <n v="0"/>
    <n v="0"/>
    <n v="0"/>
    <n v="0"/>
    <n v="0"/>
    <m/>
    <n v="61.2"/>
  </r>
  <r>
    <s v="USR-100016"/>
    <d v="2025-03-25T00:00:00"/>
    <x v="0"/>
    <s v="South"/>
    <s v="Mobile"/>
    <s v="Social"/>
    <s v="Basic"/>
    <n v="1"/>
    <n v="0"/>
    <n v="0"/>
    <n v="0"/>
    <n v="0"/>
    <n v="0"/>
    <n v="0"/>
    <m/>
    <n v="68.900000000000006"/>
  </r>
  <r>
    <s v="USR-100017"/>
    <d v="2025-03-27T00:00:00"/>
    <x v="0"/>
    <s v="East"/>
    <s v="Desktop"/>
    <s v="Paid Search"/>
    <s v="Free"/>
    <n v="1"/>
    <n v="1"/>
    <n v="1"/>
    <n v="0"/>
    <n v="0"/>
    <n v="0"/>
    <n v="0"/>
    <m/>
    <n v="71.900000000000006"/>
  </r>
  <r>
    <s v="USR-100018"/>
    <d v="2025-05-28T00:00:00"/>
    <x v="0"/>
    <s v="South"/>
    <s v="Desktop"/>
    <s v="Paid Search"/>
    <s v="Free"/>
    <n v="0"/>
    <n v="0"/>
    <n v="0"/>
    <n v="0"/>
    <n v="0"/>
    <n v="0"/>
    <n v="0"/>
    <m/>
    <n v="50.5"/>
  </r>
  <r>
    <s v="USR-100019"/>
    <d v="2025-02-15T00:00:00"/>
    <x v="0"/>
    <s v="North"/>
    <s v="Desktop"/>
    <s v="Paid Search"/>
    <s v="Basic"/>
    <n v="0"/>
    <n v="0"/>
    <n v="0"/>
    <n v="0"/>
    <n v="0"/>
    <n v="0"/>
    <n v="0"/>
    <m/>
    <n v="49.3"/>
  </r>
  <r>
    <s v="USR-100020"/>
    <d v="2025-05-05T00:00:00"/>
    <x v="0"/>
    <s v="West"/>
    <s v="Desktop"/>
    <s v="Organic"/>
    <s v="Basic"/>
    <n v="0"/>
    <n v="0"/>
    <n v="0"/>
    <n v="0"/>
    <n v="0"/>
    <n v="2"/>
    <n v="0"/>
    <m/>
    <n v="60.9"/>
  </r>
  <r>
    <s v="USR-100021"/>
    <d v="2025-04-13T00:00:00"/>
    <x v="0"/>
    <s v="East"/>
    <s v="Mobile"/>
    <s v="Social"/>
    <s v="Free"/>
    <n v="1"/>
    <n v="0"/>
    <n v="0"/>
    <n v="0"/>
    <n v="0"/>
    <n v="0"/>
    <n v="0"/>
    <m/>
    <n v="62.7"/>
  </r>
  <r>
    <s v="USR-100022"/>
    <d v="2025-05-07T00:00:00"/>
    <x v="0"/>
    <s v="North"/>
    <s v="Desktop"/>
    <s v="Paid Search"/>
    <s v="Free"/>
    <n v="0"/>
    <n v="0"/>
    <n v="0"/>
    <n v="0"/>
    <n v="0"/>
    <n v="0"/>
    <n v="0"/>
    <m/>
    <n v="52.7"/>
  </r>
  <r>
    <s v="USR-100023"/>
    <d v="2025-05-25T00:00:00"/>
    <x v="0"/>
    <s v="North"/>
    <s v="Desktop"/>
    <s v="Organic"/>
    <s v="Free"/>
    <n v="0"/>
    <n v="0"/>
    <n v="0"/>
    <n v="0"/>
    <n v="0"/>
    <n v="0"/>
    <n v="0"/>
    <m/>
    <n v="54"/>
  </r>
  <r>
    <s v="USR-100024"/>
    <d v="2025-04-01T00:00:00"/>
    <x v="0"/>
    <s v="East"/>
    <s v="Mobile"/>
    <s v="Paid Search"/>
    <s v="Premium"/>
    <n v="1"/>
    <n v="1"/>
    <n v="0"/>
    <n v="0"/>
    <n v="0"/>
    <n v="0"/>
    <n v="0"/>
    <m/>
    <n v="51.6"/>
  </r>
  <r>
    <s v="USR-100025"/>
    <d v="2025-02-22T00:00:00"/>
    <x v="0"/>
    <s v="North"/>
    <s v="Mobile"/>
    <s v="Paid Search"/>
    <s v="Premium"/>
    <n v="0"/>
    <n v="0"/>
    <n v="0"/>
    <n v="0"/>
    <n v="0"/>
    <n v="2"/>
    <n v="0"/>
    <m/>
    <n v="66.900000000000006"/>
  </r>
  <r>
    <s v="USR-100026"/>
    <d v="2025-03-24T00:00:00"/>
    <x v="0"/>
    <s v="East"/>
    <s v="Mobile"/>
    <s v="Organic"/>
    <s v="Basic"/>
    <n v="0"/>
    <n v="0"/>
    <n v="0"/>
    <n v="0"/>
    <n v="0"/>
    <n v="0"/>
    <n v="0"/>
    <m/>
    <n v="67.400000000000006"/>
  </r>
  <r>
    <s v="USR-100027"/>
    <d v="2025-02-13T00:00:00"/>
    <x v="0"/>
    <s v="North"/>
    <s v="Mobile"/>
    <s v="Organic"/>
    <s v="Free"/>
    <n v="0"/>
    <n v="0"/>
    <n v="0"/>
    <n v="0"/>
    <n v="0"/>
    <n v="0"/>
    <n v="0"/>
    <m/>
    <n v="58.8"/>
  </r>
  <r>
    <s v="USR-100028"/>
    <d v="2025-05-30T00:00:00"/>
    <x v="0"/>
    <s v="South"/>
    <s v="Mobile"/>
    <s v="Organic"/>
    <s v="Free"/>
    <n v="1"/>
    <n v="0"/>
    <n v="0"/>
    <n v="0"/>
    <n v="0"/>
    <n v="0"/>
    <n v="0"/>
    <m/>
    <n v="73.8"/>
  </r>
  <r>
    <s v="USR-100029"/>
    <d v="2025-01-20T00:00:00"/>
    <x v="0"/>
    <s v="East"/>
    <s v="Tablet"/>
    <s v="Organic"/>
    <s v="Basic"/>
    <n v="0"/>
    <n v="0"/>
    <n v="0"/>
    <n v="0"/>
    <n v="0"/>
    <n v="0"/>
    <n v="0"/>
    <m/>
    <n v="60.1"/>
  </r>
  <r>
    <s v="USR-100030"/>
    <d v="2025-05-19T00:00:00"/>
    <x v="0"/>
    <s v="East"/>
    <s v="Mobile"/>
    <s v="Social"/>
    <s v="Basic"/>
    <n v="1"/>
    <n v="1"/>
    <n v="1"/>
    <n v="0"/>
    <n v="0"/>
    <n v="0"/>
    <n v="0"/>
    <m/>
    <n v="41"/>
  </r>
  <r>
    <s v="USR-100031"/>
    <d v="2025-02-18T00:00:00"/>
    <x v="0"/>
    <s v="South"/>
    <s v="Mobile"/>
    <s v="Organic"/>
    <s v="Basic"/>
    <n v="1"/>
    <n v="0"/>
    <n v="0"/>
    <n v="0"/>
    <n v="0"/>
    <n v="0"/>
    <n v="0"/>
    <m/>
    <n v="80.3"/>
  </r>
  <r>
    <s v="USR-100032"/>
    <d v="2025-02-13T00:00:00"/>
    <x v="0"/>
    <s v="East"/>
    <s v="Mobile"/>
    <s v="Organic"/>
    <s v="Free"/>
    <n v="0"/>
    <n v="0"/>
    <n v="0"/>
    <n v="0"/>
    <n v="0"/>
    <n v="0"/>
    <n v="0"/>
    <m/>
    <n v="67.599999999999994"/>
  </r>
  <r>
    <s v="USR-100033"/>
    <d v="2025-03-08T00:00:00"/>
    <x v="0"/>
    <s v="East"/>
    <s v="Desktop"/>
    <s v="Referral"/>
    <s v="Premium"/>
    <n v="0"/>
    <n v="0"/>
    <n v="0"/>
    <n v="0"/>
    <n v="0"/>
    <n v="0"/>
    <n v="0"/>
    <m/>
    <n v="64"/>
  </r>
  <r>
    <s v="USR-100034"/>
    <d v="2025-01-11T00:00:00"/>
    <x v="0"/>
    <s v="North"/>
    <s v="Mobile"/>
    <s v="Paid Search"/>
    <s v="Free"/>
    <n v="1"/>
    <n v="1"/>
    <n v="0"/>
    <n v="0"/>
    <n v="0"/>
    <n v="0"/>
    <n v="0"/>
    <m/>
    <n v="27.2"/>
  </r>
  <r>
    <s v="USR-100035"/>
    <d v="2025-02-12T00:00:00"/>
    <x v="0"/>
    <s v="North"/>
    <s v="Desktop"/>
    <s v="Organic"/>
    <s v="Free"/>
    <n v="1"/>
    <n v="0"/>
    <n v="0"/>
    <n v="0"/>
    <n v="0"/>
    <n v="0"/>
    <n v="0"/>
    <m/>
    <n v="85.4"/>
  </r>
  <r>
    <s v="USR-100036"/>
    <d v="2025-04-13T00:00:00"/>
    <x v="0"/>
    <s v="East"/>
    <s v="Desktop"/>
    <s v="Organic"/>
    <s v="Basic"/>
    <n v="1"/>
    <n v="0"/>
    <n v="0"/>
    <n v="0"/>
    <n v="0"/>
    <n v="0"/>
    <n v="0"/>
    <m/>
    <n v="75.900000000000006"/>
  </r>
  <r>
    <s v="USR-100037"/>
    <d v="2025-05-09T00:00:00"/>
    <x v="0"/>
    <s v="East"/>
    <s v="Mobile"/>
    <s v="Organic"/>
    <s v="Premium"/>
    <n v="1"/>
    <n v="0"/>
    <n v="0"/>
    <n v="0"/>
    <n v="0"/>
    <n v="1"/>
    <n v="0"/>
    <m/>
    <n v="34.799999999999997"/>
  </r>
  <r>
    <s v="USR-100038"/>
    <d v="2025-01-20T00:00:00"/>
    <x v="0"/>
    <s v="East"/>
    <s v="Mobile"/>
    <s v="Organic"/>
    <s v="Free"/>
    <n v="1"/>
    <n v="1"/>
    <n v="1"/>
    <n v="0"/>
    <n v="0"/>
    <n v="3"/>
    <n v="0"/>
    <m/>
    <n v="48.9"/>
  </r>
  <r>
    <s v="USR-100039"/>
    <d v="2025-05-13T00:00:00"/>
    <x v="0"/>
    <s v="East"/>
    <s v="Mobile"/>
    <s v="Email"/>
    <s v="Premium"/>
    <n v="1"/>
    <n v="0"/>
    <n v="0"/>
    <n v="0"/>
    <n v="0"/>
    <n v="0"/>
    <n v="0"/>
    <m/>
    <n v="41.5"/>
  </r>
  <r>
    <s v="USR-100040"/>
    <d v="2025-04-07T00:00:00"/>
    <x v="0"/>
    <s v="North"/>
    <s v="Desktop"/>
    <s v="Organic"/>
    <s v="Basic"/>
    <n v="1"/>
    <n v="0"/>
    <n v="0"/>
    <n v="0"/>
    <n v="0"/>
    <n v="0"/>
    <n v="0"/>
    <m/>
    <n v="51.5"/>
  </r>
  <r>
    <s v="USR-100041"/>
    <d v="2025-03-31T00:00:00"/>
    <x v="0"/>
    <s v="North"/>
    <s v="Desktop"/>
    <s v="Organic"/>
    <s v="Free"/>
    <n v="0"/>
    <n v="0"/>
    <n v="0"/>
    <n v="0"/>
    <n v="0"/>
    <n v="0"/>
    <n v="0"/>
    <m/>
    <n v="53.2"/>
  </r>
  <r>
    <s v="USR-100042"/>
    <d v="2025-01-25T00:00:00"/>
    <x v="0"/>
    <s v="East"/>
    <s v="Mobile"/>
    <s v="Email"/>
    <s v="Premium"/>
    <n v="0"/>
    <n v="0"/>
    <n v="0"/>
    <n v="0"/>
    <n v="0"/>
    <n v="0"/>
    <n v="0"/>
    <m/>
    <n v="55.6"/>
  </r>
  <r>
    <s v="USR-100043"/>
    <d v="2025-02-14T00:00:00"/>
    <x v="0"/>
    <s v="South"/>
    <s v="Desktop"/>
    <s v="Organic"/>
    <s v="Free"/>
    <n v="0"/>
    <n v="0"/>
    <n v="0"/>
    <n v="0"/>
    <n v="0"/>
    <n v="0"/>
    <n v="0"/>
    <m/>
    <n v="73"/>
  </r>
  <r>
    <s v="USR-100044"/>
    <d v="2025-02-27T00:00:00"/>
    <x v="0"/>
    <s v="East"/>
    <s v="Mobile"/>
    <s v="Email"/>
    <s v="Free"/>
    <n v="1"/>
    <n v="0"/>
    <n v="0"/>
    <n v="0"/>
    <n v="0"/>
    <n v="0"/>
    <n v="0"/>
    <m/>
    <n v="65"/>
  </r>
  <r>
    <s v="USR-100045"/>
    <d v="2025-03-28T00:00:00"/>
    <x v="0"/>
    <s v="East"/>
    <s v="Mobile"/>
    <s v="Social"/>
    <s v="Free"/>
    <n v="1"/>
    <n v="0"/>
    <n v="0"/>
    <n v="0"/>
    <n v="0"/>
    <n v="4"/>
    <n v="0"/>
    <m/>
    <n v="56.3"/>
  </r>
  <r>
    <s v="USR-100046"/>
    <d v="2025-05-25T00:00:00"/>
    <x v="0"/>
    <s v="East"/>
    <s v="Mobile"/>
    <s v="Referral"/>
    <s v="Premium"/>
    <n v="1"/>
    <n v="0"/>
    <n v="0"/>
    <n v="0"/>
    <n v="0"/>
    <n v="0"/>
    <n v="0"/>
    <m/>
    <n v="62.4"/>
  </r>
  <r>
    <s v="USR-100047"/>
    <d v="2025-05-05T00:00:00"/>
    <x v="0"/>
    <s v="West"/>
    <s v="Desktop"/>
    <s v="Organic"/>
    <s v="Free"/>
    <n v="1"/>
    <n v="1"/>
    <n v="1"/>
    <n v="0"/>
    <n v="0"/>
    <n v="0"/>
    <n v="0"/>
    <m/>
    <n v="58.1"/>
  </r>
  <r>
    <s v="USR-100048"/>
    <d v="2025-05-16T00:00:00"/>
    <x v="0"/>
    <s v="North"/>
    <s v="Mobile"/>
    <s v="Organic"/>
    <s v="Free"/>
    <n v="1"/>
    <n v="1"/>
    <n v="1"/>
    <n v="0"/>
    <n v="0"/>
    <n v="0"/>
    <n v="0"/>
    <m/>
    <n v="80.8"/>
  </r>
  <r>
    <s v="USR-100049"/>
    <d v="2025-01-08T00:00:00"/>
    <x v="0"/>
    <s v="North"/>
    <s v="Mobile"/>
    <s v="Social"/>
    <s v="Free"/>
    <n v="1"/>
    <n v="1"/>
    <n v="0"/>
    <n v="0"/>
    <n v="0"/>
    <n v="0"/>
    <n v="0"/>
    <m/>
    <n v="42.9"/>
  </r>
  <r>
    <s v="USR-100050"/>
    <d v="2025-01-06T00:00:00"/>
    <x v="0"/>
    <s v="West"/>
    <s v="Desktop"/>
    <s v="Paid Search"/>
    <s v="Free"/>
    <n v="1"/>
    <n v="0"/>
    <n v="0"/>
    <n v="0"/>
    <n v="0"/>
    <n v="0"/>
    <n v="0"/>
    <m/>
    <n v="52.7"/>
  </r>
  <r>
    <s v="USR-100051"/>
    <d v="2025-01-12T00:00:00"/>
    <x v="0"/>
    <s v="North"/>
    <s v="Mobile"/>
    <s v="Social"/>
    <s v="Basic"/>
    <n v="0"/>
    <n v="0"/>
    <n v="0"/>
    <n v="0"/>
    <n v="0"/>
    <n v="0"/>
    <n v="0"/>
    <m/>
    <n v="46.9"/>
  </r>
  <r>
    <s v="USR-100052"/>
    <d v="2025-02-14T00:00:00"/>
    <x v="0"/>
    <s v="East"/>
    <s v="Desktop"/>
    <s v="Email"/>
    <s v="Premium"/>
    <n v="1"/>
    <n v="0"/>
    <n v="0"/>
    <n v="0"/>
    <n v="0"/>
    <n v="0"/>
    <n v="0"/>
    <m/>
    <n v="63"/>
  </r>
  <r>
    <s v="USR-100053"/>
    <d v="2025-03-10T00:00:00"/>
    <x v="0"/>
    <s v="South"/>
    <s v="Tablet"/>
    <s v="Organic"/>
    <s v="Free"/>
    <n v="0"/>
    <n v="0"/>
    <n v="0"/>
    <n v="0"/>
    <n v="0"/>
    <n v="0"/>
    <n v="0"/>
    <m/>
    <n v="53.6"/>
  </r>
  <r>
    <s v="USR-100054"/>
    <d v="2025-04-20T00:00:00"/>
    <x v="0"/>
    <s v="West"/>
    <s v="Desktop"/>
    <s v="Organic"/>
    <s v="Basic"/>
    <n v="0"/>
    <n v="0"/>
    <n v="0"/>
    <n v="0"/>
    <n v="0"/>
    <n v="0"/>
    <n v="0"/>
    <m/>
    <n v="49.6"/>
  </r>
  <r>
    <s v="USR-100055"/>
    <d v="2025-02-19T00:00:00"/>
    <x v="0"/>
    <s v="South"/>
    <s v="Mobile"/>
    <s v="Organic"/>
    <s v="Free"/>
    <n v="0"/>
    <n v="0"/>
    <n v="0"/>
    <n v="0"/>
    <n v="0"/>
    <n v="0"/>
    <n v="0"/>
    <m/>
    <n v="54"/>
  </r>
  <r>
    <s v="USR-100056"/>
    <d v="2025-05-17T00:00:00"/>
    <x v="0"/>
    <s v="South"/>
    <s v="Mobile"/>
    <s v="Social"/>
    <s v="Basic"/>
    <n v="1"/>
    <n v="0"/>
    <n v="0"/>
    <n v="0"/>
    <n v="0"/>
    <n v="2"/>
    <n v="0"/>
    <m/>
    <n v="50"/>
  </r>
  <r>
    <s v="USR-100057"/>
    <d v="2025-04-01T00:00:00"/>
    <x v="0"/>
    <s v="East"/>
    <s v="Mobile"/>
    <s v="Social"/>
    <s v="Basic"/>
    <n v="0"/>
    <n v="0"/>
    <n v="0"/>
    <n v="0"/>
    <n v="0"/>
    <n v="0"/>
    <n v="0"/>
    <m/>
    <n v="48.1"/>
  </r>
  <r>
    <s v="USR-100058"/>
    <d v="2025-02-04T00:00:00"/>
    <x v="0"/>
    <s v="North"/>
    <s v="Desktop"/>
    <s v="Organic"/>
    <s v="Free"/>
    <n v="1"/>
    <n v="0"/>
    <n v="0"/>
    <n v="0"/>
    <n v="0"/>
    <n v="0"/>
    <n v="0"/>
    <m/>
    <n v="49.6"/>
  </r>
  <r>
    <s v="USR-100059"/>
    <d v="2025-04-14T00:00:00"/>
    <x v="0"/>
    <s v="North"/>
    <s v="Mobile"/>
    <s v="Social"/>
    <s v="Free"/>
    <n v="0"/>
    <n v="0"/>
    <n v="0"/>
    <n v="0"/>
    <n v="0"/>
    <n v="2"/>
    <n v="0"/>
    <m/>
    <n v="48.9"/>
  </r>
  <r>
    <s v="USR-100060"/>
    <d v="2025-01-01T00:00:00"/>
    <x v="0"/>
    <s v="West"/>
    <s v="Mobile"/>
    <s v="Social"/>
    <s v="Free"/>
    <n v="1"/>
    <n v="1"/>
    <n v="1"/>
    <n v="1"/>
    <n v="240.42"/>
    <n v="0"/>
    <n v="0"/>
    <n v="16"/>
    <n v="56.5"/>
  </r>
  <r>
    <s v="USR-100061"/>
    <d v="2025-04-02T00:00:00"/>
    <x v="0"/>
    <s v="South"/>
    <s v="Mobile"/>
    <s v="Referral"/>
    <s v="Free"/>
    <n v="1"/>
    <n v="0"/>
    <n v="0"/>
    <n v="0"/>
    <n v="0"/>
    <n v="0"/>
    <n v="0"/>
    <m/>
    <n v="53.7"/>
  </r>
  <r>
    <s v="USR-100062"/>
    <d v="2025-03-29T00:00:00"/>
    <x v="0"/>
    <s v="North"/>
    <s v="Mobile"/>
    <s v="Social"/>
    <s v="Premium"/>
    <n v="0"/>
    <n v="0"/>
    <n v="0"/>
    <n v="0"/>
    <n v="0"/>
    <n v="0"/>
    <n v="0"/>
    <m/>
    <n v="62.2"/>
  </r>
  <r>
    <s v="USR-100063"/>
    <d v="2025-05-15T00:00:00"/>
    <x v="0"/>
    <s v="South"/>
    <s v="Desktop"/>
    <s v="Organic"/>
    <s v="Free"/>
    <n v="1"/>
    <n v="0"/>
    <n v="0"/>
    <n v="0"/>
    <n v="0"/>
    <n v="0"/>
    <n v="0"/>
    <m/>
    <n v="50.2"/>
  </r>
  <r>
    <s v="USR-100064"/>
    <d v="2025-04-11T00:00:00"/>
    <x v="0"/>
    <s v="North"/>
    <s v="Mobile"/>
    <s v="Organic"/>
    <s v="Basic"/>
    <n v="1"/>
    <n v="0"/>
    <n v="0"/>
    <n v="0"/>
    <n v="0"/>
    <n v="0"/>
    <n v="0"/>
    <m/>
    <n v="74.3"/>
  </r>
  <r>
    <s v="USR-100065"/>
    <d v="2025-03-07T00:00:00"/>
    <x v="0"/>
    <s v="South"/>
    <s v="Desktop"/>
    <s v="Paid Search"/>
    <s v="Free"/>
    <n v="1"/>
    <n v="0"/>
    <n v="0"/>
    <n v="0"/>
    <n v="0"/>
    <n v="0"/>
    <n v="0"/>
    <m/>
    <n v="58"/>
  </r>
  <r>
    <s v="USR-100066"/>
    <d v="2025-05-30T00:00:00"/>
    <x v="0"/>
    <s v="South"/>
    <s v="Mobile"/>
    <s v="Organic"/>
    <s v="Free"/>
    <n v="0"/>
    <n v="0"/>
    <n v="0"/>
    <n v="0"/>
    <n v="0"/>
    <n v="0"/>
    <n v="0"/>
    <m/>
    <n v="46.7"/>
  </r>
  <r>
    <s v="USR-100067"/>
    <d v="2025-01-07T00:00:00"/>
    <x v="0"/>
    <s v="South"/>
    <s v="Desktop"/>
    <s v="Organic"/>
    <s v="Premium"/>
    <n v="1"/>
    <n v="0"/>
    <n v="0"/>
    <n v="0"/>
    <n v="0"/>
    <n v="1"/>
    <n v="0"/>
    <m/>
    <n v="49.6"/>
  </r>
  <r>
    <s v="USR-100068"/>
    <d v="2025-05-08T00:00:00"/>
    <x v="0"/>
    <s v="West"/>
    <s v="Mobile"/>
    <s v="Social"/>
    <s v="Free"/>
    <n v="0"/>
    <n v="0"/>
    <n v="0"/>
    <n v="0"/>
    <n v="0"/>
    <n v="0"/>
    <n v="0"/>
    <m/>
    <n v="60.4"/>
  </r>
  <r>
    <s v="USR-100069"/>
    <d v="2025-03-19T00:00:00"/>
    <x v="0"/>
    <s v="East"/>
    <s v="Desktop"/>
    <s v="Email"/>
    <s v="Free"/>
    <n v="1"/>
    <n v="1"/>
    <n v="1"/>
    <n v="0"/>
    <n v="0"/>
    <n v="0"/>
    <n v="0"/>
    <m/>
    <n v="55.3"/>
  </r>
  <r>
    <s v="USR-100070"/>
    <d v="2025-05-16T00:00:00"/>
    <x v="0"/>
    <s v="North"/>
    <s v="Desktop"/>
    <s v="Organic"/>
    <s v="Free"/>
    <n v="0"/>
    <n v="0"/>
    <n v="0"/>
    <n v="0"/>
    <n v="0"/>
    <n v="0"/>
    <n v="0"/>
    <m/>
    <n v="56.2"/>
  </r>
  <r>
    <s v="USR-100071"/>
    <d v="2025-03-08T00:00:00"/>
    <x v="0"/>
    <s v="West"/>
    <s v="Mobile"/>
    <s v="Email"/>
    <s v="Free"/>
    <n v="0"/>
    <n v="0"/>
    <n v="0"/>
    <n v="0"/>
    <n v="0"/>
    <n v="0"/>
    <n v="0"/>
    <m/>
    <n v="29.4"/>
  </r>
  <r>
    <s v="USR-100072"/>
    <d v="2025-03-08T00:00:00"/>
    <x v="0"/>
    <s v="East"/>
    <s v="Mobile"/>
    <s v="Email"/>
    <s v="Free"/>
    <n v="1"/>
    <n v="0"/>
    <n v="0"/>
    <n v="0"/>
    <n v="0"/>
    <n v="0"/>
    <n v="0"/>
    <m/>
    <n v="54.2"/>
  </r>
  <r>
    <s v="USR-100073"/>
    <d v="2025-01-14T00:00:00"/>
    <x v="0"/>
    <s v="East"/>
    <s v="Desktop"/>
    <s v="Paid Search"/>
    <s v="Basic"/>
    <n v="0"/>
    <n v="0"/>
    <n v="0"/>
    <n v="0"/>
    <n v="0"/>
    <n v="0"/>
    <n v="0"/>
    <m/>
    <n v="46.4"/>
  </r>
  <r>
    <s v="USR-100074"/>
    <d v="2025-02-10T00:00:00"/>
    <x v="0"/>
    <s v="South"/>
    <s v="Mobile"/>
    <s v="Paid Search"/>
    <s v="Basic"/>
    <n v="0"/>
    <n v="0"/>
    <n v="0"/>
    <n v="0"/>
    <n v="0"/>
    <n v="0"/>
    <n v="0"/>
    <m/>
    <n v="54.5"/>
  </r>
  <r>
    <s v="USR-100075"/>
    <d v="2025-03-17T00:00:00"/>
    <x v="0"/>
    <s v="North"/>
    <s v="Mobile"/>
    <s v="Organic"/>
    <s v="Free"/>
    <n v="0"/>
    <n v="0"/>
    <n v="0"/>
    <n v="0"/>
    <n v="0"/>
    <n v="0"/>
    <n v="0"/>
    <m/>
    <n v="58.5"/>
  </r>
  <r>
    <s v="USR-100076"/>
    <d v="2025-01-09T00:00:00"/>
    <x v="0"/>
    <s v="South"/>
    <s v="Mobile"/>
    <s v="Email"/>
    <s v="Free"/>
    <n v="0"/>
    <n v="0"/>
    <n v="0"/>
    <n v="0"/>
    <n v="0"/>
    <n v="0"/>
    <n v="0"/>
    <m/>
    <n v="75.900000000000006"/>
  </r>
  <r>
    <s v="USR-100077"/>
    <d v="2025-04-17T00:00:00"/>
    <x v="0"/>
    <s v="North"/>
    <s v="Mobile"/>
    <s v="Referral"/>
    <s v="Free"/>
    <n v="0"/>
    <n v="0"/>
    <n v="0"/>
    <n v="0"/>
    <n v="0"/>
    <n v="1"/>
    <n v="0"/>
    <m/>
    <n v="84.9"/>
  </r>
  <r>
    <s v="USR-100078"/>
    <d v="2025-01-16T00:00:00"/>
    <x v="0"/>
    <s v="North"/>
    <s v="Mobile"/>
    <s v="Organic"/>
    <s v="Free"/>
    <n v="0"/>
    <n v="0"/>
    <n v="0"/>
    <n v="0"/>
    <n v="0"/>
    <n v="2"/>
    <n v="0"/>
    <m/>
    <n v="48.4"/>
  </r>
  <r>
    <s v="USR-100079"/>
    <d v="2025-02-20T00:00:00"/>
    <x v="0"/>
    <s v="West"/>
    <s v="Desktop"/>
    <s v="Organic"/>
    <s v="Free"/>
    <n v="1"/>
    <n v="1"/>
    <n v="1"/>
    <n v="1"/>
    <n v="457.51"/>
    <n v="0"/>
    <n v="0"/>
    <n v="7"/>
    <n v="38"/>
  </r>
  <r>
    <s v="USR-100080"/>
    <d v="2025-05-21T00:00:00"/>
    <x v="0"/>
    <s v="East"/>
    <s v="Mobile"/>
    <s v="Social"/>
    <s v="Free"/>
    <n v="1"/>
    <n v="0"/>
    <n v="0"/>
    <n v="0"/>
    <n v="0"/>
    <n v="0"/>
    <n v="0"/>
    <m/>
    <n v="44.2"/>
  </r>
  <r>
    <s v="USR-100081"/>
    <d v="2025-05-08T00:00:00"/>
    <x v="0"/>
    <s v="South"/>
    <s v="Mobile"/>
    <s v="Organic"/>
    <s v="Free"/>
    <n v="1"/>
    <n v="1"/>
    <n v="1"/>
    <n v="0"/>
    <n v="0"/>
    <n v="0"/>
    <n v="0"/>
    <m/>
    <n v="81.2"/>
  </r>
  <r>
    <s v="USR-100082"/>
    <d v="2025-03-08T00:00:00"/>
    <x v="0"/>
    <s v="South"/>
    <s v="Mobile"/>
    <s v="Referral"/>
    <s v="Free"/>
    <n v="1"/>
    <n v="1"/>
    <n v="0"/>
    <n v="0"/>
    <n v="0"/>
    <n v="0"/>
    <n v="0"/>
    <m/>
    <n v="63.8"/>
  </r>
  <r>
    <s v="USR-100083"/>
    <d v="2025-04-01T00:00:00"/>
    <x v="0"/>
    <s v="South"/>
    <s v="Desktop"/>
    <s v="Email"/>
    <s v="Free"/>
    <n v="0"/>
    <n v="0"/>
    <n v="0"/>
    <n v="0"/>
    <n v="0"/>
    <n v="0"/>
    <n v="0"/>
    <m/>
    <n v="64.7"/>
  </r>
  <r>
    <s v="USR-100084"/>
    <d v="2025-03-03T00:00:00"/>
    <x v="0"/>
    <s v="West"/>
    <s v="Mobile"/>
    <s v="Social"/>
    <s v="Basic"/>
    <n v="0"/>
    <n v="0"/>
    <n v="0"/>
    <n v="0"/>
    <n v="0"/>
    <n v="0"/>
    <n v="0"/>
    <m/>
    <n v="60.4"/>
  </r>
  <r>
    <s v="USR-100085"/>
    <d v="2025-04-16T00:00:00"/>
    <x v="0"/>
    <s v="South"/>
    <s v="Mobile"/>
    <s v="Paid Search"/>
    <s v="Free"/>
    <n v="0"/>
    <n v="0"/>
    <n v="0"/>
    <n v="0"/>
    <n v="0"/>
    <n v="0"/>
    <n v="0"/>
    <m/>
    <n v="66.599999999999994"/>
  </r>
  <r>
    <s v="USR-100086"/>
    <d v="2025-01-09T00:00:00"/>
    <x v="0"/>
    <s v="North"/>
    <s v="Desktop"/>
    <s v="Organic"/>
    <s v="Free"/>
    <n v="1"/>
    <n v="0"/>
    <n v="0"/>
    <n v="0"/>
    <n v="0"/>
    <n v="0"/>
    <n v="0"/>
    <m/>
    <n v="50.9"/>
  </r>
  <r>
    <s v="USR-100087"/>
    <d v="2025-01-22T00:00:00"/>
    <x v="0"/>
    <s v="West"/>
    <s v="Desktop"/>
    <s v="Social"/>
    <s v="Basic"/>
    <n v="0"/>
    <n v="0"/>
    <n v="0"/>
    <n v="0"/>
    <n v="0"/>
    <n v="0"/>
    <n v="0"/>
    <m/>
    <n v="51"/>
  </r>
  <r>
    <s v="USR-100088"/>
    <d v="2025-04-30T00:00:00"/>
    <x v="0"/>
    <s v="South"/>
    <s v="Mobile"/>
    <s v="Email"/>
    <s v="Premium"/>
    <n v="0"/>
    <n v="0"/>
    <n v="0"/>
    <n v="0"/>
    <n v="0"/>
    <n v="0"/>
    <n v="0"/>
    <m/>
    <n v="65.8"/>
  </r>
  <r>
    <s v="USR-100089"/>
    <d v="2025-04-25T00:00:00"/>
    <x v="0"/>
    <s v="North"/>
    <s v="Mobile"/>
    <s v="Referral"/>
    <s v="Basic"/>
    <n v="1"/>
    <n v="0"/>
    <n v="0"/>
    <n v="0"/>
    <n v="0"/>
    <n v="0"/>
    <n v="0"/>
    <m/>
    <n v="61.8"/>
  </r>
  <r>
    <s v="USR-100090"/>
    <d v="2025-02-01T00:00:00"/>
    <x v="0"/>
    <s v="North"/>
    <s v="Mobile"/>
    <s v="Organic"/>
    <s v="Basic"/>
    <n v="1"/>
    <n v="0"/>
    <n v="0"/>
    <n v="0"/>
    <n v="0"/>
    <n v="0"/>
    <n v="0"/>
    <m/>
    <n v="54.5"/>
  </r>
  <r>
    <s v="USR-100091"/>
    <d v="2025-04-23T00:00:00"/>
    <x v="0"/>
    <s v="South"/>
    <s v="Desktop"/>
    <s v="Organic"/>
    <s v="Free"/>
    <n v="1"/>
    <n v="0"/>
    <n v="0"/>
    <n v="0"/>
    <n v="0"/>
    <n v="0"/>
    <n v="0"/>
    <m/>
    <n v="72.2"/>
  </r>
  <r>
    <s v="USR-100092"/>
    <d v="2025-02-27T00:00:00"/>
    <x v="0"/>
    <s v="South"/>
    <s v="Mobile"/>
    <s v="Social"/>
    <s v="Free"/>
    <n v="1"/>
    <n v="0"/>
    <n v="0"/>
    <n v="0"/>
    <n v="0"/>
    <n v="0"/>
    <n v="0"/>
    <m/>
    <n v="42.3"/>
  </r>
  <r>
    <s v="USR-100093"/>
    <d v="2025-04-09T00:00:00"/>
    <x v="0"/>
    <s v="East"/>
    <s v="Desktop"/>
    <s v="Organic"/>
    <s v="Basic"/>
    <n v="1"/>
    <n v="0"/>
    <n v="0"/>
    <n v="0"/>
    <n v="0"/>
    <n v="0"/>
    <n v="0"/>
    <m/>
    <n v="76.2"/>
  </r>
  <r>
    <s v="USR-100094"/>
    <d v="2025-05-13T00:00:00"/>
    <x v="0"/>
    <s v="South"/>
    <s v="Tablet"/>
    <s v="Organic"/>
    <s v="Premium"/>
    <n v="1"/>
    <n v="1"/>
    <n v="1"/>
    <n v="0"/>
    <n v="0"/>
    <n v="1"/>
    <n v="0"/>
    <m/>
    <n v="37.4"/>
  </r>
  <r>
    <s v="USR-100095"/>
    <d v="2025-04-13T00:00:00"/>
    <x v="0"/>
    <s v="East"/>
    <s v="Mobile"/>
    <s v="Organic"/>
    <s v="Free"/>
    <n v="0"/>
    <n v="0"/>
    <n v="0"/>
    <n v="0"/>
    <n v="0"/>
    <n v="0"/>
    <n v="0"/>
    <m/>
    <n v="84.2"/>
  </r>
  <r>
    <s v="USR-100096"/>
    <d v="2025-02-05T00:00:00"/>
    <x v="0"/>
    <s v="East"/>
    <s v="Mobile"/>
    <s v="Social"/>
    <s v="Free"/>
    <n v="0"/>
    <n v="0"/>
    <n v="0"/>
    <n v="0"/>
    <n v="0"/>
    <n v="0"/>
    <n v="0"/>
    <m/>
    <n v="68"/>
  </r>
  <r>
    <s v="USR-100097"/>
    <d v="2025-02-14T00:00:00"/>
    <x v="0"/>
    <s v="West"/>
    <s v="Mobile"/>
    <s v="Organic"/>
    <s v="Basic"/>
    <n v="1"/>
    <n v="0"/>
    <n v="0"/>
    <n v="0"/>
    <n v="0"/>
    <n v="0"/>
    <n v="0"/>
    <m/>
    <n v="53.5"/>
  </r>
  <r>
    <s v="USR-100098"/>
    <d v="2025-02-11T00:00:00"/>
    <x v="0"/>
    <s v="North"/>
    <s v="Desktop"/>
    <s v="Organic"/>
    <s v="Premium"/>
    <n v="1"/>
    <n v="0"/>
    <n v="0"/>
    <n v="0"/>
    <n v="0"/>
    <n v="0"/>
    <n v="0"/>
    <m/>
    <n v="63.2"/>
  </r>
  <r>
    <s v="USR-100099"/>
    <d v="2025-02-11T00:00:00"/>
    <x v="0"/>
    <s v="East"/>
    <s v="Desktop"/>
    <s v="Social"/>
    <s v="Free"/>
    <n v="1"/>
    <n v="1"/>
    <n v="1"/>
    <n v="1"/>
    <n v="363.32"/>
    <n v="0"/>
    <n v="0"/>
    <n v="9"/>
    <n v="55.9"/>
  </r>
  <r>
    <s v="USR-100100"/>
    <d v="2025-05-26T00:00:00"/>
    <x v="0"/>
    <s v="North"/>
    <s v="Mobile"/>
    <s v="Organic"/>
    <s v="Free"/>
    <n v="1"/>
    <n v="0"/>
    <n v="0"/>
    <n v="0"/>
    <n v="0"/>
    <n v="0"/>
    <n v="0"/>
    <m/>
    <n v="63.5"/>
  </r>
  <r>
    <s v="USR-100101"/>
    <d v="2025-03-22T00:00:00"/>
    <x v="0"/>
    <s v="North"/>
    <s v="Mobile"/>
    <s v="Paid Search"/>
    <s v="Basic"/>
    <n v="1"/>
    <n v="0"/>
    <n v="0"/>
    <n v="0"/>
    <n v="0"/>
    <n v="0"/>
    <n v="0"/>
    <m/>
    <n v="51.5"/>
  </r>
  <r>
    <s v="USR-100102"/>
    <d v="2025-04-08T00:00:00"/>
    <x v="0"/>
    <s v="West"/>
    <s v="Mobile"/>
    <s v="Paid Search"/>
    <s v="Free"/>
    <n v="1"/>
    <n v="0"/>
    <n v="0"/>
    <n v="0"/>
    <n v="0"/>
    <n v="0"/>
    <n v="0"/>
    <m/>
    <n v="74.400000000000006"/>
  </r>
  <r>
    <s v="USR-100103"/>
    <d v="2025-04-14T00:00:00"/>
    <x v="0"/>
    <s v="North"/>
    <s v="Desktop"/>
    <s v="Social"/>
    <s v="Free"/>
    <n v="1"/>
    <n v="1"/>
    <n v="1"/>
    <n v="1"/>
    <n v="3887.98"/>
    <n v="0"/>
    <n v="0"/>
    <n v="13"/>
    <n v="60.2"/>
  </r>
  <r>
    <s v="USR-100104"/>
    <d v="2025-03-27T00:00:00"/>
    <x v="0"/>
    <s v="South"/>
    <s v="Mobile"/>
    <s v="Email"/>
    <s v="Free"/>
    <n v="1"/>
    <n v="0"/>
    <n v="0"/>
    <n v="0"/>
    <n v="0"/>
    <n v="1"/>
    <n v="0"/>
    <m/>
    <n v="67.2"/>
  </r>
  <r>
    <s v="USR-100105"/>
    <d v="2025-01-05T00:00:00"/>
    <x v="0"/>
    <s v="South"/>
    <s v="Mobile"/>
    <s v="Social"/>
    <s v="Free"/>
    <n v="1"/>
    <n v="1"/>
    <n v="1"/>
    <n v="0"/>
    <n v="0"/>
    <n v="0"/>
    <n v="0"/>
    <m/>
    <n v="79.599999999999994"/>
  </r>
  <r>
    <s v="USR-100106"/>
    <d v="2025-01-25T00:00:00"/>
    <x v="0"/>
    <s v="South"/>
    <s v="Mobile"/>
    <s v="Social"/>
    <s v="Basic"/>
    <n v="1"/>
    <n v="1"/>
    <n v="1"/>
    <n v="1"/>
    <n v="8610.7199999999993"/>
    <n v="0"/>
    <n v="0"/>
    <n v="6"/>
    <n v="61"/>
  </r>
  <r>
    <s v="USR-100107"/>
    <d v="2025-01-23T00:00:00"/>
    <x v="0"/>
    <s v="West"/>
    <s v="Mobile"/>
    <s v="Email"/>
    <s v="Free"/>
    <n v="1"/>
    <n v="1"/>
    <n v="1"/>
    <n v="0"/>
    <n v="0"/>
    <n v="4"/>
    <n v="0"/>
    <m/>
    <n v="51.1"/>
  </r>
  <r>
    <s v="USR-100108"/>
    <d v="2025-05-25T00:00:00"/>
    <x v="0"/>
    <s v="East"/>
    <s v="Desktop"/>
    <s v="Referral"/>
    <s v="Free"/>
    <n v="1"/>
    <n v="0"/>
    <n v="0"/>
    <n v="0"/>
    <n v="0"/>
    <n v="0"/>
    <n v="0"/>
    <m/>
    <n v="92.1"/>
  </r>
  <r>
    <s v="USR-100109"/>
    <d v="2025-03-22T00:00:00"/>
    <x v="0"/>
    <s v="South"/>
    <s v="Mobile"/>
    <s v="Referral"/>
    <s v="Basic"/>
    <n v="0"/>
    <n v="0"/>
    <n v="0"/>
    <n v="0"/>
    <n v="0"/>
    <n v="0"/>
    <n v="0"/>
    <m/>
    <n v="82.1"/>
  </r>
  <r>
    <s v="USR-100110"/>
    <d v="2025-02-12T00:00:00"/>
    <x v="0"/>
    <s v="West"/>
    <s v="Desktop"/>
    <s v="Paid Search"/>
    <s v="Basic"/>
    <n v="1"/>
    <n v="0"/>
    <n v="0"/>
    <n v="0"/>
    <n v="0"/>
    <n v="1"/>
    <n v="0"/>
    <m/>
    <n v="74"/>
  </r>
  <r>
    <s v="USR-100111"/>
    <d v="2025-04-28T00:00:00"/>
    <x v="0"/>
    <s v="West"/>
    <s v="Desktop"/>
    <s v="Organic"/>
    <s v="Basic"/>
    <n v="1"/>
    <n v="0"/>
    <n v="0"/>
    <n v="0"/>
    <n v="0"/>
    <n v="0"/>
    <n v="0"/>
    <m/>
    <n v="63.4"/>
  </r>
  <r>
    <s v="USR-100112"/>
    <d v="2025-01-30T00:00:00"/>
    <x v="0"/>
    <s v="North"/>
    <s v="Mobile"/>
    <s v="Organic"/>
    <s v="Basic"/>
    <n v="1"/>
    <n v="0"/>
    <n v="0"/>
    <n v="0"/>
    <n v="0"/>
    <n v="0"/>
    <n v="0"/>
    <m/>
    <n v="53.2"/>
  </r>
  <r>
    <s v="USR-100113"/>
    <d v="2025-05-19T00:00:00"/>
    <x v="0"/>
    <s v="East"/>
    <s v="Tablet"/>
    <s v="Paid Search"/>
    <s v="Free"/>
    <n v="0"/>
    <n v="0"/>
    <n v="0"/>
    <n v="0"/>
    <n v="0"/>
    <n v="0"/>
    <n v="0"/>
    <m/>
    <n v="48.1"/>
  </r>
  <r>
    <s v="USR-100114"/>
    <d v="2025-01-23T00:00:00"/>
    <x v="0"/>
    <s v="South"/>
    <s v="Mobile"/>
    <s v="Social"/>
    <s v="Free"/>
    <n v="1"/>
    <n v="1"/>
    <n v="0"/>
    <n v="0"/>
    <n v="0"/>
    <n v="0"/>
    <n v="0"/>
    <m/>
    <n v="61.5"/>
  </r>
  <r>
    <s v="USR-100115"/>
    <d v="2025-03-28T00:00:00"/>
    <x v="0"/>
    <s v="East"/>
    <s v="Desktop"/>
    <s v="Social"/>
    <s v="Free"/>
    <n v="1"/>
    <n v="0"/>
    <n v="0"/>
    <n v="0"/>
    <n v="0"/>
    <n v="0"/>
    <n v="0"/>
    <m/>
    <n v="63.2"/>
  </r>
  <r>
    <s v="USR-100116"/>
    <d v="2025-01-11T00:00:00"/>
    <x v="0"/>
    <s v="West"/>
    <s v="Mobile"/>
    <s v="Organic"/>
    <s v="Free"/>
    <n v="0"/>
    <n v="0"/>
    <n v="0"/>
    <n v="0"/>
    <n v="0"/>
    <n v="0"/>
    <n v="0"/>
    <m/>
    <n v="71.900000000000006"/>
  </r>
  <r>
    <s v="USR-100117"/>
    <d v="2025-04-11T00:00:00"/>
    <x v="0"/>
    <s v="North"/>
    <s v="Mobile"/>
    <s v="Referral"/>
    <s v="Free"/>
    <n v="0"/>
    <n v="0"/>
    <n v="0"/>
    <n v="0"/>
    <n v="0"/>
    <n v="0"/>
    <n v="0"/>
    <m/>
    <n v="62.7"/>
  </r>
  <r>
    <s v="USR-100118"/>
    <d v="2025-01-02T00:00:00"/>
    <x v="0"/>
    <s v="West"/>
    <s v="Mobile"/>
    <s v="Paid Search"/>
    <s v="Free"/>
    <n v="1"/>
    <n v="0"/>
    <n v="0"/>
    <n v="0"/>
    <n v="0"/>
    <n v="0"/>
    <n v="0"/>
    <m/>
    <n v="51.5"/>
  </r>
  <r>
    <s v="USR-100119"/>
    <d v="2025-03-18T00:00:00"/>
    <x v="0"/>
    <s v="East"/>
    <s v="Mobile"/>
    <s v="Social"/>
    <s v="Free"/>
    <n v="1"/>
    <n v="1"/>
    <n v="1"/>
    <n v="0"/>
    <n v="0"/>
    <n v="0"/>
    <n v="0"/>
    <m/>
    <n v="39.1"/>
  </r>
  <r>
    <s v="USR-100120"/>
    <d v="2025-03-31T00:00:00"/>
    <x v="0"/>
    <s v="North"/>
    <s v="Mobile"/>
    <s v="Email"/>
    <s v="Free"/>
    <n v="1"/>
    <n v="0"/>
    <n v="0"/>
    <n v="0"/>
    <n v="0"/>
    <n v="0"/>
    <n v="0"/>
    <m/>
    <n v="43.8"/>
  </r>
  <r>
    <s v="USR-100121"/>
    <d v="2025-01-06T00:00:00"/>
    <x v="0"/>
    <s v="North"/>
    <s v="Mobile"/>
    <s v="Paid Search"/>
    <s v="Basic"/>
    <n v="1"/>
    <n v="0"/>
    <n v="0"/>
    <n v="0"/>
    <n v="0"/>
    <n v="0"/>
    <n v="0"/>
    <m/>
    <n v="59.9"/>
  </r>
  <r>
    <s v="USR-100122"/>
    <d v="2025-01-26T00:00:00"/>
    <x v="0"/>
    <s v="North"/>
    <s v="Mobile"/>
    <s v="Referral"/>
    <s v="Free"/>
    <n v="1"/>
    <n v="1"/>
    <n v="0"/>
    <n v="0"/>
    <n v="0"/>
    <n v="0"/>
    <n v="0"/>
    <m/>
    <n v="71.400000000000006"/>
  </r>
  <r>
    <s v="USR-100123"/>
    <d v="2025-04-22T00:00:00"/>
    <x v="0"/>
    <s v="South"/>
    <s v="Mobile"/>
    <s v="Referral"/>
    <s v="Basic"/>
    <n v="0"/>
    <n v="0"/>
    <n v="0"/>
    <n v="0"/>
    <n v="0"/>
    <n v="0"/>
    <n v="0"/>
    <m/>
    <n v="36.1"/>
  </r>
  <r>
    <s v="USR-100124"/>
    <d v="2025-05-30T00:00:00"/>
    <x v="0"/>
    <s v="West"/>
    <s v="UNKNOWN"/>
    <s v="Email"/>
    <s v="Basic"/>
    <n v="1"/>
    <n v="1"/>
    <n v="0"/>
    <n v="0"/>
    <n v="0"/>
    <n v="0"/>
    <n v="0"/>
    <m/>
    <n v="47.9"/>
  </r>
  <r>
    <s v="USR-100125"/>
    <d v="2025-05-18T00:00:00"/>
    <x v="0"/>
    <s v="West"/>
    <s v="Desktop"/>
    <s v="Organic"/>
    <s v="Premium"/>
    <n v="1"/>
    <n v="0"/>
    <n v="0"/>
    <n v="0"/>
    <n v="0"/>
    <n v="0"/>
    <n v="0"/>
    <m/>
    <n v="62.5"/>
  </r>
  <r>
    <s v="USR-100126"/>
    <d v="2025-01-13T00:00:00"/>
    <x v="0"/>
    <s v="South"/>
    <s v="Desktop"/>
    <s v="Paid Search"/>
    <s v="Premium"/>
    <n v="1"/>
    <n v="0"/>
    <n v="0"/>
    <n v="0"/>
    <n v="0"/>
    <n v="0"/>
    <n v="0"/>
    <m/>
    <n v="56.9"/>
  </r>
  <r>
    <s v="USR-100127"/>
    <d v="2025-03-25T00:00:00"/>
    <x v="0"/>
    <s v="North"/>
    <s v="Desktop"/>
    <s v="Email"/>
    <s v="Free"/>
    <n v="0"/>
    <n v="0"/>
    <n v="0"/>
    <n v="0"/>
    <n v="0"/>
    <n v="0"/>
    <n v="0"/>
    <m/>
    <n v="64.7"/>
  </r>
  <r>
    <s v="USR-100128"/>
    <d v="2025-04-29T00:00:00"/>
    <x v="0"/>
    <s v="South"/>
    <s v="Desktop"/>
    <s v="Organic"/>
    <s v="Free"/>
    <n v="1"/>
    <n v="1"/>
    <n v="1"/>
    <n v="0"/>
    <n v="0"/>
    <n v="0"/>
    <n v="0"/>
    <m/>
    <n v="64"/>
  </r>
  <r>
    <s v="USR-100129"/>
    <d v="2025-05-17T00:00:00"/>
    <x v="0"/>
    <s v="East"/>
    <s v="Mobile"/>
    <s v="Referral"/>
    <s v="Basic"/>
    <n v="1"/>
    <n v="1"/>
    <n v="1"/>
    <n v="0"/>
    <n v="0"/>
    <n v="0"/>
    <n v="0"/>
    <m/>
    <n v="75.2"/>
  </r>
  <r>
    <s v="USR-100130"/>
    <d v="2025-01-02T00:00:00"/>
    <x v="0"/>
    <s v="North"/>
    <s v="Mobile"/>
    <s v="Paid Search"/>
    <s v="Free"/>
    <n v="1"/>
    <n v="0"/>
    <n v="0"/>
    <n v="0"/>
    <n v="0"/>
    <n v="1"/>
    <n v="0"/>
    <m/>
    <n v="79"/>
  </r>
  <r>
    <s v="USR-100131"/>
    <d v="2025-02-03T00:00:00"/>
    <x v="0"/>
    <s v="South"/>
    <s v="Mobile"/>
    <s v="Organic"/>
    <s v="Free"/>
    <n v="0"/>
    <n v="0"/>
    <n v="0"/>
    <n v="0"/>
    <n v="0"/>
    <n v="0"/>
    <n v="0"/>
    <m/>
    <n v="33"/>
  </r>
  <r>
    <s v="USR-100132"/>
    <d v="2025-03-04T00:00:00"/>
    <x v="0"/>
    <s v="East"/>
    <s v="Mobile"/>
    <s v="Organic"/>
    <s v="Free"/>
    <n v="1"/>
    <n v="0"/>
    <n v="0"/>
    <n v="0"/>
    <n v="0"/>
    <n v="0"/>
    <n v="0"/>
    <m/>
    <n v="67.900000000000006"/>
  </r>
  <r>
    <s v="USR-100133"/>
    <d v="2025-01-26T00:00:00"/>
    <x v="0"/>
    <s v="South"/>
    <s v="Mobile"/>
    <s v="Paid Search"/>
    <s v="Basic"/>
    <n v="0"/>
    <n v="0"/>
    <n v="0"/>
    <n v="0"/>
    <n v="0"/>
    <n v="0"/>
    <n v="0"/>
    <m/>
    <n v="42.2"/>
  </r>
  <r>
    <s v="USR-100134"/>
    <d v="2025-05-12T00:00:00"/>
    <x v="0"/>
    <s v="West"/>
    <s v="Mobile"/>
    <s v="Paid Search"/>
    <s v="Basic"/>
    <n v="1"/>
    <n v="1"/>
    <n v="1"/>
    <n v="0"/>
    <n v="0"/>
    <n v="0"/>
    <n v="0"/>
    <m/>
    <n v="43.4"/>
  </r>
  <r>
    <s v="USR-100135"/>
    <d v="2025-03-06T00:00:00"/>
    <x v="0"/>
    <s v="North"/>
    <s v="Mobile"/>
    <s v="Organic"/>
    <s v="Basic"/>
    <n v="0"/>
    <n v="0"/>
    <n v="0"/>
    <n v="0"/>
    <n v="0"/>
    <n v="0"/>
    <n v="0"/>
    <m/>
    <n v="54.4"/>
  </r>
  <r>
    <s v="USR-100136"/>
    <d v="2025-03-10T00:00:00"/>
    <x v="0"/>
    <s v="South"/>
    <s v="Desktop"/>
    <s v="Email"/>
    <s v="Premium"/>
    <n v="0"/>
    <n v="0"/>
    <n v="0"/>
    <n v="0"/>
    <n v="0"/>
    <n v="0"/>
    <n v="0"/>
    <m/>
    <n v="45.7"/>
  </r>
  <r>
    <s v="USR-100137"/>
    <d v="2025-05-06T00:00:00"/>
    <x v="0"/>
    <s v="North"/>
    <s v="Mobile"/>
    <s v="Paid Search"/>
    <s v="Free"/>
    <n v="0"/>
    <n v="0"/>
    <n v="0"/>
    <n v="0"/>
    <n v="0"/>
    <n v="3"/>
    <n v="0"/>
    <m/>
    <n v="32"/>
  </r>
  <r>
    <s v="USR-100138"/>
    <d v="2025-02-23T00:00:00"/>
    <x v="0"/>
    <s v="South"/>
    <s v="Desktop"/>
    <s v="Paid Search"/>
    <s v="Free"/>
    <n v="1"/>
    <n v="0"/>
    <n v="0"/>
    <n v="0"/>
    <n v="0"/>
    <n v="0"/>
    <n v="0"/>
    <m/>
    <n v="70.900000000000006"/>
  </r>
  <r>
    <s v="USR-100139"/>
    <d v="2025-01-29T00:00:00"/>
    <x v="0"/>
    <s v="West"/>
    <s v="Mobile"/>
    <s v="Social"/>
    <s v="Basic"/>
    <n v="1"/>
    <n v="1"/>
    <n v="1"/>
    <n v="0"/>
    <n v="0"/>
    <n v="0"/>
    <n v="0"/>
    <m/>
    <n v="59.1"/>
  </r>
  <r>
    <s v="USR-100140"/>
    <d v="2025-01-31T00:00:00"/>
    <x v="0"/>
    <s v="North"/>
    <s v="Mobile"/>
    <s v="Organic"/>
    <s v="Basic"/>
    <n v="0"/>
    <n v="0"/>
    <n v="0"/>
    <n v="0"/>
    <n v="0"/>
    <n v="0"/>
    <n v="0"/>
    <m/>
    <n v="62.4"/>
  </r>
  <r>
    <s v="USR-100141"/>
    <d v="2025-01-19T00:00:00"/>
    <x v="0"/>
    <s v="South"/>
    <s v="Mobile"/>
    <s v="Organic"/>
    <s v="Free"/>
    <n v="0"/>
    <n v="0"/>
    <n v="0"/>
    <n v="0"/>
    <n v="0"/>
    <n v="0"/>
    <n v="0"/>
    <m/>
    <n v="49.6"/>
  </r>
  <r>
    <s v="USR-100142"/>
    <d v="2025-04-03T00:00:00"/>
    <x v="0"/>
    <s v="West"/>
    <s v="Desktop"/>
    <s v="Social"/>
    <s v="Free"/>
    <n v="1"/>
    <n v="1"/>
    <n v="1"/>
    <n v="1"/>
    <n v="404.4"/>
    <n v="0"/>
    <n v="0"/>
    <n v="9"/>
    <n v="80.599999999999994"/>
  </r>
  <r>
    <s v="USR-100143"/>
    <d v="2025-04-07T00:00:00"/>
    <x v="0"/>
    <s v="North"/>
    <s v="Mobile"/>
    <s v="Paid Search"/>
    <s v="Free"/>
    <n v="1"/>
    <n v="0"/>
    <n v="0"/>
    <n v="0"/>
    <n v="0"/>
    <n v="0"/>
    <n v="0"/>
    <m/>
    <n v="47.9"/>
  </r>
  <r>
    <s v="USR-100144"/>
    <d v="2025-01-06T00:00:00"/>
    <x v="0"/>
    <s v="East"/>
    <s v="Mobile"/>
    <s v="Paid Search"/>
    <s v="Basic"/>
    <n v="1"/>
    <n v="1"/>
    <n v="0"/>
    <n v="0"/>
    <n v="0"/>
    <n v="0"/>
    <n v="0"/>
    <m/>
    <n v="54.8"/>
  </r>
  <r>
    <s v="USR-100145"/>
    <d v="2025-04-11T00:00:00"/>
    <x v="0"/>
    <s v="East"/>
    <s v="Mobile"/>
    <s v="Organic"/>
    <s v="Free"/>
    <n v="1"/>
    <n v="0"/>
    <n v="0"/>
    <n v="0"/>
    <n v="0"/>
    <n v="1"/>
    <n v="0"/>
    <m/>
    <n v="53.9"/>
  </r>
  <r>
    <s v="USR-100146"/>
    <d v="2025-04-23T00:00:00"/>
    <x v="0"/>
    <s v="East"/>
    <s v="Mobile"/>
    <s v="Paid Search"/>
    <s v="Free"/>
    <n v="1"/>
    <n v="0"/>
    <n v="0"/>
    <n v="0"/>
    <n v="0"/>
    <n v="0"/>
    <n v="0"/>
    <m/>
    <n v="41.3"/>
  </r>
  <r>
    <s v="USR-100147"/>
    <d v="2025-03-25T00:00:00"/>
    <x v="0"/>
    <s v="West"/>
    <s v="Mobile"/>
    <s v="Organic"/>
    <s v="Basic"/>
    <n v="1"/>
    <n v="1"/>
    <n v="0"/>
    <n v="0"/>
    <n v="0"/>
    <n v="0"/>
    <n v="0"/>
    <m/>
    <n v="38.9"/>
  </r>
  <r>
    <s v="USR-100148"/>
    <d v="2025-05-25T00:00:00"/>
    <x v="0"/>
    <s v="South"/>
    <s v="Desktop"/>
    <s v="Organic"/>
    <s v="Basic"/>
    <n v="1"/>
    <n v="0"/>
    <n v="0"/>
    <n v="0"/>
    <n v="0"/>
    <n v="0"/>
    <n v="0"/>
    <m/>
    <n v="63.6"/>
  </r>
  <r>
    <s v="USR-100149"/>
    <d v="2025-01-28T00:00:00"/>
    <x v="0"/>
    <s v="North"/>
    <s v="Mobile"/>
    <s v="Organic"/>
    <s v="Free"/>
    <n v="1"/>
    <n v="1"/>
    <n v="1"/>
    <n v="1"/>
    <n v="577.94000000000005"/>
    <n v="0"/>
    <n v="0"/>
    <n v="9"/>
    <n v="76.599999999999994"/>
  </r>
  <r>
    <s v="USR-100150"/>
    <d v="2025-02-12T00:00:00"/>
    <x v="0"/>
    <s v="West"/>
    <s v="Mobile"/>
    <s v="Paid Search"/>
    <s v="Premium"/>
    <n v="0"/>
    <n v="0"/>
    <n v="0"/>
    <n v="0"/>
    <n v="0"/>
    <n v="1"/>
    <n v="0"/>
    <m/>
    <n v="67.599999999999994"/>
  </r>
  <r>
    <s v="USR-100151"/>
    <d v="2025-04-29T00:00:00"/>
    <x v="0"/>
    <s v="North"/>
    <s v="Mobile"/>
    <s v="Social"/>
    <s v="Premium"/>
    <n v="1"/>
    <n v="0"/>
    <n v="0"/>
    <n v="0"/>
    <n v="0"/>
    <n v="0"/>
    <n v="0"/>
    <m/>
    <n v="43.1"/>
  </r>
  <r>
    <s v="USR-100152"/>
    <d v="2025-03-13T00:00:00"/>
    <x v="0"/>
    <s v="South"/>
    <s v="Mobile"/>
    <s v="Email"/>
    <s v="Free"/>
    <n v="1"/>
    <n v="0"/>
    <n v="0"/>
    <n v="0"/>
    <n v="0"/>
    <n v="0"/>
    <n v="0"/>
    <m/>
    <n v="58.3"/>
  </r>
  <r>
    <s v="USR-100153"/>
    <d v="2025-02-04T00:00:00"/>
    <x v="0"/>
    <s v="East"/>
    <s v="Desktop"/>
    <s v="Paid Search"/>
    <s v="Free"/>
    <n v="1"/>
    <n v="0"/>
    <n v="0"/>
    <n v="0"/>
    <n v="0"/>
    <n v="0"/>
    <n v="0"/>
    <m/>
    <n v="69.8"/>
  </r>
  <r>
    <s v="USR-100154"/>
    <d v="2025-03-04T00:00:00"/>
    <x v="0"/>
    <s v="South"/>
    <s v="Mobile"/>
    <s v="Referral"/>
    <s v="Free"/>
    <n v="1"/>
    <n v="1"/>
    <n v="0"/>
    <n v="0"/>
    <n v="0"/>
    <n v="0"/>
    <n v="0"/>
    <m/>
    <n v="60.02"/>
  </r>
  <r>
    <s v="USR-100155"/>
    <d v="2025-02-04T00:00:00"/>
    <x v="0"/>
    <s v="West"/>
    <s v="Mobile"/>
    <s v="Paid Search"/>
    <s v="Basic"/>
    <n v="1"/>
    <n v="1"/>
    <n v="0"/>
    <n v="0"/>
    <n v="0"/>
    <n v="0"/>
    <n v="0"/>
    <m/>
    <n v="41.9"/>
  </r>
  <r>
    <s v="USR-100156"/>
    <d v="2025-03-11T00:00:00"/>
    <x v="0"/>
    <s v="North"/>
    <s v="Desktop"/>
    <s v="Organic"/>
    <s v="Free"/>
    <n v="0"/>
    <n v="0"/>
    <n v="0"/>
    <n v="0"/>
    <n v="0"/>
    <n v="0"/>
    <n v="0"/>
    <m/>
    <n v="33.1"/>
  </r>
  <r>
    <s v="USR-100157"/>
    <d v="2025-04-22T00:00:00"/>
    <x v="0"/>
    <s v="West"/>
    <s v="Mobile"/>
    <s v="Organic"/>
    <s v="Free"/>
    <n v="0"/>
    <n v="0"/>
    <n v="0"/>
    <n v="0"/>
    <n v="0"/>
    <n v="0"/>
    <n v="0"/>
    <m/>
    <n v="58.6"/>
  </r>
  <r>
    <s v="USR-100158"/>
    <d v="2025-03-08T00:00:00"/>
    <x v="0"/>
    <s v="North"/>
    <s v="Desktop"/>
    <s v="Paid Search"/>
    <s v="Free"/>
    <n v="0"/>
    <n v="0"/>
    <n v="0"/>
    <n v="0"/>
    <n v="0"/>
    <n v="0"/>
    <n v="0"/>
    <m/>
    <n v="55.7"/>
  </r>
  <r>
    <s v="USR-100159"/>
    <d v="2025-03-10T00:00:00"/>
    <x v="0"/>
    <s v="East"/>
    <s v="Mobile"/>
    <s v="Organic"/>
    <s v="Free"/>
    <n v="0"/>
    <n v="0"/>
    <n v="0"/>
    <n v="0"/>
    <n v="0"/>
    <n v="2"/>
    <n v="0"/>
    <m/>
    <n v="64.900000000000006"/>
  </r>
  <r>
    <s v="USR-100160"/>
    <d v="2025-05-18T00:00:00"/>
    <x v="0"/>
    <s v="North"/>
    <s v="Desktop"/>
    <s v="Paid Search"/>
    <s v="Basic"/>
    <n v="0"/>
    <n v="0"/>
    <n v="0"/>
    <n v="0"/>
    <n v="0"/>
    <n v="0"/>
    <n v="0"/>
    <m/>
    <n v="72.3"/>
  </r>
  <r>
    <s v="USR-100161"/>
    <d v="2025-05-14T00:00:00"/>
    <x v="0"/>
    <s v="North"/>
    <s v="Mobile"/>
    <s v="Social"/>
    <s v="Basic"/>
    <n v="0"/>
    <n v="0"/>
    <n v="0"/>
    <n v="0"/>
    <n v="0"/>
    <n v="0"/>
    <n v="0"/>
    <m/>
    <n v="42.1"/>
  </r>
  <r>
    <s v="USR-100162"/>
    <d v="2025-02-01T00:00:00"/>
    <x v="0"/>
    <s v="North"/>
    <s v="Mobile"/>
    <s v="Organic"/>
    <s v="Free"/>
    <n v="0"/>
    <n v="0"/>
    <n v="0"/>
    <n v="0"/>
    <n v="0"/>
    <n v="0"/>
    <n v="0"/>
    <m/>
    <n v="60.02"/>
  </r>
  <r>
    <s v="USR-100163"/>
    <d v="2025-04-11T00:00:00"/>
    <x v="0"/>
    <s v="South"/>
    <s v="Mobile"/>
    <s v="Organic"/>
    <s v="Basic"/>
    <n v="0"/>
    <n v="0"/>
    <n v="0"/>
    <n v="0"/>
    <n v="0"/>
    <n v="1"/>
    <n v="0"/>
    <m/>
    <n v="64.8"/>
  </r>
  <r>
    <s v="USR-100164"/>
    <d v="2025-02-14T00:00:00"/>
    <x v="0"/>
    <s v="East"/>
    <s v="Mobile"/>
    <s v="Organic"/>
    <s v="Free"/>
    <n v="0"/>
    <n v="0"/>
    <n v="0"/>
    <n v="0"/>
    <n v="0"/>
    <n v="0"/>
    <n v="0"/>
    <m/>
    <n v="72.099999999999994"/>
  </r>
  <r>
    <s v="USR-100165"/>
    <d v="2025-05-19T00:00:00"/>
    <x v="0"/>
    <s v="East"/>
    <s v="Mobile"/>
    <s v="Social"/>
    <s v="Free"/>
    <n v="1"/>
    <n v="0"/>
    <n v="0"/>
    <n v="0"/>
    <n v="0"/>
    <n v="0"/>
    <n v="0"/>
    <m/>
    <n v="50.6"/>
  </r>
  <r>
    <s v="USR-100166"/>
    <d v="2025-04-26T00:00:00"/>
    <x v="0"/>
    <s v="North"/>
    <s v="Desktop"/>
    <s v="Paid Search"/>
    <s v="Basic"/>
    <n v="1"/>
    <n v="1"/>
    <n v="1"/>
    <n v="1"/>
    <n v="1281.25"/>
    <n v="1"/>
    <n v="0"/>
    <n v="9"/>
    <n v="43.4"/>
  </r>
  <r>
    <s v="USR-100167"/>
    <d v="2025-04-06T00:00:00"/>
    <x v="0"/>
    <s v="South"/>
    <s v="Mobile"/>
    <s v="Social"/>
    <s v="Free"/>
    <n v="1"/>
    <n v="0"/>
    <n v="0"/>
    <n v="0"/>
    <n v="0"/>
    <n v="0"/>
    <n v="0"/>
    <m/>
    <n v="59.7"/>
  </r>
  <r>
    <s v="USR-100168"/>
    <d v="2025-03-06T00:00:00"/>
    <x v="0"/>
    <s v="South"/>
    <s v="Mobile"/>
    <s v="Paid Search"/>
    <s v="Free"/>
    <n v="1"/>
    <n v="0"/>
    <n v="0"/>
    <n v="0"/>
    <n v="0"/>
    <n v="1"/>
    <n v="0"/>
    <m/>
    <n v="60.02"/>
  </r>
  <r>
    <s v="USR-100169"/>
    <d v="2025-03-10T00:00:00"/>
    <x v="0"/>
    <s v="West"/>
    <s v="Mobile"/>
    <s v="Social"/>
    <s v="Basic"/>
    <n v="0"/>
    <n v="0"/>
    <n v="0"/>
    <n v="0"/>
    <n v="0"/>
    <n v="0"/>
    <n v="0"/>
    <m/>
    <n v="54.5"/>
  </r>
  <r>
    <s v="USR-100170"/>
    <d v="2025-03-30T00:00:00"/>
    <x v="0"/>
    <s v="North"/>
    <s v="Mobile"/>
    <s v="Organic"/>
    <s v="Free"/>
    <n v="1"/>
    <n v="0"/>
    <n v="0"/>
    <n v="0"/>
    <n v="0"/>
    <n v="0"/>
    <n v="0"/>
    <m/>
    <n v="71.099999999999994"/>
  </r>
  <r>
    <s v="USR-100171"/>
    <d v="2025-05-29T00:00:00"/>
    <x v="0"/>
    <s v="East"/>
    <s v="UNKNOWN"/>
    <s v="Paid Search"/>
    <s v="Free"/>
    <n v="1"/>
    <n v="1"/>
    <n v="1"/>
    <n v="0"/>
    <n v="0"/>
    <n v="0"/>
    <n v="0"/>
    <m/>
    <n v="44.4"/>
  </r>
  <r>
    <s v="USR-100172"/>
    <d v="2025-03-23T00:00:00"/>
    <x v="0"/>
    <s v="North"/>
    <s v="Mobile"/>
    <s v="Organic"/>
    <s v="Free"/>
    <n v="1"/>
    <n v="0"/>
    <n v="0"/>
    <n v="0"/>
    <n v="0"/>
    <n v="0"/>
    <n v="0"/>
    <m/>
    <n v="61.7"/>
  </r>
  <r>
    <s v="USR-100173"/>
    <d v="2025-02-18T00:00:00"/>
    <x v="0"/>
    <s v="North"/>
    <s v="Tablet"/>
    <s v="Organic"/>
    <s v="Basic"/>
    <n v="0"/>
    <n v="0"/>
    <n v="0"/>
    <n v="0"/>
    <n v="0"/>
    <n v="1"/>
    <n v="0"/>
    <m/>
    <n v="81.3"/>
  </r>
  <r>
    <s v="USR-100174"/>
    <d v="2025-01-26T00:00:00"/>
    <x v="0"/>
    <s v="North"/>
    <s v="Desktop"/>
    <s v="Email"/>
    <s v="Free"/>
    <n v="1"/>
    <n v="0"/>
    <n v="0"/>
    <n v="0"/>
    <n v="0"/>
    <n v="2"/>
    <n v="0"/>
    <m/>
    <n v="28.7"/>
  </r>
  <r>
    <s v="USR-100175"/>
    <d v="2025-04-23T00:00:00"/>
    <x v="0"/>
    <s v="East"/>
    <s v="Mobile"/>
    <s v="Social"/>
    <s v="Basic"/>
    <n v="0"/>
    <n v="0"/>
    <n v="0"/>
    <n v="0"/>
    <n v="0"/>
    <n v="0"/>
    <n v="0"/>
    <m/>
    <n v="53"/>
  </r>
  <r>
    <s v="USR-100176"/>
    <d v="2025-03-16T00:00:00"/>
    <x v="0"/>
    <s v="South"/>
    <s v="Tablet"/>
    <s v="Referral"/>
    <s v="Basic"/>
    <n v="1"/>
    <n v="0"/>
    <n v="0"/>
    <n v="0"/>
    <n v="0"/>
    <n v="0"/>
    <n v="0"/>
    <m/>
    <n v="54.9"/>
  </r>
  <r>
    <s v="USR-100177"/>
    <d v="2025-04-29T00:00:00"/>
    <x v="0"/>
    <s v="West"/>
    <s v="Mobile"/>
    <s v="Organic"/>
    <s v="Basic"/>
    <n v="1"/>
    <n v="0"/>
    <n v="0"/>
    <n v="0"/>
    <n v="0"/>
    <n v="0"/>
    <n v="0"/>
    <m/>
    <n v="58.2"/>
  </r>
  <r>
    <s v="USR-100178"/>
    <d v="2025-04-06T00:00:00"/>
    <x v="0"/>
    <s v="North"/>
    <s v="Mobile"/>
    <s v="Organic"/>
    <s v="Free"/>
    <n v="0"/>
    <n v="0"/>
    <n v="0"/>
    <n v="0"/>
    <n v="0"/>
    <n v="0"/>
    <n v="0"/>
    <m/>
    <n v="80.599999999999994"/>
  </r>
  <r>
    <s v="USR-100179"/>
    <d v="2025-04-17T00:00:00"/>
    <x v="0"/>
    <s v="North"/>
    <s v="Desktop"/>
    <s v="Referral"/>
    <s v="Premium"/>
    <n v="1"/>
    <n v="1"/>
    <n v="1"/>
    <n v="0"/>
    <n v="0"/>
    <n v="0"/>
    <n v="0"/>
    <m/>
    <n v="38.4"/>
  </r>
  <r>
    <s v="USR-100180"/>
    <d v="2025-04-03T00:00:00"/>
    <x v="0"/>
    <s v="South"/>
    <s v="Mobile"/>
    <s v="Paid Search"/>
    <s v="Free"/>
    <n v="1"/>
    <n v="0"/>
    <n v="0"/>
    <n v="0"/>
    <n v="0"/>
    <n v="0"/>
    <n v="0"/>
    <m/>
    <n v="56.1"/>
  </r>
  <r>
    <s v="USR-100181"/>
    <d v="2025-04-25T00:00:00"/>
    <x v="0"/>
    <s v="West"/>
    <s v="Mobile"/>
    <s v="Paid Search"/>
    <s v="Free"/>
    <n v="0"/>
    <n v="0"/>
    <n v="0"/>
    <n v="0"/>
    <n v="0"/>
    <n v="0"/>
    <n v="0"/>
    <m/>
    <n v="62.6"/>
  </r>
  <r>
    <s v="USR-100182"/>
    <d v="2025-04-30T00:00:00"/>
    <x v="0"/>
    <s v="South"/>
    <s v="Mobile"/>
    <s v="Organic"/>
    <s v="Premium"/>
    <n v="0"/>
    <n v="0"/>
    <n v="0"/>
    <n v="0"/>
    <n v="0"/>
    <n v="0"/>
    <n v="0"/>
    <m/>
    <n v="36.299999999999997"/>
  </r>
  <r>
    <s v="USR-100183"/>
    <d v="2025-03-12T00:00:00"/>
    <x v="0"/>
    <s v="South"/>
    <s v="Mobile"/>
    <s v="Paid Search"/>
    <s v="Free"/>
    <n v="1"/>
    <n v="0"/>
    <n v="0"/>
    <n v="0"/>
    <n v="0"/>
    <n v="0"/>
    <n v="0"/>
    <m/>
    <n v="52.1"/>
  </r>
  <r>
    <s v="USR-100184"/>
    <d v="2025-05-04T00:00:00"/>
    <x v="0"/>
    <s v="South"/>
    <s v="Mobile"/>
    <s v="Organic"/>
    <s v="Free"/>
    <n v="1"/>
    <n v="0"/>
    <n v="0"/>
    <n v="0"/>
    <n v="0"/>
    <n v="0"/>
    <n v="0"/>
    <m/>
    <n v="45.1"/>
  </r>
  <r>
    <s v="USR-100185"/>
    <d v="2025-02-07T00:00:00"/>
    <x v="0"/>
    <s v="South"/>
    <s v="Tablet"/>
    <s v="Paid Search"/>
    <s v="Premium"/>
    <n v="0"/>
    <n v="0"/>
    <n v="0"/>
    <n v="0"/>
    <n v="0"/>
    <n v="0"/>
    <n v="0"/>
    <m/>
    <n v="67.5"/>
  </r>
  <r>
    <s v="USR-100186"/>
    <d v="2025-04-28T00:00:00"/>
    <x v="0"/>
    <s v="East"/>
    <s v="Tablet"/>
    <s v="Email"/>
    <s v="Basic"/>
    <n v="1"/>
    <n v="1"/>
    <n v="1"/>
    <n v="0"/>
    <n v="0"/>
    <n v="0"/>
    <n v="0"/>
    <m/>
    <n v="80"/>
  </r>
  <r>
    <s v="USR-100187"/>
    <d v="2025-05-15T00:00:00"/>
    <x v="0"/>
    <s v="East"/>
    <s v="Desktop"/>
    <s v="Referral"/>
    <s v="Free"/>
    <n v="0"/>
    <n v="0"/>
    <n v="0"/>
    <n v="0"/>
    <n v="0"/>
    <n v="0"/>
    <n v="0"/>
    <m/>
    <n v="56.4"/>
  </r>
  <r>
    <s v="USR-100188"/>
    <d v="2025-01-18T00:00:00"/>
    <x v="0"/>
    <s v="West"/>
    <s v="Mobile"/>
    <s v="Paid Search"/>
    <s v="Basic"/>
    <n v="0"/>
    <n v="0"/>
    <n v="0"/>
    <n v="0"/>
    <n v="0"/>
    <n v="0"/>
    <n v="0"/>
    <m/>
    <n v="55.4"/>
  </r>
  <r>
    <s v="USR-100189"/>
    <d v="2025-02-15T00:00:00"/>
    <x v="0"/>
    <s v="South"/>
    <s v="Mobile"/>
    <s v="Social"/>
    <s v="Basic"/>
    <n v="1"/>
    <n v="0"/>
    <n v="0"/>
    <n v="0"/>
    <n v="0"/>
    <n v="0"/>
    <n v="0"/>
    <m/>
    <n v="67.900000000000006"/>
  </r>
  <r>
    <s v="USR-100190"/>
    <d v="2025-02-18T00:00:00"/>
    <x v="0"/>
    <s v="North"/>
    <s v="Tablet"/>
    <s v="Email"/>
    <s v="Free"/>
    <n v="1"/>
    <n v="0"/>
    <n v="0"/>
    <n v="0"/>
    <n v="0"/>
    <n v="0"/>
    <n v="0"/>
    <m/>
    <n v="62.5"/>
  </r>
  <r>
    <s v="USR-100191"/>
    <d v="2025-01-30T00:00:00"/>
    <x v="0"/>
    <s v="South"/>
    <s v="Desktop"/>
    <s v="Email"/>
    <s v="Basic"/>
    <n v="1"/>
    <n v="1"/>
    <n v="1"/>
    <n v="0"/>
    <n v="0"/>
    <n v="0"/>
    <n v="0"/>
    <m/>
    <n v="54.3"/>
  </r>
  <r>
    <s v="USR-100192"/>
    <d v="2025-02-09T00:00:00"/>
    <x v="0"/>
    <s v="South"/>
    <s v="Desktop"/>
    <s v="Organic"/>
    <s v="Basic"/>
    <n v="1"/>
    <n v="0"/>
    <n v="0"/>
    <n v="0"/>
    <n v="0"/>
    <n v="0"/>
    <n v="0"/>
    <m/>
    <n v="37.5"/>
  </r>
  <r>
    <s v="USR-100193"/>
    <d v="2025-03-16T00:00:00"/>
    <x v="0"/>
    <s v="West"/>
    <s v="Mobile"/>
    <s v="Paid Search"/>
    <s v="Basic"/>
    <n v="1"/>
    <n v="0"/>
    <n v="0"/>
    <n v="0"/>
    <n v="0"/>
    <n v="0"/>
    <n v="0"/>
    <m/>
    <n v="52.6"/>
  </r>
  <r>
    <s v="USR-100194"/>
    <d v="2025-05-19T00:00:00"/>
    <x v="0"/>
    <s v="North"/>
    <s v="Mobile"/>
    <s v="Paid Search"/>
    <s v="Free"/>
    <n v="1"/>
    <n v="0"/>
    <n v="0"/>
    <n v="0"/>
    <n v="0"/>
    <n v="0"/>
    <n v="0"/>
    <m/>
    <n v="46.1"/>
  </r>
  <r>
    <s v="USR-100195"/>
    <d v="2025-05-16T00:00:00"/>
    <x v="0"/>
    <s v="South"/>
    <s v="Desktop"/>
    <s v="Organic"/>
    <s v="Basic"/>
    <n v="1"/>
    <n v="0"/>
    <n v="0"/>
    <n v="0"/>
    <n v="0"/>
    <n v="0"/>
    <n v="0"/>
    <m/>
    <n v="54.7"/>
  </r>
  <r>
    <s v="USR-100196"/>
    <d v="2025-04-25T00:00:00"/>
    <x v="0"/>
    <s v="West"/>
    <s v="Desktop"/>
    <s v="Referral"/>
    <s v="Basic"/>
    <n v="0"/>
    <n v="0"/>
    <n v="0"/>
    <n v="0"/>
    <n v="0"/>
    <n v="0"/>
    <n v="0"/>
    <m/>
    <n v="74.2"/>
  </r>
  <r>
    <s v="USR-100197"/>
    <d v="2025-02-27T00:00:00"/>
    <x v="0"/>
    <s v="North"/>
    <s v="Mobile"/>
    <s v="Social"/>
    <s v="Basic"/>
    <n v="1"/>
    <n v="1"/>
    <n v="1"/>
    <n v="1"/>
    <n v="1052.8"/>
    <n v="2"/>
    <n v="0"/>
    <n v="6"/>
    <n v="64.7"/>
  </r>
  <r>
    <s v="USR-100198"/>
    <d v="2025-04-26T00:00:00"/>
    <x v="0"/>
    <s v="South"/>
    <s v="Mobile"/>
    <s v="Paid Search"/>
    <s v="Basic"/>
    <n v="0"/>
    <n v="0"/>
    <n v="0"/>
    <n v="0"/>
    <n v="0"/>
    <n v="0"/>
    <n v="0"/>
    <m/>
    <n v="65.900000000000006"/>
  </r>
  <r>
    <s v="USR-100199"/>
    <d v="2025-05-14T00:00:00"/>
    <x v="0"/>
    <s v="North"/>
    <s v="Mobile"/>
    <s v="Organic"/>
    <s v="Basic"/>
    <n v="1"/>
    <n v="0"/>
    <n v="0"/>
    <n v="0"/>
    <n v="0"/>
    <n v="0"/>
    <n v="0"/>
    <m/>
    <n v="64"/>
  </r>
  <r>
    <s v="USR-100200"/>
    <d v="2025-03-05T00:00:00"/>
    <x v="0"/>
    <s v="North"/>
    <s v="Mobile"/>
    <s v="Organic"/>
    <s v="Premium"/>
    <n v="1"/>
    <n v="0"/>
    <n v="0"/>
    <n v="0"/>
    <n v="0"/>
    <n v="0"/>
    <n v="0"/>
    <m/>
    <n v="57.2"/>
  </r>
  <r>
    <s v="USR-100201"/>
    <d v="2025-04-02T00:00:00"/>
    <x v="0"/>
    <s v="West"/>
    <s v="Desktop"/>
    <s v="Organic"/>
    <s v="Free"/>
    <n v="1"/>
    <n v="0"/>
    <n v="0"/>
    <n v="0"/>
    <n v="0"/>
    <n v="0"/>
    <n v="0"/>
    <m/>
    <n v="80.5"/>
  </r>
  <r>
    <s v="USR-100202"/>
    <d v="2025-05-14T00:00:00"/>
    <x v="0"/>
    <s v="South"/>
    <s v="Tablet"/>
    <s v="Organic"/>
    <s v="Free"/>
    <n v="0"/>
    <n v="0"/>
    <n v="0"/>
    <n v="0"/>
    <n v="0"/>
    <n v="0"/>
    <n v="0"/>
    <m/>
    <n v="53.9"/>
  </r>
  <r>
    <s v="USR-100203"/>
    <d v="2025-05-21T00:00:00"/>
    <x v="0"/>
    <s v="North"/>
    <s v="Mobile"/>
    <s v="Paid Search"/>
    <s v="Free"/>
    <n v="1"/>
    <n v="1"/>
    <n v="0"/>
    <n v="0"/>
    <n v="0"/>
    <n v="0"/>
    <n v="0"/>
    <m/>
    <n v="77.5"/>
  </r>
  <r>
    <s v="USR-100204"/>
    <d v="2025-01-27T00:00:00"/>
    <x v="0"/>
    <s v="East"/>
    <s v="Mobile"/>
    <s v="Social"/>
    <s v="Basic"/>
    <n v="0"/>
    <n v="0"/>
    <n v="0"/>
    <n v="0"/>
    <n v="0"/>
    <n v="0"/>
    <n v="0"/>
    <m/>
    <n v="84.2"/>
  </r>
  <r>
    <s v="USR-100205"/>
    <d v="2025-05-22T00:00:00"/>
    <x v="0"/>
    <s v="West"/>
    <s v="Desktop"/>
    <s v="Organic"/>
    <s v="Free"/>
    <n v="1"/>
    <n v="1"/>
    <n v="0"/>
    <n v="0"/>
    <n v="0"/>
    <n v="0"/>
    <n v="0"/>
    <m/>
    <n v="54.9"/>
  </r>
  <r>
    <s v="USR-100206"/>
    <d v="2025-05-19T00:00:00"/>
    <x v="0"/>
    <s v="South"/>
    <s v="Mobile"/>
    <s v="Paid Search"/>
    <s v="Free"/>
    <n v="0"/>
    <n v="0"/>
    <n v="0"/>
    <n v="0"/>
    <n v="0"/>
    <n v="0"/>
    <n v="0"/>
    <m/>
    <n v="69.3"/>
  </r>
  <r>
    <s v="USR-100207"/>
    <d v="2025-01-14T00:00:00"/>
    <x v="0"/>
    <s v="South"/>
    <s v="Desktop"/>
    <s v="Paid Search"/>
    <s v="Free"/>
    <n v="1"/>
    <n v="0"/>
    <n v="0"/>
    <n v="0"/>
    <n v="0"/>
    <n v="2"/>
    <n v="0"/>
    <m/>
    <n v="42.3"/>
  </r>
  <r>
    <s v="USR-100208"/>
    <d v="2025-01-21T00:00:00"/>
    <x v="0"/>
    <s v="North"/>
    <s v="Desktop"/>
    <s v="Referral"/>
    <s v="Premium"/>
    <n v="1"/>
    <n v="0"/>
    <n v="0"/>
    <n v="0"/>
    <n v="0"/>
    <n v="1"/>
    <n v="0"/>
    <m/>
    <n v="69.599999999999994"/>
  </r>
  <r>
    <s v="USR-100209"/>
    <d v="2025-05-16T00:00:00"/>
    <x v="0"/>
    <s v="East"/>
    <s v="Mobile"/>
    <s v="Organic"/>
    <s v="Free"/>
    <n v="0"/>
    <n v="0"/>
    <n v="0"/>
    <n v="0"/>
    <n v="0"/>
    <n v="0"/>
    <n v="0"/>
    <m/>
    <n v="40.700000000000003"/>
  </r>
  <r>
    <s v="USR-100210"/>
    <d v="2025-02-02T00:00:00"/>
    <x v="0"/>
    <s v="North"/>
    <s v="Mobile"/>
    <s v="Email"/>
    <s v="Free"/>
    <n v="1"/>
    <n v="0"/>
    <n v="0"/>
    <n v="0"/>
    <n v="0"/>
    <n v="0"/>
    <n v="0"/>
    <m/>
    <n v="54"/>
  </r>
  <r>
    <s v="USR-100211"/>
    <d v="2025-03-23T00:00:00"/>
    <x v="0"/>
    <s v="East"/>
    <s v="UNKNOWN"/>
    <s v="Referral"/>
    <s v="Free"/>
    <n v="1"/>
    <n v="1"/>
    <n v="1"/>
    <n v="1"/>
    <n v="553.37"/>
    <n v="0"/>
    <n v="0"/>
    <n v="5"/>
    <n v="46.3"/>
  </r>
  <r>
    <s v="USR-100212"/>
    <d v="2025-01-24T00:00:00"/>
    <x v="0"/>
    <s v="East"/>
    <s v="Mobile"/>
    <s v="Organic"/>
    <s v="Free"/>
    <n v="1"/>
    <n v="0"/>
    <n v="0"/>
    <n v="0"/>
    <n v="0"/>
    <n v="0"/>
    <n v="0"/>
    <m/>
    <n v="64.2"/>
  </r>
  <r>
    <s v="USR-100213"/>
    <d v="2025-04-12T00:00:00"/>
    <x v="0"/>
    <s v="North"/>
    <s v="Desktop"/>
    <s v="Organic"/>
    <s v="Free"/>
    <n v="1"/>
    <n v="0"/>
    <n v="0"/>
    <n v="0"/>
    <n v="0"/>
    <n v="0"/>
    <n v="0"/>
    <m/>
    <n v="75.2"/>
  </r>
  <r>
    <s v="USR-100214"/>
    <d v="2025-02-18T00:00:00"/>
    <x v="0"/>
    <s v="East"/>
    <s v="Desktop"/>
    <s v="Paid Search"/>
    <s v="Free"/>
    <n v="1"/>
    <n v="1"/>
    <n v="0"/>
    <n v="0"/>
    <n v="0"/>
    <n v="0"/>
    <n v="0"/>
    <m/>
    <n v="60.9"/>
  </r>
  <r>
    <s v="USR-100215"/>
    <d v="2025-05-28T00:00:00"/>
    <x v="0"/>
    <s v="South"/>
    <s v="Mobile"/>
    <s v="Email"/>
    <s v="Basic"/>
    <n v="1"/>
    <n v="1"/>
    <n v="1"/>
    <n v="0"/>
    <n v="0"/>
    <n v="0"/>
    <n v="0"/>
    <m/>
    <n v="62.1"/>
  </r>
  <r>
    <s v="USR-100216"/>
    <d v="2025-04-18T00:00:00"/>
    <x v="0"/>
    <s v="South"/>
    <s v="Mobile"/>
    <s v="Social"/>
    <s v="Basic"/>
    <n v="0"/>
    <n v="0"/>
    <n v="0"/>
    <n v="0"/>
    <n v="0"/>
    <n v="0"/>
    <n v="0"/>
    <m/>
    <n v="45.4"/>
  </r>
  <r>
    <s v="USR-100217"/>
    <d v="2025-03-27T00:00:00"/>
    <x v="0"/>
    <s v="North"/>
    <s v="Mobile"/>
    <s v="Paid Search"/>
    <s v="Basic"/>
    <n v="1"/>
    <n v="0"/>
    <n v="0"/>
    <n v="0"/>
    <n v="0"/>
    <n v="0"/>
    <n v="0"/>
    <m/>
    <n v="53.3"/>
  </r>
  <r>
    <s v="USR-100218"/>
    <d v="2025-02-25T00:00:00"/>
    <x v="0"/>
    <s v="North"/>
    <s v="Tablet"/>
    <s v="Social"/>
    <s v="Free"/>
    <n v="1"/>
    <n v="0"/>
    <n v="0"/>
    <n v="0"/>
    <n v="0"/>
    <n v="0"/>
    <n v="0"/>
    <m/>
    <n v="60.02"/>
  </r>
  <r>
    <s v="USR-100219"/>
    <d v="2025-02-19T00:00:00"/>
    <x v="0"/>
    <s v="East"/>
    <s v="Mobile"/>
    <s v="Paid Search"/>
    <s v="Free"/>
    <n v="0"/>
    <n v="0"/>
    <n v="0"/>
    <n v="0"/>
    <n v="0"/>
    <n v="1"/>
    <n v="0"/>
    <m/>
    <n v="38.200000000000003"/>
  </r>
  <r>
    <s v="USR-100220"/>
    <d v="2025-04-11T00:00:00"/>
    <x v="0"/>
    <s v="West"/>
    <s v="Mobile"/>
    <s v="Paid Search"/>
    <s v="Free"/>
    <n v="1"/>
    <n v="1"/>
    <n v="0"/>
    <n v="0"/>
    <n v="0"/>
    <n v="3"/>
    <n v="0"/>
    <m/>
    <n v="59"/>
  </r>
  <r>
    <s v="USR-100221"/>
    <d v="2025-01-22T00:00:00"/>
    <x v="0"/>
    <s v="East"/>
    <s v="Tablet"/>
    <s v="Referral"/>
    <s v="Premium"/>
    <n v="1"/>
    <n v="1"/>
    <n v="1"/>
    <n v="0"/>
    <n v="0"/>
    <n v="0"/>
    <n v="0"/>
    <m/>
    <n v="80.599999999999994"/>
  </r>
  <r>
    <s v="USR-100222"/>
    <d v="2025-01-12T00:00:00"/>
    <x v="0"/>
    <s v="South"/>
    <s v="Mobile"/>
    <s v="Social"/>
    <s v="Free"/>
    <n v="1"/>
    <n v="0"/>
    <n v="0"/>
    <n v="0"/>
    <n v="0"/>
    <n v="0"/>
    <n v="0"/>
    <m/>
    <n v="67"/>
  </r>
  <r>
    <s v="USR-100223"/>
    <d v="2025-02-17T00:00:00"/>
    <x v="0"/>
    <s v="West"/>
    <s v="Mobile"/>
    <s v="Email"/>
    <s v="Free"/>
    <n v="1"/>
    <n v="0"/>
    <n v="0"/>
    <n v="0"/>
    <n v="0"/>
    <n v="1"/>
    <n v="0"/>
    <m/>
    <n v="72.099999999999994"/>
  </r>
  <r>
    <s v="USR-100224"/>
    <d v="2025-04-11T00:00:00"/>
    <x v="0"/>
    <s v="West"/>
    <s v="Desktop"/>
    <s v="Organic"/>
    <s v="Free"/>
    <n v="0"/>
    <n v="0"/>
    <n v="0"/>
    <n v="0"/>
    <n v="0"/>
    <n v="0"/>
    <n v="0"/>
    <m/>
    <n v="74.099999999999994"/>
  </r>
  <r>
    <s v="USR-100225"/>
    <d v="2025-05-25T00:00:00"/>
    <x v="0"/>
    <s v="South"/>
    <s v="Mobile"/>
    <s v="Referral"/>
    <s v="Premium"/>
    <n v="0"/>
    <n v="0"/>
    <n v="0"/>
    <n v="0"/>
    <n v="0"/>
    <n v="0"/>
    <n v="0"/>
    <m/>
    <n v="84.8"/>
  </r>
  <r>
    <s v="USR-100226"/>
    <d v="2025-03-12T00:00:00"/>
    <x v="0"/>
    <s v="South"/>
    <s v="Mobile"/>
    <s v="Organic"/>
    <s v="Basic"/>
    <n v="1"/>
    <n v="0"/>
    <n v="0"/>
    <n v="0"/>
    <n v="0"/>
    <n v="0"/>
    <n v="0"/>
    <m/>
    <n v="33"/>
  </r>
  <r>
    <s v="USR-100227"/>
    <d v="2025-04-20T00:00:00"/>
    <x v="0"/>
    <s v="North"/>
    <s v="Tablet"/>
    <s v="Email"/>
    <s v="Free"/>
    <n v="0"/>
    <n v="0"/>
    <n v="0"/>
    <n v="0"/>
    <n v="0"/>
    <n v="0"/>
    <n v="0"/>
    <m/>
    <n v="52.5"/>
  </r>
  <r>
    <s v="USR-100228"/>
    <d v="2025-02-23T00:00:00"/>
    <x v="0"/>
    <s v="North"/>
    <s v="Tablet"/>
    <s v="Organic"/>
    <s v="Free"/>
    <n v="0"/>
    <n v="0"/>
    <n v="0"/>
    <n v="0"/>
    <n v="0"/>
    <n v="0"/>
    <n v="0"/>
    <m/>
    <n v="66.900000000000006"/>
  </r>
  <r>
    <s v="USR-100229"/>
    <d v="2025-01-24T00:00:00"/>
    <x v="0"/>
    <s v="North"/>
    <s v="Mobile"/>
    <s v="Organic"/>
    <s v="Basic"/>
    <n v="1"/>
    <n v="1"/>
    <n v="1"/>
    <n v="0"/>
    <n v="0"/>
    <n v="1"/>
    <n v="0"/>
    <m/>
    <n v="32.700000000000003"/>
  </r>
  <r>
    <s v="USR-100230"/>
    <d v="2025-01-16T00:00:00"/>
    <x v="0"/>
    <s v="West"/>
    <s v="Mobile"/>
    <s v="Organic"/>
    <s v="Premium"/>
    <n v="1"/>
    <n v="1"/>
    <n v="1"/>
    <n v="0"/>
    <n v="0"/>
    <n v="1"/>
    <n v="0"/>
    <m/>
    <n v="70.599999999999994"/>
  </r>
  <r>
    <s v="USR-100231"/>
    <d v="2025-02-17T00:00:00"/>
    <x v="0"/>
    <s v="North"/>
    <s v="Mobile"/>
    <s v="Social"/>
    <s v="Free"/>
    <n v="0"/>
    <n v="0"/>
    <n v="0"/>
    <n v="0"/>
    <n v="0"/>
    <n v="0"/>
    <n v="0"/>
    <m/>
    <n v="69.400000000000006"/>
  </r>
  <r>
    <s v="USR-100232"/>
    <d v="2025-05-04T00:00:00"/>
    <x v="0"/>
    <s v="North"/>
    <s v="Desktop"/>
    <s v="Organic"/>
    <s v="Basic"/>
    <n v="1"/>
    <n v="0"/>
    <n v="0"/>
    <n v="0"/>
    <n v="0"/>
    <n v="0"/>
    <n v="0"/>
    <m/>
    <n v="56.1"/>
  </r>
  <r>
    <s v="USR-100233"/>
    <d v="2025-01-12T00:00:00"/>
    <x v="0"/>
    <s v="West"/>
    <s v="Mobile"/>
    <s v="Organic"/>
    <s v="Basic"/>
    <n v="0"/>
    <n v="0"/>
    <n v="0"/>
    <n v="0"/>
    <n v="0"/>
    <n v="0"/>
    <n v="0"/>
    <m/>
    <n v="55.8"/>
  </r>
  <r>
    <s v="USR-100234"/>
    <d v="2025-04-28T00:00:00"/>
    <x v="0"/>
    <s v="North"/>
    <s v="Tablet"/>
    <s v="Organic"/>
    <s v="Free"/>
    <n v="0"/>
    <n v="0"/>
    <n v="0"/>
    <n v="0"/>
    <n v="0"/>
    <n v="0"/>
    <n v="0"/>
    <m/>
    <n v="49.3"/>
  </r>
  <r>
    <s v="USR-100235"/>
    <d v="2025-02-26T00:00:00"/>
    <x v="0"/>
    <s v="North"/>
    <s v="Mobile"/>
    <s v="Organic"/>
    <s v="Free"/>
    <n v="0"/>
    <n v="0"/>
    <n v="0"/>
    <n v="0"/>
    <n v="0"/>
    <n v="0"/>
    <n v="0"/>
    <m/>
    <n v="71.8"/>
  </r>
  <r>
    <s v="USR-100236"/>
    <d v="2025-03-18T00:00:00"/>
    <x v="0"/>
    <s v="West"/>
    <s v="Mobile"/>
    <s v="Social"/>
    <s v="Free"/>
    <n v="1"/>
    <n v="0"/>
    <n v="0"/>
    <n v="0"/>
    <n v="0"/>
    <n v="3"/>
    <n v="0"/>
    <m/>
    <n v="39.700000000000003"/>
  </r>
  <r>
    <s v="USR-100237"/>
    <d v="2025-03-01T00:00:00"/>
    <x v="0"/>
    <s v="South"/>
    <s v="Desktop"/>
    <s v="Organic"/>
    <s v="Premium"/>
    <n v="1"/>
    <n v="0"/>
    <n v="0"/>
    <n v="0"/>
    <n v="0"/>
    <n v="0"/>
    <n v="0"/>
    <m/>
    <n v="45.4"/>
  </r>
  <r>
    <s v="USR-100238"/>
    <d v="2025-04-05T00:00:00"/>
    <x v="0"/>
    <s v="North"/>
    <s v="Desktop"/>
    <s v="Social"/>
    <s v="Premium"/>
    <n v="1"/>
    <n v="0"/>
    <n v="0"/>
    <n v="0"/>
    <n v="0"/>
    <n v="0"/>
    <n v="0"/>
    <m/>
    <n v="69.900000000000006"/>
  </r>
  <r>
    <s v="USR-100239"/>
    <d v="2025-03-12T00:00:00"/>
    <x v="0"/>
    <s v="North"/>
    <s v="Desktop"/>
    <s v="Social"/>
    <s v="Free"/>
    <n v="1"/>
    <n v="1"/>
    <n v="1"/>
    <n v="0"/>
    <n v="0"/>
    <n v="0"/>
    <n v="0"/>
    <m/>
    <n v="56.1"/>
  </r>
  <r>
    <s v="USR-100240"/>
    <d v="2025-03-15T00:00:00"/>
    <x v="0"/>
    <s v="West"/>
    <s v="Mobile"/>
    <s v="Referral"/>
    <s v="Basic"/>
    <n v="1"/>
    <n v="1"/>
    <n v="0"/>
    <n v="0"/>
    <n v="0"/>
    <n v="0"/>
    <n v="0"/>
    <m/>
    <n v="45.9"/>
  </r>
  <r>
    <s v="USR-100241"/>
    <d v="2025-02-23T00:00:00"/>
    <x v="0"/>
    <s v="West"/>
    <s v="Mobile"/>
    <s v="Email"/>
    <s v="Free"/>
    <n v="0"/>
    <n v="0"/>
    <n v="0"/>
    <n v="0"/>
    <n v="0"/>
    <n v="0"/>
    <n v="0"/>
    <m/>
    <n v="65.8"/>
  </r>
  <r>
    <s v="USR-100242"/>
    <d v="2025-04-22T00:00:00"/>
    <x v="0"/>
    <s v="North"/>
    <s v="Mobile"/>
    <s v="Organic"/>
    <s v="Basic"/>
    <n v="1"/>
    <n v="0"/>
    <n v="0"/>
    <n v="0"/>
    <n v="0"/>
    <n v="0"/>
    <n v="0"/>
    <m/>
    <n v="48.2"/>
  </r>
  <r>
    <s v="USR-100243"/>
    <d v="2025-01-09T00:00:00"/>
    <x v="0"/>
    <s v="East"/>
    <s v="Mobile"/>
    <s v="Organic"/>
    <s v="Basic"/>
    <n v="1"/>
    <n v="1"/>
    <n v="1"/>
    <n v="0"/>
    <n v="0"/>
    <n v="0"/>
    <n v="0"/>
    <m/>
    <n v="81.099999999999994"/>
  </r>
  <r>
    <s v="USR-100244"/>
    <d v="2025-03-05T00:00:00"/>
    <x v="0"/>
    <s v="East"/>
    <s v="Tablet"/>
    <s v="Social"/>
    <s v="Premium"/>
    <n v="1"/>
    <n v="1"/>
    <n v="0"/>
    <n v="0"/>
    <n v="0"/>
    <n v="0"/>
    <n v="0"/>
    <m/>
    <n v="53.2"/>
  </r>
  <r>
    <s v="USR-100245"/>
    <d v="2025-01-28T00:00:00"/>
    <x v="0"/>
    <s v="North"/>
    <s v="Mobile"/>
    <s v="Social"/>
    <s v="Free"/>
    <n v="1"/>
    <n v="1"/>
    <n v="1"/>
    <n v="0"/>
    <n v="0"/>
    <n v="0"/>
    <n v="0"/>
    <m/>
    <n v="57.7"/>
  </r>
  <r>
    <s v="USR-100246"/>
    <d v="2025-01-21T00:00:00"/>
    <x v="0"/>
    <s v="West"/>
    <s v="Mobile"/>
    <s v="Paid Search"/>
    <s v="Premium"/>
    <n v="1"/>
    <n v="1"/>
    <n v="0"/>
    <n v="0"/>
    <n v="0"/>
    <n v="0"/>
    <n v="0"/>
    <m/>
    <n v="78.900000000000006"/>
  </r>
  <r>
    <s v="USR-100247"/>
    <d v="2025-03-14T00:00:00"/>
    <x v="0"/>
    <s v="South"/>
    <s v="Mobile"/>
    <s v="Referral"/>
    <s v="Basic"/>
    <n v="0"/>
    <n v="0"/>
    <n v="0"/>
    <n v="0"/>
    <n v="0"/>
    <n v="0"/>
    <n v="0"/>
    <m/>
    <n v="55.7"/>
  </r>
  <r>
    <s v="USR-100248"/>
    <d v="2025-02-03T00:00:00"/>
    <x v="0"/>
    <s v="West"/>
    <s v="Mobile"/>
    <s v="Paid Search"/>
    <s v="Free"/>
    <n v="0"/>
    <n v="0"/>
    <n v="0"/>
    <n v="0"/>
    <n v="0"/>
    <n v="0"/>
    <n v="0"/>
    <m/>
    <n v="52.3"/>
  </r>
  <r>
    <s v="USR-100249"/>
    <d v="2025-05-22T00:00:00"/>
    <x v="0"/>
    <s v="North"/>
    <s v="Mobile"/>
    <s v="Social"/>
    <s v="Free"/>
    <n v="1"/>
    <n v="0"/>
    <n v="0"/>
    <n v="0"/>
    <n v="0"/>
    <n v="0"/>
    <n v="0"/>
    <m/>
    <n v="51.5"/>
  </r>
  <r>
    <s v="USR-100250"/>
    <d v="2025-04-25T00:00:00"/>
    <x v="0"/>
    <s v="North"/>
    <s v="Desktop"/>
    <s v="Email"/>
    <s v="Free"/>
    <n v="1"/>
    <n v="0"/>
    <n v="0"/>
    <n v="0"/>
    <n v="0"/>
    <n v="0"/>
    <n v="0"/>
    <m/>
    <n v="70.8"/>
  </r>
  <r>
    <s v="USR-100251"/>
    <d v="2025-01-30T00:00:00"/>
    <x v="0"/>
    <s v="North"/>
    <s v="Desktop"/>
    <s v="Email"/>
    <s v="Basic"/>
    <n v="1"/>
    <n v="1"/>
    <n v="1"/>
    <n v="1"/>
    <n v="1250.78"/>
    <n v="0"/>
    <n v="0"/>
    <n v="10"/>
    <n v="39"/>
  </r>
  <r>
    <s v="USR-100252"/>
    <d v="2025-05-23T00:00:00"/>
    <x v="0"/>
    <s v="West"/>
    <s v="Mobile"/>
    <s v="Organic"/>
    <s v="Free"/>
    <n v="1"/>
    <n v="0"/>
    <n v="0"/>
    <n v="0"/>
    <n v="0"/>
    <n v="0"/>
    <n v="0"/>
    <m/>
    <n v="61.6"/>
  </r>
  <r>
    <s v="USR-100253"/>
    <d v="2025-02-14T00:00:00"/>
    <x v="0"/>
    <s v="East"/>
    <s v="Desktop"/>
    <s v="Organic"/>
    <s v="Free"/>
    <n v="1"/>
    <n v="1"/>
    <n v="1"/>
    <n v="0"/>
    <n v="0"/>
    <n v="0"/>
    <n v="0"/>
    <m/>
    <n v="46.8"/>
  </r>
  <r>
    <s v="USR-100254"/>
    <d v="2025-03-05T00:00:00"/>
    <x v="0"/>
    <s v="North"/>
    <s v="Mobile"/>
    <s v="Paid Search"/>
    <s v="Premium"/>
    <n v="0"/>
    <n v="0"/>
    <n v="0"/>
    <n v="0"/>
    <n v="0"/>
    <n v="1"/>
    <n v="0"/>
    <m/>
    <n v="58.5"/>
  </r>
  <r>
    <s v="USR-100255"/>
    <d v="2025-05-27T00:00:00"/>
    <x v="0"/>
    <s v="North"/>
    <s v="Mobile"/>
    <s v="Paid Search"/>
    <s v="Basic"/>
    <n v="0"/>
    <n v="0"/>
    <n v="0"/>
    <n v="0"/>
    <n v="0"/>
    <n v="0"/>
    <n v="0"/>
    <m/>
    <n v="70.900000000000006"/>
  </r>
  <r>
    <s v="USR-100256"/>
    <d v="2025-01-07T00:00:00"/>
    <x v="0"/>
    <s v="South"/>
    <s v="Mobile"/>
    <s v="Paid Search"/>
    <s v="Free"/>
    <n v="1"/>
    <n v="0"/>
    <n v="0"/>
    <n v="0"/>
    <n v="0"/>
    <n v="0"/>
    <n v="0"/>
    <m/>
    <n v="48.4"/>
  </r>
  <r>
    <s v="USR-100257"/>
    <d v="2025-04-21T00:00:00"/>
    <x v="0"/>
    <s v="North"/>
    <s v="Mobile"/>
    <s v="Email"/>
    <s v="Free"/>
    <n v="1"/>
    <n v="0"/>
    <n v="0"/>
    <n v="0"/>
    <n v="0"/>
    <n v="0"/>
    <n v="0"/>
    <m/>
    <n v="58"/>
  </r>
  <r>
    <s v="USR-100258"/>
    <d v="2025-05-13T00:00:00"/>
    <x v="0"/>
    <s v="North"/>
    <s v="Mobile"/>
    <s v="Paid Search"/>
    <s v="Free"/>
    <n v="0"/>
    <n v="0"/>
    <n v="0"/>
    <n v="0"/>
    <n v="0"/>
    <n v="0"/>
    <n v="0"/>
    <m/>
    <n v="61.6"/>
  </r>
  <r>
    <s v="USR-100259"/>
    <d v="2025-01-28T00:00:00"/>
    <x v="0"/>
    <s v="East"/>
    <s v="Desktop"/>
    <s v="Organic"/>
    <s v="Free"/>
    <n v="1"/>
    <n v="0"/>
    <n v="0"/>
    <n v="0"/>
    <n v="0"/>
    <n v="0"/>
    <n v="0"/>
    <m/>
    <n v="43.2"/>
  </r>
  <r>
    <s v="USR-100260"/>
    <d v="2025-03-16T00:00:00"/>
    <x v="0"/>
    <s v="East"/>
    <s v="Desktop"/>
    <s v="Paid Search"/>
    <s v="Basic"/>
    <n v="1"/>
    <n v="0"/>
    <n v="0"/>
    <n v="0"/>
    <n v="0"/>
    <n v="1"/>
    <n v="0"/>
    <m/>
    <n v="53.3"/>
  </r>
  <r>
    <s v="USR-100261"/>
    <d v="2025-04-10T00:00:00"/>
    <x v="0"/>
    <s v="East"/>
    <s v="Desktop"/>
    <s v="Social"/>
    <s v="Basic"/>
    <n v="0"/>
    <n v="0"/>
    <n v="0"/>
    <n v="0"/>
    <n v="0"/>
    <n v="0"/>
    <n v="0"/>
    <m/>
    <n v="33.9"/>
  </r>
  <r>
    <s v="USR-100262"/>
    <d v="2025-03-15T00:00:00"/>
    <x v="0"/>
    <s v="East"/>
    <s v="Desktop"/>
    <s v="Referral"/>
    <s v="Free"/>
    <n v="1"/>
    <n v="1"/>
    <n v="1"/>
    <n v="0"/>
    <n v="0"/>
    <n v="0"/>
    <n v="0"/>
    <m/>
    <n v="35.4"/>
  </r>
  <r>
    <s v="USR-100263"/>
    <d v="2025-04-07T00:00:00"/>
    <x v="0"/>
    <s v="West"/>
    <s v="Desktop"/>
    <s v="Organic"/>
    <s v="Basic"/>
    <n v="1"/>
    <n v="0"/>
    <n v="0"/>
    <n v="0"/>
    <n v="0"/>
    <n v="0"/>
    <n v="0"/>
    <m/>
    <n v="45"/>
  </r>
  <r>
    <s v="USR-100264"/>
    <d v="2025-02-12T00:00:00"/>
    <x v="0"/>
    <s v="South"/>
    <s v="Mobile"/>
    <s v="Organic"/>
    <s v="Free"/>
    <n v="1"/>
    <n v="1"/>
    <n v="0"/>
    <n v="0"/>
    <n v="0"/>
    <n v="0"/>
    <n v="0"/>
    <m/>
    <n v="86.5"/>
  </r>
  <r>
    <s v="USR-100265"/>
    <d v="2025-05-05T00:00:00"/>
    <x v="0"/>
    <s v="West"/>
    <s v="Mobile"/>
    <s v="Social"/>
    <s v="Free"/>
    <n v="0"/>
    <n v="0"/>
    <n v="0"/>
    <n v="0"/>
    <n v="0"/>
    <n v="0"/>
    <n v="0"/>
    <m/>
    <n v="58.1"/>
  </r>
  <r>
    <s v="USR-100266"/>
    <d v="2025-03-11T00:00:00"/>
    <x v="0"/>
    <s v="West"/>
    <s v="Mobile"/>
    <s v="Referral"/>
    <s v="Free"/>
    <n v="1"/>
    <n v="0"/>
    <n v="0"/>
    <n v="0"/>
    <n v="0"/>
    <n v="0"/>
    <n v="0"/>
    <m/>
    <n v="36.1"/>
  </r>
  <r>
    <s v="USR-100267"/>
    <d v="2025-02-10T00:00:00"/>
    <x v="0"/>
    <s v="East"/>
    <s v="Mobile"/>
    <s v="Social"/>
    <s v="Free"/>
    <n v="0"/>
    <n v="0"/>
    <n v="0"/>
    <n v="0"/>
    <n v="0"/>
    <n v="0"/>
    <n v="0"/>
    <m/>
    <n v="62.8"/>
  </r>
  <r>
    <s v="USR-100268"/>
    <d v="2025-04-06T00:00:00"/>
    <x v="0"/>
    <s v="South"/>
    <s v="Mobile"/>
    <s v="Organic"/>
    <s v="Free"/>
    <n v="0"/>
    <n v="0"/>
    <n v="0"/>
    <n v="0"/>
    <n v="0"/>
    <n v="0"/>
    <n v="0"/>
    <m/>
    <n v="54.2"/>
  </r>
  <r>
    <s v="USR-100269"/>
    <d v="2025-01-06T00:00:00"/>
    <x v="0"/>
    <s v="East"/>
    <s v="Mobile"/>
    <s v="Referral"/>
    <s v="Free"/>
    <n v="0"/>
    <n v="0"/>
    <n v="0"/>
    <n v="0"/>
    <n v="0"/>
    <n v="0"/>
    <n v="0"/>
    <m/>
    <n v="50"/>
  </r>
  <r>
    <s v="USR-100270"/>
    <d v="2025-03-25T00:00:00"/>
    <x v="0"/>
    <s v="East"/>
    <s v="Tablet"/>
    <s v="Paid Search"/>
    <s v="Basic"/>
    <n v="1"/>
    <n v="0"/>
    <n v="0"/>
    <n v="0"/>
    <n v="0"/>
    <n v="0"/>
    <n v="0"/>
    <m/>
    <n v="62"/>
  </r>
  <r>
    <s v="USR-100271"/>
    <d v="2025-02-13T00:00:00"/>
    <x v="0"/>
    <s v="East"/>
    <s v="Desktop"/>
    <s v="Referral"/>
    <s v="Free"/>
    <n v="1"/>
    <n v="0"/>
    <n v="0"/>
    <n v="0"/>
    <n v="0"/>
    <n v="0"/>
    <n v="0"/>
    <m/>
    <n v="29.3"/>
  </r>
  <r>
    <s v="USR-100272"/>
    <d v="2025-03-17T00:00:00"/>
    <x v="0"/>
    <s v="West"/>
    <s v="Desktop"/>
    <s v="Organic"/>
    <s v="Free"/>
    <n v="1"/>
    <n v="0"/>
    <n v="0"/>
    <n v="0"/>
    <n v="0"/>
    <n v="0"/>
    <n v="0"/>
    <m/>
    <n v="67.900000000000006"/>
  </r>
  <r>
    <s v="USR-100273"/>
    <d v="2025-05-10T00:00:00"/>
    <x v="0"/>
    <s v="North"/>
    <s v="Mobile"/>
    <s v="Referral"/>
    <s v="Free"/>
    <n v="1"/>
    <n v="1"/>
    <n v="1"/>
    <n v="0"/>
    <n v="0"/>
    <n v="0"/>
    <n v="0"/>
    <m/>
    <n v="67.599999999999994"/>
  </r>
  <r>
    <s v="USR-100274"/>
    <d v="2025-05-07T00:00:00"/>
    <x v="0"/>
    <s v="South"/>
    <s v="Mobile"/>
    <s v="Paid Search"/>
    <s v="Basic"/>
    <n v="0"/>
    <n v="0"/>
    <n v="0"/>
    <n v="0"/>
    <n v="0"/>
    <n v="0"/>
    <n v="0"/>
    <m/>
    <n v="67.400000000000006"/>
  </r>
  <r>
    <s v="USR-100275"/>
    <d v="2025-02-26T00:00:00"/>
    <x v="0"/>
    <s v="West"/>
    <s v="Desktop"/>
    <s v="Paid Search"/>
    <s v="Premium"/>
    <n v="0"/>
    <n v="0"/>
    <n v="0"/>
    <n v="0"/>
    <n v="0"/>
    <n v="2"/>
    <n v="0"/>
    <m/>
    <n v="53"/>
  </r>
  <r>
    <s v="USR-100276"/>
    <d v="2025-05-11T00:00:00"/>
    <x v="0"/>
    <s v="North"/>
    <s v="Mobile"/>
    <s v="Organic"/>
    <s v="Basic"/>
    <n v="0"/>
    <n v="0"/>
    <n v="0"/>
    <n v="0"/>
    <n v="0"/>
    <n v="0"/>
    <n v="0"/>
    <m/>
    <n v="65.5"/>
  </r>
  <r>
    <s v="USR-100277"/>
    <d v="2025-03-20T00:00:00"/>
    <x v="0"/>
    <s v="South"/>
    <s v="Mobile"/>
    <s v="Organic"/>
    <s v="Basic"/>
    <n v="1"/>
    <n v="1"/>
    <n v="0"/>
    <n v="0"/>
    <n v="0"/>
    <n v="0"/>
    <n v="0"/>
    <m/>
    <n v="49.6"/>
  </r>
  <r>
    <s v="USR-100278"/>
    <d v="2025-01-19T00:00:00"/>
    <x v="0"/>
    <s v="North"/>
    <s v="Mobile"/>
    <s v="Email"/>
    <s v="Free"/>
    <n v="1"/>
    <n v="1"/>
    <n v="0"/>
    <n v="0"/>
    <n v="0"/>
    <n v="0"/>
    <n v="0"/>
    <m/>
    <n v="74.5"/>
  </r>
  <r>
    <s v="USR-100279"/>
    <d v="2025-03-08T00:00:00"/>
    <x v="0"/>
    <s v="North"/>
    <s v="Tablet"/>
    <s v="Paid Search"/>
    <s v="Premium"/>
    <n v="1"/>
    <n v="0"/>
    <n v="0"/>
    <n v="0"/>
    <n v="0"/>
    <n v="1"/>
    <n v="0"/>
    <m/>
    <n v="46.9"/>
  </r>
  <r>
    <s v="USR-100280"/>
    <d v="2025-04-25T00:00:00"/>
    <x v="0"/>
    <s v="North"/>
    <s v="Mobile"/>
    <s v="Organic"/>
    <s v="Free"/>
    <n v="0"/>
    <n v="0"/>
    <n v="0"/>
    <n v="0"/>
    <n v="0"/>
    <n v="0"/>
    <n v="0"/>
    <m/>
    <n v="87.1"/>
  </r>
  <r>
    <s v="USR-100281"/>
    <d v="2025-04-04T00:00:00"/>
    <x v="0"/>
    <s v="North"/>
    <s v="Desktop"/>
    <s v="Organic"/>
    <s v="Free"/>
    <n v="1"/>
    <n v="0"/>
    <n v="0"/>
    <n v="0"/>
    <n v="0"/>
    <n v="0"/>
    <n v="0"/>
    <m/>
    <n v="56"/>
  </r>
  <r>
    <s v="USR-100282"/>
    <d v="2025-05-01T00:00:00"/>
    <x v="0"/>
    <s v="East"/>
    <s v="Mobile"/>
    <s v="Paid Search"/>
    <s v="Premium"/>
    <n v="1"/>
    <n v="0"/>
    <n v="0"/>
    <n v="0"/>
    <n v="0"/>
    <n v="1"/>
    <n v="0"/>
    <m/>
    <n v="61.7"/>
  </r>
  <r>
    <s v="USR-100283"/>
    <d v="2025-01-21T00:00:00"/>
    <x v="0"/>
    <s v="South"/>
    <s v="Mobile"/>
    <s v="Social"/>
    <s v="Free"/>
    <n v="1"/>
    <n v="0"/>
    <n v="0"/>
    <n v="0"/>
    <n v="0"/>
    <n v="1"/>
    <n v="0"/>
    <m/>
    <n v="70.5"/>
  </r>
  <r>
    <s v="USR-100284"/>
    <d v="2025-02-10T00:00:00"/>
    <x v="0"/>
    <s v="North"/>
    <s v="Desktop"/>
    <s v="Referral"/>
    <s v="Basic"/>
    <n v="1"/>
    <n v="0"/>
    <n v="0"/>
    <n v="0"/>
    <n v="0"/>
    <n v="0"/>
    <n v="0"/>
    <m/>
    <n v="33.4"/>
  </r>
  <r>
    <s v="USR-100285"/>
    <d v="2025-05-06T00:00:00"/>
    <x v="0"/>
    <s v="South"/>
    <s v="Desktop"/>
    <s v="Organic"/>
    <s v="Free"/>
    <n v="1"/>
    <n v="0"/>
    <n v="0"/>
    <n v="0"/>
    <n v="0"/>
    <n v="0"/>
    <n v="0"/>
    <m/>
    <n v="57.5"/>
  </r>
  <r>
    <s v="USR-100286"/>
    <d v="2025-02-08T00:00:00"/>
    <x v="0"/>
    <s v="North"/>
    <s v="Desktop"/>
    <s v="Paid Search"/>
    <s v="Basic"/>
    <n v="1"/>
    <n v="1"/>
    <n v="0"/>
    <n v="0"/>
    <n v="0"/>
    <n v="0"/>
    <n v="0"/>
    <m/>
    <n v="85.7"/>
  </r>
  <r>
    <s v="USR-100287"/>
    <d v="2025-05-31T00:00:00"/>
    <x v="0"/>
    <s v="East"/>
    <s v="Mobile"/>
    <s v="Social"/>
    <s v="Free"/>
    <n v="1"/>
    <n v="0"/>
    <n v="0"/>
    <n v="0"/>
    <n v="0"/>
    <n v="0"/>
    <n v="0"/>
    <m/>
    <n v="41.9"/>
  </r>
  <r>
    <s v="USR-100288"/>
    <d v="2025-02-07T00:00:00"/>
    <x v="0"/>
    <s v="West"/>
    <s v="Mobile"/>
    <s v="Email"/>
    <s v="Basic"/>
    <n v="1"/>
    <n v="0"/>
    <n v="0"/>
    <n v="0"/>
    <n v="0"/>
    <n v="0"/>
    <n v="0"/>
    <m/>
    <n v="70.2"/>
  </r>
  <r>
    <s v="USR-100289"/>
    <d v="2025-02-10T00:00:00"/>
    <x v="0"/>
    <s v="North"/>
    <s v="Mobile"/>
    <s v="Social"/>
    <s v="Free"/>
    <n v="1"/>
    <n v="0"/>
    <n v="0"/>
    <n v="0"/>
    <n v="0"/>
    <n v="0"/>
    <n v="0"/>
    <m/>
    <n v="42.6"/>
  </r>
  <r>
    <s v="USR-100290"/>
    <d v="2025-01-31T00:00:00"/>
    <x v="0"/>
    <s v="West"/>
    <s v="Mobile"/>
    <s v="Social"/>
    <s v="Basic"/>
    <n v="0"/>
    <n v="0"/>
    <n v="0"/>
    <n v="0"/>
    <n v="0"/>
    <n v="2"/>
    <n v="0"/>
    <m/>
    <n v="30.4"/>
  </r>
  <r>
    <s v="USR-100291"/>
    <d v="2025-03-16T00:00:00"/>
    <x v="0"/>
    <s v="East"/>
    <s v="Mobile"/>
    <s v="Paid Search"/>
    <s v="Basic"/>
    <n v="1"/>
    <n v="0"/>
    <n v="0"/>
    <n v="0"/>
    <n v="0"/>
    <n v="0"/>
    <n v="0"/>
    <m/>
    <n v="63.7"/>
  </r>
  <r>
    <s v="USR-100292"/>
    <d v="2025-04-24T00:00:00"/>
    <x v="0"/>
    <s v="South"/>
    <s v="Mobile"/>
    <s v="Social"/>
    <s v="Basic"/>
    <n v="0"/>
    <n v="0"/>
    <n v="0"/>
    <n v="0"/>
    <n v="0"/>
    <n v="0"/>
    <n v="0"/>
    <m/>
    <n v="42.7"/>
  </r>
  <r>
    <s v="USR-100293"/>
    <d v="2025-01-28T00:00:00"/>
    <x v="0"/>
    <s v="North"/>
    <s v="Mobile"/>
    <s v="Organic"/>
    <s v="Free"/>
    <n v="0"/>
    <n v="0"/>
    <n v="0"/>
    <n v="0"/>
    <n v="0"/>
    <n v="0"/>
    <n v="0"/>
    <m/>
    <n v="74.3"/>
  </r>
  <r>
    <s v="USR-100294"/>
    <d v="2025-02-16T00:00:00"/>
    <x v="0"/>
    <s v="West"/>
    <s v="Desktop"/>
    <s v="Email"/>
    <s v="Free"/>
    <n v="1"/>
    <n v="0"/>
    <n v="0"/>
    <n v="0"/>
    <n v="0"/>
    <n v="0"/>
    <n v="0"/>
    <m/>
    <n v="40.6"/>
  </r>
  <r>
    <s v="USR-100295"/>
    <d v="2025-03-23T00:00:00"/>
    <x v="0"/>
    <s v="East"/>
    <s v="Mobile"/>
    <s v="Organic"/>
    <s v="Premium"/>
    <n v="0"/>
    <n v="0"/>
    <n v="0"/>
    <n v="0"/>
    <n v="0"/>
    <n v="0"/>
    <n v="0"/>
    <m/>
    <n v="67"/>
  </r>
  <r>
    <s v="USR-100296"/>
    <d v="2025-05-31T00:00:00"/>
    <x v="0"/>
    <s v="East"/>
    <s v="Mobile"/>
    <s v="Paid Search"/>
    <s v="Premium"/>
    <n v="0"/>
    <n v="0"/>
    <n v="0"/>
    <n v="0"/>
    <n v="0"/>
    <n v="0"/>
    <n v="0"/>
    <m/>
    <n v="51"/>
  </r>
  <r>
    <s v="USR-100297"/>
    <d v="2025-04-13T00:00:00"/>
    <x v="0"/>
    <s v="West"/>
    <s v="Mobile"/>
    <s v="Social"/>
    <s v="Basic"/>
    <n v="1"/>
    <n v="1"/>
    <n v="0"/>
    <n v="0"/>
    <n v="0"/>
    <n v="1"/>
    <n v="0"/>
    <m/>
    <n v="54.8"/>
  </r>
  <r>
    <s v="USR-100298"/>
    <d v="2025-05-14T00:00:00"/>
    <x v="0"/>
    <s v="North"/>
    <s v="Tablet"/>
    <s v="Email"/>
    <s v="Basic"/>
    <n v="0"/>
    <n v="0"/>
    <n v="0"/>
    <n v="0"/>
    <n v="0"/>
    <n v="0"/>
    <n v="0"/>
    <m/>
    <n v="40.799999999999997"/>
  </r>
  <r>
    <s v="USR-100299"/>
    <d v="2025-02-19T00:00:00"/>
    <x v="0"/>
    <s v="East"/>
    <s v="Mobile"/>
    <s v="Paid Search"/>
    <s v="Free"/>
    <n v="0"/>
    <n v="0"/>
    <n v="0"/>
    <n v="0"/>
    <n v="0"/>
    <n v="0"/>
    <n v="0"/>
    <m/>
    <n v="48.8"/>
  </r>
  <r>
    <s v="USR-100300"/>
    <d v="2025-01-24T00:00:00"/>
    <x v="0"/>
    <s v="South"/>
    <s v="Mobile"/>
    <s v="UNKNOWN"/>
    <s v="Basic"/>
    <n v="1"/>
    <n v="1"/>
    <n v="1"/>
    <n v="1"/>
    <n v="1198.69"/>
    <n v="1"/>
    <n v="0"/>
    <n v="6"/>
    <n v="88.9"/>
  </r>
  <r>
    <s v="USR-100301"/>
    <d v="2025-05-09T00:00:00"/>
    <x v="0"/>
    <s v="North"/>
    <s v="Mobile"/>
    <s v="Email"/>
    <s v="Basic"/>
    <n v="1"/>
    <n v="1"/>
    <n v="1"/>
    <n v="0"/>
    <n v="0"/>
    <n v="1"/>
    <n v="0"/>
    <m/>
    <n v="60.5"/>
  </r>
  <r>
    <s v="USR-100302"/>
    <d v="2025-02-11T00:00:00"/>
    <x v="0"/>
    <s v="North"/>
    <s v="Mobile"/>
    <s v="Organic"/>
    <s v="Basic"/>
    <n v="1"/>
    <n v="0"/>
    <n v="0"/>
    <n v="0"/>
    <n v="0"/>
    <n v="0"/>
    <n v="0"/>
    <m/>
    <n v="63.6"/>
  </r>
  <r>
    <s v="USR-100303"/>
    <d v="2025-02-26T00:00:00"/>
    <x v="0"/>
    <s v="North"/>
    <s v="Desktop"/>
    <s v="Organic"/>
    <s v="Basic"/>
    <n v="1"/>
    <n v="1"/>
    <n v="1"/>
    <n v="1"/>
    <n v="6788.95"/>
    <n v="0"/>
    <n v="0"/>
    <n v="17"/>
    <n v="58.4"/>
  </r>
  <r>
    <s v="USR-100304"/>
    <d v="2025-02-12T00:00:00"/>
    <x v="0"/>
    <s v="South"/>
    <s v="Mobile"/>
    <s v="Social"/>
    <s v="Premium"/>
    <n v="0"/>
    <n v="0"/>
    <n v="0"/>
    <n v="0"/>
    <n v="0"/>
    <n v="0"/>
    <n v="0"/>
    <m/>
    <n v="52.7"/>
  </r>
  <r>
    <s v="USR-100305"/>
    <d v="2025-01-05T00:00:00"/>
    <x v="0"/>
    <s v="South"/>
    <s v="Tablet"/>
    <s v="Social"/>
    <s v="Premium"/>
    <n v="1"/>
    <n v="1"/>
    <n v="1"/>
    <n v="0"/>
    <n v="0"/>
    <n v="2"/>
    <n v="0"/>
    <m/>
    <n v="48.9"/>
  </r>
  <r>
    <s v="USR-100306"/>
    <d v="2025-05-19T00:00:00"/>
    <x v="0"/>
    <s v="West"/>
    <s v="Mobile"/>
    <s v="Organic"/>
    <s v="Premium"/>
    <n v="0"/>
    <n v="0"/>
    <n v="0"/>
    <n v="0"/>
    <n v="0"/>
    <n v="0"/>
    <n v="0"/>
    <m/>
    <n v="79.7"/>
  </r>
  <r>
    <s v="USR-100307"/>
    <d v="2025-02-02T00:00:00"/>
    <x v="0"/>
    <s v="North"/>
    <s v="Mobile"/>
    <s v="Social"/>
    <s v="Free"/>
    <n v="1"/>
    <n v="0"/>
    <n v="0"/>
    <n v="0"/>
    <n v="0"/>
    <n v="0"/>
    <n v="0"/>
    <m/>
    <n v="44.9"/>
  </r>
  <r>
    <s v="USR-100308"/>
    <d v="2025-01-30T00:00:00"/>
    <x v="0"/>
    <s v="West"/>
    <s v="Tablet"/>
    <s v="Paid Search"/>
    <s v="Free"/>
    <n v="1"/>
    <n v="1"/>
    <n v="1"/>
    <n v="1"/>
    <n v="409.39"/>
    <n v="0"/>
    <n v="0"/>
    <n v="10"/>
    <n v="38.799999999999997"/>
  </r>
  <r>
    <s v="USR-100309"/>
    <d v="2025-05-01T00:00:00"/>
    <x v="0"/>
    <s v="South"/>
    <s v="Desktop"/>
    <s v="Email"/>
    <s v="Free"/>
    <n v="0"/>
    <n v="0"/>
    <n v="0"/>
    <n v="0"/>
    <n v="0"/>
    <n v="0"/>
    <n v="0"/>
    <m/>
    <n v="70"/>
  </r>
  <r>
    <s v="USR-100310"/>
    <d v="2025-05-16T00:00:00"/>
    <x v="0"/>
    <s v="South"/>
    <s v="Desktop"/>
    <s v="Referral"/>
    <s v="Basic"/>
    <n v="1"/>
    <n v="0"/>
    <n v="0"/>
    <n v="0"/>
    <n v="0"/>
    <n v="0"/>
    <n v="0"/>
    <m/>
    <n v="77.7"/>
  </r>
  <r>
    <s v="USR-100311"/>
    <d v="2025-03-08T00:00:00"/>
    <x v="0"/>
    <s v="West"/>
    <s v="Mobile"/>
    <s v="Organic"/>
    <s v="Free"/>
    <n v="0"/>
    <n v="0"/>
    <n v="0"/>
    <n v="0"/>
    <n v="0"/>
    <n v="0"/>
    <n v="0"/>
    <m/>
    <n v="71.2"/>
  </r>
  <r>
    <s v="USR-100312"/>
    <d v="2025-04-04T00:00:00"/>
    <x v="0"/>
    <s v="North"/>
    <s v="Mobile"/>
    <s v="Organic"/>
    <s v="Basic"/>
    <n v="1"/>
    <n v="0"/>
    <n v="0"/>
    <n v="0"/>
    <n v="0"/>
    <n v="0"/>
    <n v="0"/>
    <m/>
    <n v="43.8"/>
  </r>
  <r>
    <s v="USR-100313"/>
    <d v="2025-05-30T00:00:00"/>
    <x v="0"/>
    <s v="South"/>
    <s v="Tablet"/>
    <s v="Organic"/>
    <s v="Free"/>
    <n v="1"/>
    <n v="0"/>
    <n v="0"/>
    <n v="0"/>
    <n v="0"/>
    <n v="0"/>
    <n v="0"/>
    <m/>
    <n v="50.9"/>
  </r>
  <r>
    <s v="USR-100314"/>
    <d v="2025-01-05T00:00:00"/>
    <x v="0"/>
    <s v="West"/>
    <s v="Mobile"/>
    <s v="Organic"/>
    <s v="Premium"/>
    <n v="0"/>
    <n v="0"/>
    <n v="0"/>
    <n v="0"/>
    <n v="0"/>
    <n v="0"/>
    <n v="0"/>
    <m/>
    <n v="58.5"/>
  </r>
  <r>
    <s v="USR-100315"/>
    <d v="2025-01-20T00:00:00"/>
    <x v="0"/>
    <s v="East"/>
    <s v="Mobile"/>
    <s v="Organic"/>
    <s v="Free"/>
    <n v="1"/>
    <n v="1"/>
    <n v="1"/>
    <n v="0"/>
    <n v="0"/>
    <n v="0"/>
    <n v="0"/>
    <m/>
    <n v="53.6"/>
  </r>
  <r>
    <s v="USR-100316"/>
    <d v="2025-05-01T00:00:00"/>
    <x v="0"/>
    <s v="East"/>
    <s v="Mobile"/>
    <s v="Email"/>
    <s v="Free"/>
    <n v="0"/>
    <n v="0"/>
    <n v="0"/>
    <n v="0"/>
    <n v="0"/>
    <n v="0"/>
    <n v="0"/>
    <m/>
    <n v="54.9"/>
  </r>
  <r>
    <s v="USR-100317"/>
    <d v="2025-03-05T00:00:00"/>
    <x v="0"/>
    <s v="North"/>
    <s v="Desktop"/>
    <s v="Organic"/>
    <s v="Premium"/>
    <n v="0"/>
    <n v="0"/>
    <n v="0"/>
    <n v="0"/>
    <n v="0"/>
    <n v="0"/>
    <n v="0"/>
    <m/>
    <n v="57.3"/>
  </r>
  <r>
    <s v="USR-100318"/>
    <d v="2025-04-01T00:00:00"/>
    <x v="0"/>
    <s v="East"/>
    <s v="Desktop"/>
    <s v="Referral"/>
    <s v="Free"/>
    <n v="1"/>
    <n v="0"/>
    <n v="0"/>
    <n v="0"/>
    <n v="0"/>
    <n v="0"/>
    <n v="0"/>
    <m/>
    <n v="52.1"/>
  </r>
  <r>
    <s v="USR-100319"/>
    <d v="2025-05-03T00:00:00"/>
    <x v="0"/>
    <s v="North"/>
    <s v="Mobile"/>
    <s v="Organic"/>
    <s v="Free"/>
    <n v="1"/>
    <n v="0"/>
    <n v="0"/>
    <n v="0"/>
    <n v="0"/>
    <n v="0"/>
    <n v="0"/>
    <m/>
    <n v="80"/>
  </r>
  <r>
    <s v="USR-100320"/>
    <d v="2025-03-06T00:00:00"/>
    <x v="0"/>
    <s v="South"/>
    <s v="Desktop"/>
    <s v="Paid Search"/>
    <s v="Premium"/>
    <n v="1"/>
    <n v="0"/>
    <n v="0"/>
    <n v="0"/>
    <n v="0"/>
    <n v="0"/>
    <n v="0"/>
    <m/>
    <n v="39.299999999999997"/>
  </r>
  <r>
    <s v="USR-100321"/>
    <d v="2025-04-01T00:00:00"/>
    <x v="0"/>
    <s v="North"/>
    <s v="Desktop"/>
    <s v="Referral"/>
    <s v="Premium"/>
    <n v="0"/>
    <n v="0"/>
    <n v="0"/>
    <n v="0"/>
    <n v="0"/>
    <n v="0"/>
    <n v="0"/>
    <m/>
    <n v="45.7"/>
  </r>
  <r>
    <s v="USR-100322"/>
    <d v="2025-02-09T00:00:00"/>
    <x v="0"/>
    <s v="North"/>
    <s v="Desktop"/>
    <s v="Social"/>
    <s v="Basic"/>
    <n v="1"/>
    <n v="0"/>
    <n v="0"/>
    <n v="0"/>
    <n v="0"/>
    <n v="2"/>
    <n v="0"/>
    <m/>
    <n v="61.2"/>
  </r>
  <r>
    <s v="USR-100323"/>
    <d v="2025-04-12T00:00:00"/>
    <x v="0"/>
    <s v="West"/>
    <s v="Mobile"/>
    <s v="Organic"/>
    <s v="Basic"/>
    <n v="1"/>
    <n v="1"/>
    <n v="0"/>
    <n v="0"/>
    <n v="0"/>
    <n v="0"/>
    <n v="0"/>
    <m/>
    <n v="66.2"/>
  </r>
  <r>
    <s v="USR-100324"/>
    <d v="2025-03-18T00:00:00"/>
    <x v="0"/>
    <s v="East"/>
    <s v="Mobile"/>
    <s v="Social"/>
    <s v="Free"/>
    <n v="1"/>
    <n v="1"/>
    <n v="1"/>
    <n v="0"/>
    <n v="0"/>
    <n v="0"/>
    <n v="0"/>
    <m/>
    <n v="61.3"/>
  </r>
  <r>
    <s v="USR-100325"/>
    <d v="2025-04-03T00:00:00"/>
    <x v="0"/>
    <s v="East"/>
    <s v="Mobile"/>
    <s v="Paid Search"/>
    <s v="Free"/>
    <n v="1"/>
    <n v="0"/>
    <n v="0"/>
    <n v="0"/>
    <n v="0"/>
    <n v="0"/>
    <n v="0"/>
    <m/>
    <n v="72.2"/>
  </r>
  <r>
    <s v="USR-100326"/>
    <d v="2025-04-02T00:00:00"/>
    <x v="0"/>
    <s v="West"/>
    <s v="Mobile"/>
    <s v="Email"/>
    <s v="Premium"/>
    <n v="1"/>
    <n v="1"/>
    <n v="1"/>
    <n v="0"/>
    <n v="0"/>
    <n v="0"/>
    <n v="0"/>
    <m/>
    <n v="84"/>
  </r>
  <r>
    <s v="USR-100327"/>
    <d v="2025-05-10T00:00:00"/>
    <x v="0"/>
    <s v="West"/>
    <s v="Desktop"/>
    <s v="Email"/>
    <s v="Basic"/>
    <n v="0"/>
    <n v="0"/>
    <n v="0"/>
    <n v="0"/>
    <n v="0"/>
    <n v="0"/>
    <n v="0"/>
    <m/>
    <n v="59.8"/>
  </r>
  <r>
    <s v="USR-100328"/>
    <d v="2025-04-29T00:00:00"/>
    <x v="0"/>
    <s v="West"/>
    <s v="Desktop"/>
    <s v="Paid Search"/>
    <s v="Free"/>
    <n v="1"/>
    <n v="0"/>
    <n v="0"/>
    <n v="0"/>
    <n v="0"/>
    <n v="0"/>
    <n v="0"/>
    <m/>
    <n v="64.900000000000006"/>
  </r>
  <r>
    <s v="USR-100329"/>
    <d v="2025-02-27T00:00:00"/>
    <x v="0"/>
    <s v="South"/>
    <s v="Mobile"/>
    <s v="Paid Search"/>
    <s v="Free"/>
    <n v="1"/>
    <n v="0"/>
    <n v="0"/>
    <n v="0"/>
    <n v="0"/>
    <n v="0"/>
    <n v="0"/>
    <m/>
    <n v="66.8"/>
  </r>
  <r>
    <s v="USR-100330"/>
    <d v="2025-04-10T00:00:00"/>
    <x v="0"/>
    <s v="North"/>
    <s v="Desktop"/>
    <s v="Organic"/>
    <s v="Premium"/>
    <n v="0"/>
    <n v="0"/>
    <n v="0"/>
    <n v="0"/>
    <n v="0"/>
    <n v="0"/>
    <n v="0"/>
    <m/>
    <n v="70.900000000000006"/>
  </r>
  <r>
    <s v="USR-100331"/>
    <d v="2025-02-13T00:00:00"/>
    <x v="0"/>
    <s v="East"/>
    <s v="Mobile"/>
    <s v="Organic"/>
    <s v="Free"/>
    <n v="1"/>
    <n v="1"/>
    <n v="1"/>
    <n v="1"/>
    <n v="426.82"/>
    <n v="1"/>
    <n v="0"/>
    <n v="14"/>
    <n v="68.8"/>
  </r>
  <r>
    <s v="USR-100332"/>
    <d v="2025-05-03T00:00:00"/>
    <x v="0"/>
    <s v="North"/>
    <s v="Mobile"/>
    <s v="Organic"/>
    <s v="Basic"/>
    <n v="1"/>
    <n v="0"/>
    <n v="0"/>
    <n v="0"/>
    <n v="0"/>
    <n v="0"/>
    <n v="0"/>
    <m/>
    <n v="72.400000000000006"/>
  </r>
  <r>
    <s v="USR-100333"/>
    <d v="2025-03-10T00:00:00"/>
    <x v="0"/>
    <s v="East"/>
    <s v="Mobile"/>
    <s v="Organic"/>
    <s v="Basic"/>
    <n v="0"/>
    <n v="0"/>
    <n v="0"/>
    <n v="0"/>
    <n v="0"/>
    <n v="0"/>
    <n v="0"/>
    <m/>
    <n v="63.3"/>
  </r>
  <r>
    <s v="USR-100334"/>
    <d v="2025-01-10T00:00:00"/>
    <x v="0"/>
    <s v="West"/>
    <s v="Tablet"/>
    <s v="Social"/>
    <s v="Free"/>
    <n v="1"/>
    <n v="0"/>
    <n v="0"/>
    <n v="0"/>
    <n v="0"/>
    <n v="0"/>
    <n v="0"/>
    <m/>
    <n v="30.8"/>
  </r>
  <r>
    <s v="USR-100335"/>
    <d v="2025-01-16T00:00:00"/>
    <x v="0"/>
    <s v="South"/>
    <s v="Mobile"/>
    <s v="Email"/>
    <s v="Basic"/>
    <n v="1"/>
    <n v="1"/>
    <n v="1"/>
    <n v="1"/>
    <n v="874.55"/>
    <n v="0"/>
    <n v="0"/>
    <n v="9"/>
    <n v="44.2"/>
  </r>
  <r>
    <s v="USR-100336"/>
    <d v="2025-02-11T00:00:00"/>
    <x v="0"/>
    <s v="South"/>
    <s v="Desktop"/>
    <s v="Organic"/>
    <s v="Premium"/>
    <n v="1"/>
    <n v="1"/>
    <n v="1"/>
    <n v="1"/>
    <n v="2206.88"/>
    <n v="0"/>
    <n v="0"/>
    <n v="10"/>
    <n v="56.2"/>
  </r>
  <r>
    <s v="USR-100337"/>
    <d v="2025-04-13T00:00:00"/>
    <x v="0"/>
    <s v="West"/>
    <s v="Mobile"/>
    <s v="Organic"/>
    <s v="Free"/>
    <n v="0"/>
    <n v="0"/>
    <n v="0"/>
    <n v="0"/>
    <n v="0"/>
    <n v="0"/>
    <n v="0"/>
    <m/>
    <n v="40.4"/>
  </r>
  <r>
    <s v="USR-100338"/>
    <d v="2025-02-08T00:00:00"/>
    <x v="0"/>
    <s v="East"/>
    <s v="Mobile"/>
    <s v="Paid Search"/>
    <s v="Free"/>
    <n v="1"/>
    <n v="1"/>
    <n v="1"/>
    <n v="0"/>
    <n v="0"/>
    <n v="0"/>
    <n v="0"/>
    <m/>
    <n v="68.099999999999994"/>
  </r>
  <r>
    <s v="USR-100339"/>
    <d v="2025-03-31T00:00:00"/>
    <x v="0"/>
    <s v="West"/>
    <s v="Desktop"/>
    <s v="Referral"/>
    <s v="Free"/>
    <n v="1"/>
    <n v="0"/>
    <n v="0"/>
    <n v="0"/>
    <n v="0"/>
    <n v="0"/>
    <n v="0"/>
    <m/>
    <n v="86.3"/>
  </r>
  <r>
    <s v="USR-100340"/>
    <d v="2025-01-31T00:00:00"/>
    <x v="0"/>
    <s v="West"/>
    <s v="Desktop"/>
    <s v="Referral"/>
    <s v="Free"/>
    <n v="1"/>
    <n v="1"/>
    <n v="0"/>
    <n v="0"/>
    <n v="0"/>
    <n v="0"/>
    <n v="0"/>
    <m/>
    <n v="42.9"/>
  </r>
  <r>
    <s v="USR-100341"/>
    <d v="2025-05-08T00:00:00"/>
    <x v="0"/>
    <s v="West"/>
    <s v="Tablet"/>
    <s v="Organic"/>
    <s v="Free"/>
    <n v="0"/>
    <n v="0"/>
    <n v="0"/>
    <n v="0"/>
    <n v="0"/>
    <n v="0"/>
    <n v="0"/>
    <m/>
    <n v="61.4"/>
  </r>
  <r>
    <s v="USR-100342"/>
    <d v="2025-03-15T00:00:00"/>
    <x v="0"/>
    <s v="North"/>
    <s v="Mobile"/>
    <s v="Paid Search"/>
    <s v="Free"/>
    <n v="1"/>
    <n v="0"/>
    <n v="0"/>
    <n v="0"/>
    <n v="0"/>
    <n v="1"/>
    <n v="0"/>
    <m/>
    <n v="73.3"/>
  </r>
  <r>
    <s v="USR-100343"/>
    <d v="2025-01-13T00:00:00"/>
    <x v="0"/>
    <s v="South"/>
    <s v="Mobile"/>
    <s v="Referral"/>
    <s v="Basic"/>
    <n v="1"/>
    <n v="0"/>
    <n v="0"/>
    <n v="0"/>
    <n v="0"/>
    <n v="0"/>
    <n v="0"/>
    <m/>
    <n v="59.4"/>
  </r>
  <r>
    <s v="USR-100344"/>
    <d v="2025-03-07T00:00:00"/>
    <x v="0"/>
    <s v="South"/>
    <s v="Tablet"/>
    <s v="Organic"/>
    <s v="Basic"/>
    <n v="1"/>
    <n v="0"/>
    <n v="0"/>
    <n v="0"/>
    <n v="0"/>
    <n v="0"/>
    <n v="0"/>
    <m/>
    <n v="35.200000000000003"/>
  </r>
  <r>
    <s v="USR-100345"/>
    <d v="2025-02-10T00:00:00"/>
    <x v="0"/>
    <s v="South"/>
    <s v="Mobile"/>
    <s v="Social"/>
    <s v="Premium"/>
    <n v="1"/>
    <n v="1"/>
    <n v="0"/>
    <n v="0"/>
    <n v="0"/>
    <n v="0"/>
    <n v="0"/>
    <m/>
    <n v="55.3"/>
  </r>
  <r>
    <s v="USR-100346"/>
    <d v="2025-03-12T00:00:00"/>
    <x v="0"/>
    <s v="East"/>
    <s v="Mobile"/>
    <s v="Paid Search"/>
    <s v="Free"/>
    <n v="0"/>
    <n v="0"/>
    <n v="0"/>
    <n v="0"/>
    <n v="0"/>
    <n v="0"/>
    <n v="0"/>
    <m/>
    <n v="37.5"/>
  </r>
  <r>
    <s v="USR-100347"/>
    <d v="2025-01-03T00:00:00"/>
    <x v="0"/>
    <s v="South"/>
    <s v="Desktop"/>
    <s v="Paid Search"/>
    <s v="Free"/>
    <n v="0"/>
    <n v="0"/>
    <n v="0"/>
    <n v="0"/>
    <n v="0"/>
    <n v="1"/>
    <n v="0"/>
    <m/>
    <n v="66.400000000000006"/>
  </r>
  <r>
    <s v="USR-100348"/>
    <d v="2025-04-28T00:00:00"/>
    <x v="0"/>
    <s v="North"/>
    <s v="Tablet"/>
    <s v="Social"/>
    <s v="Basic"/>
    <n v="1"/>
    <n v="0"/>
    <n v="0"/>
    <n v="0"/>
    <n v="0"/>
    <n v="0"/>
    <n v="0"/>
    <m/>
    <n v="61.9"/>
  </r>
  <r>
    <s v="USR-100349"/>
    <d v="2025-04-17T00:00:00"/>
    <x v="0"/>
    <s v="East"/>
    <s v="Mobile"/>
    <s v="Organic"/>
    <s v="Free"/>
    <n v="0"/>
    <n v="0"/>
    <n v="0"/>
    <n v="0"/>
    <n v="0"/>
    <n v="0"/>
    <n v="0"/>
    <m/>
    <n v="56"/>
  </r>
  <r>
    <s v="USR-100350"/>
    <d v="2025-05-23T00:00:00"/>
    <x v="0"/>
    <s v="South"/>
    <s v="Desktop"/>
    <s v="Social"/>
    <s v="Basic"/>
    <n v="1"/>
    <n v="0"/>
    <n v="0"/>
    <n v="0"/>
    <n v="0"/>
    <n v="0"/>
    <n v="0"/>
    <m/>
    <n v="55.5"/>
  </r>
  <r>
    <s v="USR-100351"/>
    <d v="2025-02-19T00:00:00"/>
    <x v="0"/>
    <s v="West"/>
    <s v="Tablet"/>
    <s v="Referral"/>
    <s v="Basic"/>
    <n v="1"/>
    <n v="0"/>
    <n v="0"/>
    <n v="0"/>
    <n v="0"/>
    <n v="0"/>
    <n v="0"/>
    <m/>
    <n v="37.200000000000003"/>
  </r>
  <r>
    <s v="USR-100352"/>
    <d v="2025-01-18T00:00:00"/>
    <x v="0"/>
    <s v="South"/>
    <s v="Desktop"/>
    <s v="Organic"/>
    <s v="Free"/>
    <n v="1"/>
    <n v="1"/>
    <n v="0"/>
    <n v="0"/>
    <n v="0"/>
    <n v="1"/>
    <n v="0"/>
    <m/>
    <n v="70.5"/>
  </r>
  <r>
    <s v="USR-100353"/>
    <d v="2025-04-17T00:00:00"/>
    <x v="0"/>
    <s v="North"/>
    <s v="Mobile"/>
    <s v="Organic"/>
    <s v="Free"/>
    <n v="0"/>
    <n v="0"/>
    <n v="0"/>
    <n v="0"/>
    <n v="0"/>
    <n v="0"/>
    <n v="0"/>
    <m/>
    <n v="61.2"/>
  </r>
  <r>
    <s v="USR-100354"/>
    <d v="2025-04-12T00:00:00"/>
    <x v="0"/>
    <s v="East"/>
    <s v="Tablet"/>
    <s v="Social"/>
    <s v="Free"/>
    <n v="1"/>
    <n v="1"/>
    <n v="1"/>
    <n v="0"/>
    <n v="0"/>
    <n v="0"/>
    <n v="0"/>
    <m/>
    <n v="64.599999999999994"/>
  </r>
  <r>
    <s v="USR-100355"/>
    <d v="2025-05-16T00:00:00"/>
    <x v="0"/>
    <s v="East"/>
    <s v="Mobile"/>
    <s v="Email"/>
    <s v="Free"/>
    <n v="1"/>
    <n v="1"/>
    <n v="0"/>
    <n v="0"/>
    <n v="0"/>
    <n v="0"/>
    <n v="0"/>
    <m/>
    <n v="91.7"/>
  </r>
  <r>
    <s v="USR-100356"/>
    <d v="2025-03-24T00:00:00"/>
    <x v="0"/>
    <s v="West"/>
    <s v="Mobile"/>
    <s v="Social"/>
    <s v="Free"/>
    <n v="0"/>
    <n v="0"/>
    <n v="0"/>
    <n v="0"/>
    <n v="0"/>
    <n v="0"/>
    <n v="0"/>
    <m/>
    <n v="46"/>
  </r>
  <r>
    <s v="USR-100357"/>
    <d v="2025-02-16T00:00:00"/>
    <x v="0"/>
    <s v="West"/>
    <s v="Mobile"/>
    <s v="Organic"/>
    <s v="Basic"/>
    <n v="0"/>
    <n v="0"/>
    <n v="0"/>
    <n v="0"/>
    <n v="0"/>
    <n v="0"/>
    <n v="0"/>
    <m/>
    <n v="50.8"/>
  </r>
  <r>
    <s v="USR-100358"/>
    <d v="2025-03-19T00:00:00"/>
    <x v="0"/>
    <s v="North"/>
    <s v="Tablet"/>
    <s v="Organic"/>
    <s v="Free"/>
    <n v="1"/>
    <n v="1"/>
    <n v="1"/>
    <n v="0"/>
    <n v="0"/>
    <n v="0"/>
    <n v="0"/>
    <m/>
    <n v="52.8"/>
  </r>
  <r>
    <s v="USR-100359"/>
    <d v="2025-04-21T00:00:00"/>
    <x v="0"/>
    <s v="South"/>
    <s v="Mobile"/>
    <s v="Organic"/>
    <s v="Basic"/>
    <n v="1"/>
    <n v="1"/>
    <n v="1"/>
    <n v="0"/>
    <n v="0"/>
    <n v="0"/>
    <n v="0"/>
    <m/>
    <n v="63"/>
  </r>
  <r>
    <s v="USR-100360"/>
    <d v="2025-01-11T00:00:00"/>
    <x v="0"/>
    <s v="West"/>
    <s v="Mobile"/>
    <s v="Organic"/>
    <s v="Free"/>
    <n v="0"/>
    <n v="0"/>
    <n v="0"/>
    <n v="0"/>
    <n v="0"/>
    <n v="0"/>
    <n v="0"/>
    <m/>
    <n v="28.4"/>
  </r>
  <r>
    <s v="USR-100361"/>
    <d v="2025-04-24T00:00:00"/>
    <x v="0"/>
    <s v="West"/>
    <s v="Desktop"/>
    <s v="Organic"/>
    <s v="Free"/>
    <n v="1"/>
    <n v="1"/>
    <n v="0"/>
    <n v="0"/>
    <n v="0"/>
    <n v="0"/>
    <n v="0"/>
    <m/>
    <n v="65.599999999999994"/>
  </r>
  <r>
    <s v="USR-100362"/>
    <d v="2025-03-13T00:00:00"/>
    <x v="0"/>
    <s v="North"/>
    <s v="Mobile"/>
    <s v="Social"/>
    <s v="Premium"/>
    <n v="1"/>
    <n v="1"/>
    <n v="1"/>
    <n v="0"/>
    <n v="0"/>
    <n v="0"/>
    <n v="0"/>
    <m/>
    <n v="54.7"/>
  </r>
  <r>
    <s v="USR-100363"/>
    <d v="2025-01-30T00:00:00"/>
    <x v="0"/>
    <s v="North"/>
    <s v="Mobile"/>
    <s v="Social"/>
    <s v="Basic"/>
    <n v="0"/>
    <n v="0"/>
    <n v="0"/>
    <n v="0"/>
    <n v="0"/>
    <n v="0"/>
    <n v="0"/>
    <m/>
    <n v="36.1"/>
  </r>
  <r>
    <s v="USR-100364"/>
    <d v="2025-05-08T00:00:00"/>
    <x v="0"/>
    <s v="South"/>
    <s v="Mobile"/>
    <s v="Social"/>
    <s v="Basic"/>
    <n v="1"/>
    <n v="1"/>
    <n v="1"/>
    <n v="0"/>
    <n v="0"/>
    <n v="0"/>
    <n v="0"/>
    <m/>
    <n v="70.400000000000006"/>
  </r>
  <r>
    <s v="USR-100365"/>
    <d v="2025-01-08T00:00:00"/>
    <x v="0"/>
    <s v="East"/>
    <s v="Desktop"/>
    <s v="Social"/>
    <s v="Free"/>
    <n v="1"/>
    <n v="0"/>
    <n v="0"/>
    <n v="0"/>
    <n v="0"/>
    <n v="0"/>
    <n v="0"/>
    <m/>
    <n v="56.4"/>
  </r>
  <r>
    <s v="USR-100366"/>
    <d v="2025-05-03T00:00:00"/>
    <x v="0"/>
    <s v="South"/>
    <s v="Mobile"/>
    <s v="Organic"/>
    <s v="Free"/>
    <n v="1"/>
    <n v="0"/>
    <n v="0"/>
    <n v="0"/>
    <n v="0"/>
    <n v="0"/>
    <n v="0"/>
    <m/>
    <n v="79.2"/>
  </r>
  <r>
    <s v="USR-100367"/>
    <d v="2025-02-12T00:00:00"/>
    <x v="0"/>
    <s v="East"/>
    <s v="Mobile"/>
    <s v="Paid Search"/>
    <s v="Free"/>
    <n v="1"/>
    <n v="1"/>
    <n v="1"/>
    <n v="0"/>
    <n v="0"/>
    <n v="0"/>
    <n v="0"/>
    <m/>
    <n v="60.1"/>
  </r>
  <r>
    <s v="USR-100368"/>
    <d v="2025-02-25T00:00:00"/>
    <x v="0"/>
    <s v="South"/>
    <s v="Tablet"/>
    <s v="Organic"/>
    <s v="Free"/>
    <n v="0"/>
    <n v="0"/>
    <n v="0"/>
    <n v="0"/>
    <n v="0"/>
    <n v="0"/>
    <n v="0"/>
    <m/>
    <n v="58"/>
  </r>
  <r>
    <s v="USR-100369"/>
    <d v="2025-04-14T00:00:00"/>
    <x v="0"/>
    <s v="South"/>
    <s v="Mobile"/>
    <s v="Referral"/>
    <s v="Free"/>
    <n v="1"/>
    <n v="1"/>
    <n v="1"/>
    <n v="0"/>
    <n v="0"/>
    <n v="0"/>
    <n v="0"/>
    <m/>
    <n v="69"/>
  </r>
  <r>
    <s v="USR-100370"/>
    <d v="2025-01-08T00:00:00"/>
    <x v="0"/>
    <s v="North"/>
    <s v="Mobile"/>
    <s v="Referral"/>
    <s v="Premium"/>
    <n v="1"/>
    <n v="1"/>
    <n v="1"/>
    <n v="0"/>
    <n v="0"/>
    <n v="1"/>
    <n v="0"/>
    <m/>
    <n v="80.8"/>
  </r>
  <r>
    <s v="USR-100371"/>
    <d v="2025-03-14T00:00:00"/>
    <x v="0"/>
    <s v="East"/>
    <s v="Mobile"/>
    <s v="Email"/>
    <s v="Free"/>
    <n v="0"/>
    <n v="0"/>
    <n v="0"/>
    <n v="0"/>
    <n v="0"/>
    <n v="0"/>
    <n v="0"/>
    <m/>
    <n v="32.799999999999997"/>
  </r>
  <r>
    <s v="USR-100372"/>
    <d v="2025-04-29T00:00:00"/>
    <x v="0"/>
    <s v="North"/>
    <s v="Desktop"/>
    <s v="Paid Search"/>
    <s v="Premium"/>
    <n v="1"/>
    <n v="0"/>
    <n v="0"/>
    <n v="0"/>
    <n v="0"/>
    <n v="0"/>
    <n v="0"/>
    <m/>
    <n v="56"/>
  </r>
  <r>
    <s v="USR-100373"/>
    <d v="2025-05-01T00:00:00"/>
    <x v="0"/>
    <s v="East"/>
    <s v="Desktop"/>
    <s v="Social"/>
    <s v="Free"/>
    <n v="1"/>
    <n v="0"/>
    <n v="0"/>
    <n v="0"/>
    <n v="0"/>
    <n v="0"/>
    <n v="0"/>
    <m/>
    <n v="76.400000000000006"/>
  </r>
  <r>
    <s v="USR-100374"/>
    <d v="2025-03-19T00:00:00"/>
    <x v="0"/>
    <s v="North"/>
    <s v="Mobile"/>
    <s v="Referral"/>
    <s v="Free"/>
    <n v="1"/>
    <n v="0"/>
    <n v="0"/>
    <n v="0"/>
    <n v="0"/>
    <n v="0"/>
    <n v="0"/>
    <m/>
    <n v="28.5"/>
  </r>
  <r>
    <s v="USR-100375"/>
    <d v="2025-05-01T00:00:00"/>
    <x v="0"/>
    <s v="South"/>
    <s v="Desktop"/>
    <s v="Social"/>
    <s v="Basic"/>
    <n v="1"/>
    <n v="1"/>
    <n v="1"/>
    <n v="0"/>
    <n v="0"/>
    <n v="0"/>
    <n v="0"/>
    <m/>
    <n v="48.3"/>
  </r>
  <r>
    <s v="USR-100376"/>
    <d v="2025-03-14T00:00:00"/>
    <x v="0"/>
    <s v="West"/>
    <s v="Mobile"/>
    <s v="Organic"/>
    <s v="Free"/>
    <n v="1"/>
    <n v="1"/>
    <n v="0"/>
    <n v="0"/>
    <n v="0"/>
    <n v="0"/>
    <n v="0"/>
    <m/>
    <n v="43.4"/>
  </r>
  <r>
    <s v="USR-100377"/>
    <d v="2025-03-23T00:00:00"/>
    <x v="0"/>
    <s v="North"/>
    <s v="Mobile"/>
    <s v="Paid Search"/>
    <s v="Free"/>
    <n v="0"/>
    <n v="0"/>
    <n v="0"/>
    <n v="0"/>
    <n v="0"/>
    <n v="0"/>
    <n v="0"/>
    <m/>
    <n v="43"/>
  </r>
  <r>
    <s v="USR-100378"/>
    <d v="2025-02-08T00:00:00"/>
    <x v="0"/>
    <s v="East"/>
    <s v="Mobile"/>
    <s v="Referral"/>
    <s v="Basic"/>
    <n v="1"/>
    <n v="1"/>
    <n v="1"/>
    <n v="0"/>
    <n v="0"/>
    <n v="0"/>
    <n v="0"/>
    <m/>
    <n v="91.8"/>
  </r>
  <r>
    <s v="USR-100379"/>
    <d v="2025-04-15T00:00:00"/>
    <x v="0"/>
    <s v="West"/>
    <s v="Tablet"/>
    <s v="Paid Search"/>
    <s v="Basic"/>
    <n v="1"/>
    <n v="0"/>
    <n v="0"/>
    <n v="0"/>
    <n v="0"/>
    <n v="1"/>
    <n v="0"/>
    <m/>
    <n v="69.3"/>
  </r>
  <r>
    <s v="USR-100380"/>
    <d v="2025-01-03T00:00:00"/>
    <x v="0"/>
    <s v="South"/>
    <s v="Desktop"/>
    <s v="Paid Search"/>
    <s v="Basic"/>
    <n v="1"/>
    <n v="0"/>
    <n v="0"/>
    <n v="0"/>
    <n v="0"/>
    <n v="0"/>
    <n v="0"/>
    <m/>
    <n v="58.9"/>
  </r>
  <r>
    <s v="USR-100381"/>
    <d v="2025-03-23T00:00:00"/>
    <x v="0"/>
    <s v="West"/>
    <s v="Mobile"/>
    <s v="Social"/>
    <s v="Free"/>
    <n v="1"/>
    <n v="1"/>
    <n v="1"/>
    <n v="0"/>
    <n v="0"/>
    <n v="0"/>
    <n v="0"/>
    <m/>
    <n v="76"/>
  </r>
  <r>
    <s v="USR-100382"/>
    <d v="2025-05-27T00:00:00"/>
    <x v="0"/>
    <s v="South"/>
    <s v="Mobile"/>
    <s v="Referral"/>
    <s v="Premium"/>
    <n v="1"/>
    <n v="0"/>
    <n v="0"/>
    <n v="0"/>
    <n v="0"/>
    <n v="0"/>
    <n v="0"/>
    <m/>
    <n v="46"/>
  </r>
  <r>
    <s v="USR-100383"/>
    <d v="2025-04-30T00:00:00"/>
    <x v="0"/>
    <s v="East"/>
    <s v="Mobile"/>
    <s v="Organic"/>
    <s v="Free"/>
    <n v="1"/>
    <n v="0"/>
    <n v="0"/>
    <n v="0"/>
    <n v="0"/>
    <n v="0"/>
    <n v="0"/>
    <m/>
    <n v="54.1"/>
  </r>
  <r>
    <s v="USR-100384"/>
    <d v="2025-03-07T00:00:00"/>
    <x v="0"/>
    <s v="West"/>
    <s v="Mobile"/>
    <s v="Social"/>
    <s v="Basic"/>
    <n v="1"/>
    <n v="0"/>
    <n v="0"/>
    <n v="0"/>
    <n v="0"/>
    <n v="0"/>
    <n v="0"/>
    <m/>
    <n v="82.4"/>
  </r>
  <r>
    <s v="USR-100385"/>
    <d v="2025-05-10T00:00:00"/>
    <x v="0"/>
    <s v="South"/>
    <s v="Mobile"/>
    <s v="Organic"/>
    <s v="Basic"/>
    <n v="1"/>
    <n v="1"/>
    <n v="1"/>
    <n v="0"/>
    <n v="0"/>
    <n v="0"/>
    <n v="0"/>
    <m/>
    <n v="71.900000000000006"/>
  </r>
  <r>
    <s v="USR-100386"/>
    <d v="2025-05-22T00:00:00"/>
    <x v="0"/>
    <s v="East"/>
    <s v="Mobile"/>
    <s v="Organic"/>
    <s v="Free"/>
    <n v="0"/>
    <n v="0"/>
    <n v="0"/>
    <n v="0"/>
    <n v="0"/>
    <n v="2"/>
    <n v="0"/>
    <m/>
    <n v="38"/>
  </r>
  <r>
    <s v="USR-100387"/>
    <d v="2025-02-09T00:00:00"/>
    <x v="0"/>
    <s v="East"/>
    <s v="Mobile"/>
    <s v="Paid Search"/>
    <s v="Free"/>
    <n v="1"/>
    <n v="1"/>
    <n v="0"/>
    <n v="0"/>
    <n v="0"/>
    <n v="0"/>
    <n v="0"/>
    <m/>
    <n v="43.7"/>
  </r>
  <r>
    <s v="USR-100388"/>
    <d v="2025-05-30T00:00:00"/>
    <x v="0"/>
    <s v="West"/>
    <s v="Desktop"/>
    <s v="Organic"/>
    <s v="Premium"/>
    <n v="1"/>
    <n v="0"/>
    <n v="0"/>
    <n v="0"/>
    <n v="0"/>
    <n v="1"/>
    <n v="0"/>
    <m/>
    <n v="32.200000000000003"/>
  </r>
  <r>
    <s v="USR-100389"/>
    <d v="2025-05-01T00:00:00"/>
    <x v="0"/>
    <s v="South"/>
    <s v="Mobile"/>
    <s v="Organic"/>
    <s v="Premium"/>
    <n v="1"/>
    <n v="0"/>
    <n v="0"/>
    <n v="0"/>
    <n v="0"/>
    <n v="0"/>
    <n v="0"/>
    <m/>
    <n v="61"/>
  </r>
  <r>
    <s v="USR-100390"/>
    <d v="2025-01-03T00:00:00"/>
    <x v="0"/>
    <s v="South"/>
    <s v="Mobile"/>
    <s v="Paid Search"/>
    <s v="Free"/>
    <n v="1"/>
    <n v="0"/>
    <n v="0"/>
    <n v="0"/>
    <n v="0"/>
    <n v="0"/>
    <n v="0"/>
    <m/>
    <n v="49"/>
  </r>
  <r>
    <s v="USR-100391"/>
    <d v="2025-02-13T00:00:00"/>
    <x v="0"/>
    <s v="East"/>
    <s v="Mobile"/>
    <s v="Organic"/>
    <s v="Free"/>
    <n v="0"/>
    <n v="0"/>
    <n v="0"/>
    <n v="0"/>
    <n v="0"/>
    <n v="0"/>
    <n v="0"/>
    <m/>
    <n v="48.1"/>
  </r>
  <r>
    <s v="USR-100392"/>
    <d v="2025-01-14T00:00:00"/>
    <x v="0"/>
    <s v="South"/>
    <s v="Desktop"/>
    <s v="Organic"/>
    <s v="Free"/>
    <n v="0"/>
    <n v="0"/>
    <n v="0"/>
    <n v="0"/>
    <n v="0"/>
    <n v="2"/>
    <n v="0"/>
    <m/>
    <n v="46.3"/>
  </r>
  <r>
    <s v="USR-100393"/>
    <d v="2025-02-24T00:00:00"/>
    <x v="0"/>
    <s v="North"/>
    <s v="Mobile"/>
    <s v="Referral"/>
    <s v="Free"/>
    <n v="0"/>
    <n v="0"/>
    <n v="0"/>
    <n v="0"/>
    <n v="0"/>
    <n v="0"/>
    <n v="0"/>
    <m/>
    <n v="64"/>
  </r>
  <r>
    <s v="USR-100394"/>
    <d v="2025-05-16T00:00:00"/>
    <x v="0"/>
    <s v="West"/>
    <s v="Desktop"/>
    <s v="Organic"/>
    <s v="Basic"/>
    <n v="1"/>
    <n v="1"/>
    <n v="0"/>
    <n v="0"/>
    <n v="0"/>
    <n v="0"/>
    <n v="0"/>
    <m/>
    <n v="56.2"/>
  </r>
  <r>
    <s v="USR-100395"/>
    <d v="2025-04-29T00:00:00"/>
    <x v="0"/>
    <s v="North"/>
    <s v="Mobile"/>
    <s v="Paid Search"/>
    <s v="Free"/>
    <n v="1"/>
    <n v="1"/>
    <n v="1"/>
    <n v="0"/>
    <n v="0"/>
    <n v="0"/>
    <n v="0"/>
    <m/>
    <n v="77.5"/>
  </r>
  <r>
    <s v="USR-100396"/>
    <d v="2025-04-30T00:00:00"/>
    <x v="0"/>
    <s v="South"/>
    <s v="Desktop"/>
    <s v="Email"/>
    <s v="Basic"/>
    <n v="1"/>
    <n v="0"/>
    <n v="0"/>
    <n v="0"/>
    <n v="0"/>
    <n v="0"/>
    <n v="0"/>
    <m/>
    <n v="59.9"/>
  </r>
  <r>
    <s v="USR-100397"/>
    <d v="2025-01-09T00:00:00"/>
    <x v="0"/>
    <s v="South"/>
    <s v="Desktop"/>
    <s v="Organic"/>
    <s v="Free"/>
    <n v="1"/>
    <n v="1"/>
    <n v="0"/>
    <n v="0"/>
    <n v="0"/>
    <n v="0"/>
    <n v="0"/>
    <m/>
    <n v="63"/>
  </r>
  <r>
    <s v="USR-100398"/>
    <d v="2025-04-25T00:00:00"/>
    <x v="0"/>
    <s v="South"/>
    <s v="Mobile"/>
    <s v="Organic"/>
    <s v="Free"/>
    <n v="1"/>
    <n v="1"/>
    <n v="0"/>
    <n v="0"/>
    <n v="0"/>
    <n v="0"/>
    <n v="0"/>
    <m/>
    <n v="76.5"/>
  </r>
  <r>
    <s v="USR-100399"/>
    <d v="2025-03-12T00:00:00"/>
    <x v="0"/>
    <s v="North"/>
    <s v="Desktop"/>
    <s v="Paid Search"/>
    <s v="Free"/>
    <n v="1"/>
    <n v="0"/>
    <n v="0"/>
    <n v="0"/>
    <n v="0"/>
    <n v="0"/>
    <n v="0"/>
    <m/>
    <n v="39.700000000000003"/>
  </r>
  <r>
    <s v="USR-100400"/>
    <d v="2025-03-20T00:00:00"/>
    <x v="0"/>
    <s v="North"/>
    <s v="Mobile"/>
    <s v="Organic"/>
    <s v="Free"/>
    <n v="1"/>
    <n v="1"/>
    <n v="0"/>
    <n v="0"/>
    <n v="0"/>
    <n v="0"/>
    <n v="0"/>
    <m/>
    <n v="80.2"/>
  </r>
  <r>
    <s v="USR-100401"/>
    <d v="2025-02-18T00:00:00"/>
    <x v="0"/>
    <s v="West"/>
    <s v="Mobile"/>
    <s v="Paid Search"/>
    <s v="Free"/>
    <n v="1"/>
    <n v="0"/>
    <n v="0"/>
    <n v="0"/>
    <n v="0"/>
    <n v="0"/>
    <n v="0"/>
    <m/>
    <n v="72.2"/>
  </r>
  <r>
    <s v="USR-100402"/>
    <d v="2025-01-22T00:00:00"/>
    <x v="0"/>
    <s v="North"/>
    <s v="Mobile"/>
    <s v="Social"/>
    <s v="Basic"/>
    <n v="0"/>
    <n v="0"/>
    <n v="0"/>
    <n v="0"/>
    <n v="0"/>
    <n v="0"/>
    <n v="0"/>
    <m/>
    <n v="56"/>
  </r>
  <r>
    <s v="USR-100403"/>
    <d v="2025-02-08T00:00:00"/>
    <x v="0"/>
    <s v="West"/>
    <s v="Mobile"/>
    <s v="Email"/>
    <s v="Basic"/>
    <n v="1"/>
    <n v="1"/>
    <n v="1"/>
    <n v="0"/>
    <n v="0"/>
    <n v="0"/>
    <n v="0"/>
    <m/>
    <n v="69.099999999999994"/>
  </r>
  <r>
    <s v="USR-100404"/>
    <d v="2025-01-20T00:00:00"/>
    <x v="0"/>
    <s v="North"/>
    <s v="Mobile"/>
    <s v="Email"/>
    <s v="Premium"/>
    <n v="0"/>
    <n v="0"/>
    <n v="0"/>
    <n v="0"/>
    <n v="0"/>
    <n v="1"/>
    <n v="0"/>
    <m/>
    <n v="70.599999999999994"/>
  </r>
  <r>
    <s v="USR-100405"/>
    <d v="2025-04-22T00:00:00"/>
    <x v="0"/>
    <s v="West"/>
    <s v="Desktop"/>
    <s v="Referral"/>
    <s v="Free"/>
    <n v="1"/>
    <n v="0"/>
    <n v="0"/>
    <n v="0"/>
    <n v="0"/>
    <n v="0"/>
    <n v="0"/>
    <m/>
    <n v="57.9"/>
  </r>
  <r>
    <s v="USR-100406"/>
    <d v="2025-01-22T00:00:00"/>
    <x v="0"/>
    <s v="East"/>
    <s v="Mobile"/>
    <s v="Organic"/>
    <s v="Basic"/>
    <n v="1"/>
    <n v="1"/>
    <n v="0"/>
    <n v="0"/>
    <n v="0"/>
    <n v="0"/>
    <n v="0"/>
    <m/>
    <n v="41.4"/>
  </r>
  <r>
    <s v="USR-100407"/>
    <d v="2025-05-11T00:00:00"/>
    <x v="0"/>
    <s v="West"/>
    <s v="Mobile"/>
    <s v="Organic"/>
    <s v="Basic"/>
    <n v="1"/>
    <n v="0"/>
    <n v="0"/>
    <n v="0"/>
    <n v="0"/>
    <n v="0"/>
    <n v="0"/>
    <m/>
    <n v="60.9"/>
  </r>
  <r>
    <s v="USR-100408"/>
    <d v="2025-02-06T00:00:00"/>
    <x v="0"/>
    <s v="South"/>
    <s v="Mobile"/>
    <s v="Organic"/>
    <s v="Basic"/>
    <n v="0"/>
    <n v="0"/>
    <n v="0"/>
    <n v="0"/>
    <n v="0"/>
    <n v="1"/>
    <n v="0"/>
    <m/>
    <n v="63.8"/>
  </r>
  <r>
    <s v="USR-100409"/>
    <d v="2025-02-21T00:00:00"/>
    <x v="0"/>
    <s v="North"/>
    <s v="Desktop"/>
    <s v="Organic"/>
    <s v="Premium"/>
    <n v="1"/>
    <n v="0"/>
    <n v="0"/>
    <n v="0"/>
    <n v="0"/>
    <n v="0"/>
    <n v="0"/>
    <m/>
    <n v="79.2"/>
  </r>
  <r>
    <s v="USR-100410"/>
    <d v="2025-01-13T00:00:00"/>
    <x v="0"/>
    <s v="West"/>
    <s v="Mobile"/>
    <s v="Email"/>
    <s v="Premium"/>
    <n v="1"/>
    <n v="1"/>
    <n v="1"/>
    <n v="0"/>
    <n v="0"/>
    <n v="0"/>
    <n v="0"/>
    <m/>
    <n v="53.3"/>
  </r>
  <r>
    <s v="USR-100411"/>
    <d v="2025-03-07T00:00:00"/>
    <x v="0"/>
    <s v="North"/>
    <s v="Mobile"/>
    <s v="Referral"/>
    <s v="Premium"/>
    <n v="1"/>
    <n v="1"/>
    <n v="1"/>
    <n v="1"/>
    <n v="2144.8200000000002"/>
    <n v="0"/>
    <n v="0"/>
    <n v="6"/>
    <n v="52.3"/>
  </r>
  <r>
    <s v="USR-100412"/>
    <d v="2025-02-26T00:00:00"/>
    <x v="0"/>
    <s v="West"/>
    <s v="Desktop"/>
    <s v="Organic"/>
    <s v="Basic"/>
    <n v="1"/>
    <n v="1"/>
    <n v="0"/>
    <n v="0"/>
    <n v="0"/>
    <n v="0"/>
    <n v="0"/>
    <m/>
    <n v="62.4"/>
  </r>
  <r>
    <s v="USR-100413"/>
    <d v="2025-05-05T00:00:00"/>
    <x v="0"/>
    <s v="North"/>
    <s v="Mobile"/>
    <s v="Referral"/>
    <s v="Premium"/>
    <n v="1"/>
    <n v="0"/>
    <n v="0"/>
    <n v="0"/>
    <n v="0"/>
    <n v="0"/>
    <n v="0"/>
    <m/>
    <n v="45.5"/>
  </r>
  <r>
    <s v="USR-100414"/>
    <d v="2025-01-08T00:00:00"/>
    <x v="0"/>
    <s v="East"/>
    <s v="Desktop"/>
    <s v="Organic"/>
    <s v="Basic"/>
    <n v="0"/>
    <n v="0"/>
    <n v="0"/>
    <n v="0"/>
    <n v="0"/>
    <n v="1"/>
    <n v="0"/>
    <m/>
    <n v="72.599999999999994"/>
  </r>
  <r>
    <s v="USR-100415"/>
    <d v="2025-03-19T00:00:00"/>
    <x v="0"/>
    <s v="South"/>
    <s v="Mobile"/>
    <s v="Email"/>
    <s v="Premium"/>
    <n v="1"/>
    <n v="1"/>
    <n v="1"/>
    <n v="0"/>
    <n v="0"/>
    <n v="0"/>
    <n v="0"/>
    <m/>
    <n v="50.1"/>
  </r>
  <r>
    <s v="USR-100416"/>
    <d v="2025-01-30T00:00:00"/>
    <x v="0"/>
    <s v="East"/>
    <s v="Desktop"/>
    <s v="Paid Search"/>
    <s v="Free"/>
    <n v="1"/>
    <n v="1"/>
    <n v="1"/>
    <n v="0"/>
    <n v="0"/>
    <n v="2"/>
    <n v="0"/>
    <m/>
    <n v="58.1"/>
  </r>
  <r>
    <s v="USR-100417"/>
    <d v="2025-04-28T00:00:00"/>
    <x v="0"/>
    <s v="East"/>
    <s v="Mobile"/>
    <s v="Organic"/>
    <s v="Basic"/>
    <n v="1"/>
    <n v="0"/>
    <n v="0"/>
    <n v="0"/>
    <n v="0"/>
    <n v="0"/>
    <n v="0"/>
    <m/>
    <n v="42.9"/>
  </r>
  <r>
    <s v="USR-100418"/>
    <d v="2025-03-07T00:00:00"/>
    <x v="0"/>
    <s v="North"/>
    <s v="Mobile"/>
    <s v="Referral"/>
    <s v="Basic"/>
    <n v="0"/>
    <n v="0"/>
    <n v="0"/>
    <n v="0"/>
    <n v="0"/>
    <n v="0"/>
    <n v="0"/>
    <m/>
    <n v="69.7"/>
  </r>
  <r>
    <s v="USR-100419"/>
    <d v="2025-04-07T00:00:00"/>
    <x v="0"/>
    <s v="North"/>
    <s v="Desktop"/>
    <s v="Organic"/>
    <s v="Free"/>
    <n v="0"/>
    <n v="0"/>
    <n v="0"/>
    <n v="0"/>
    <n v="0"/>
    <n v="0"/>
    <n v="0"/>
    <m/>
    <n v="63.3"/>
  </r>
  <r>
    <s v="USR-100420"/>
    <d v="2025-05-08T00:00:00"/>
    <x v="0"/>
    <s v="North"/>
    <s v="Desktop"/>
    <s v="Organic"/>
    <s v="Premium"/>
    <n v="1"/>
    <n v="0"/>
    <n v="0"/>
    <n v="0"/>
    <n v="0"/>
    <n v="0"/>
    <n v="0"/>
    <m/>
    <n v="71.2"/>
  </r>
  <r>
    <s v="USR-100421"/>
    <d v="2025-04-15T00:00:00"/>
    <x v="0"/>
    <s v="South"/>
    <s v="Mobile"/>
    <s v="Email"/>
    <s v="Free"/>
    <n v="1"/>
    <n v="0"/>
    <n v="0"/>
    <n v="0"/>
    <n v="0"/>
    <n v="0"/>
    <n v="0"/>
    <m/>
    <n v="39.1"/>
  </r>
  <r>
    <s v="USR-100422"/>
    <d v="2025-04-20T00:00:00"/>
    <x v="0"/>
    <s v="East"/>
    <s v="Desktop"/>
    <s v="Social"/>
    <s v="Free"/>
    <n v="1"/>
    <n v="0"/>
    <n v="0"/>
    <n v="0"/>
    <n v="0"/>
    <n v="0"/>
    <n v="0"/>
    <m/>
    <n v="42.6"/>
  </r>
  <r>
    <s v="USR-100423"/>
    <d v="2025-05-30T00:00:00"/>
    <x v="0"/>
    <s v="South"/>
    <s v="Tablet"/>
    <s v="Organic"/>
    <s v="Free"/>
    <n v="0"/>
    <n v="0"/>
    <n v="0"/>
    <n v="0"/>
    <n v="0"/>
    <n v="0"/>
    <n v="0"/>
    <m/>
    <n v="74.400000000000006"/>
  </r>
  <r>
    <s v="USR-100424"/>
    <d v="2025-02-13T00:00:00"/>
    <x v="0"/>
    <s v="West"/>
    <s v="Mobile"/>
    <s v="Referral"/>
    <s v="Free"/>
    <n v="0"/>
    <n v="0"/>
    <n v="0"/>
    <n v="0"/>
    <n v="0"/>
    <n v="0"/>
    <n v="0"/>
    <m/>
    <n v="55.6"/>
  </r>
  <r>
    <s v="USR-100425"/>
    <d v="2025-04-28T00:00:00"/>
    <x v="0"/>
    <s v="West"/>
    <s v="Mobile"/>
    <s v="Social"/>
    <s v="Free"/>
    <n v="1"/>
    <n v="0"/>
    <n v="0"/>
    <n v="0"/>
    <n v="0"/>
    <n v="0"/>
    <n v="0"/>
    <m/>
    <n v="35.799999999999997"/>
  </r>
  <r>
    <s v="USR-100426"/>
    <d v="2025-02-12T00:00:00"/>
    <x v="0"/>
    <s v="North"/>
    <s v="Mobile"/>
    <s v="Paid Search"/>
    <s v="Basic"/>
    <n v="1"/>
    <n v="0"/>
    <n v="0"/>
    <n v="0"/>
    <n v="0"/>
    <n v="1"/>
    <n v="0"/>
    <m/>
    <n v="28.2"/>
  </r>
  <r>
    <s v="USR-100427"/>
    <d v="2025-02-12T00:00:00"/>
    <x v="0"/>
    <s v="East"/>
    <s v="Mobile"/>
    <s v="Organic"/>
    <s v="Free"/>
    <n v="0"/>
    <n v="0"/>
    <n v="0"/>
    <n v="0"/>
    <n v="0"/>
    <n v="2"/>
    <n v="0"/>
    <m/>
    <n v="44.4"/>
  </r>
  <r>
    <s v="USR-100428"/>
    <d v="2025-03-27T00:00:00"/>
    <x v="0"/>
    <s v="North"/>
    <s v="Mobile"/>
    <s v="Email"/>
    <s v="Premium"/>
    <n v="1"/>
    <n v="0"/>
    <n v="0"/>
    <n v="0"/>
    <n v="0"/>
    <n v="0"/>
    <n v="0"/>
    <m/>
    <n v="49.9"/>
  </r>
  <r>
    <s v="USR-100429"/>
    <d v="2025-04-12T00:00:00"/>
    <x v="0"/>
    <s v="South"/>
    <s v="Desktop"/>
    <s v="Organic"/>
    <s v="Free"/>
    <n v="0"/>
    <n v="0"/>
    <n v="0"/>
    <n v="0"/>
    <n v="0"/>
    <n v="0"/>
    <n v="0"/>
    <m/>
    <n v="40.4"/>
  </r>
  <r>
    <s v="USR-100430"/>
    <d v="2025-01-30T00:00:00"/>
    <x v="0"/>
    <s v="West"/>
    <s v="Mobile"/>
    <s v="Social"/>
    <s v="Free"/>
    <n v="0"/>
    <n v="0"/>
    <n v="0"/>
    <n v="0"/>
    <n v="0"/>
    <n v="0"/>
    <n v="0"/>
    <m/>
    <n v="60.4"/>
  </r>
  <r>
    <s v="USR-100431"/>
    <d v="2025-05-28T00:00:00"/>
    <x v="0"/>
    <s v="West"/>
    <s v="Mobile"/>
    <s v="Social"/>
    <s v="Premium"/>
    <n v="0"/>
    <n v="0"/>
    <n v="0"/>
    <n v="0"/>
    <n v="0"/>
    <n v="1"/>
    <n v="0"/>
    <m/>
    <n v="52.4"/>
  </r>
  <r>
    <s v="USR-100432"/>
    <d v="2025-05-01T00:00:00"/>
    <x v="0"/>
    <s v="South"/>
    <s v="Mobile"/>
    <s v="Organic"/>
    <s v="Basic"/>
    <n v="1"/>
    <n v="1"/>
    <n v="0"/>
    <n v="0"/>
    <n v="0"/>
    <n v="0"/>
    <n v="0"/>
    <m/>
    <n v="48.8"/>
  </r>
  <r>
    <s v="USR-100433"/>
    <d v="2025-02-03T00:00:00"/>
    <x v="0"/>
    <s v="North"/>
    <s v="Tablet"/>
    <s v="Email"/>
    <s v="Basic"/>
    <n v="1"/>
    <n v="0"/>
    <n v="0"/>
    <n v="0"/>
    <n v="0"/>
    <n v="0"/>
    <n v="0"/>
    <m/>
    <n v="60.9"/>
  </r>
  <r>
    <s v="USR-100434"/>
    <d v="2025-01-10T00:00:00"/>
    <x v="0"/>
    <s v="South"/>
    <s v="Desktop"/>
    <s v="Social"/>
    <s v="Basic"/>
    <n v="0"/>
    <n v="0"/>
    <n v="0"/>
    <n v="0"/>
    <n v="0"/>
    <n v="0"/>
    <n v="0"/>
    <m/>
    <n v="68.2"/>
  </r>
  <r>
    <s v="USR-100435"/>
    <d v="2025-05-02T00:00:00"/>
    <x v="0"/>
    <s v="North"/>
    <s v="Desktop"/>
    <s v="Organic"/>
    <s v="Basic"/>
    <n v="1"/>
    <n v="0"/>
    <n v="0"/>
    <n v="0"/>
    <n v="0"/>
    <n v="0"/>
    <n v="0"/>
    <m/>
    <n v="65.599999999999994"/>
  </r>
  <r>
    <s v="USR-100436"/>
    <d v="2025-05-26T00:00:00"/>
    <x v="0"/>
    <s v="North"/>
    <s v="Desktop"/>
    <s v="Organic"/>
    <s v="Basic"/>
    <n v="1"/>
    <n v="0"/>
    <n v="0"/>
    <n v="0"/>
    <n v="0"/>
    <n v="0"/>
    <n v="0"/>
    <m/>
    <n v="65.400000000000006"/>
  </r>
  <r>
    <s v="USR-100437"/>
    <d v="2025-01-12T00:00:00"/>
    <x v="0"/>
    <s v="West"/>
    <s v="Mobile"/>
    <s v="Organic"/>
    <s v="Basic"/>
    <n v="1"/>
    <n v="0"/>
    <n v="0"/>
    <n v="0"/>
    <n v="0"/>
    <n v="0"/>
    <n v="0"/>
    <m/>
    <n v="78.900000000000006"/>
  </r>
  <r>
    <s v="USR-100438"/>
    <d v="2025-05-27T00:00:00"/>
    <x v="0"/>
    <s v="East"/>
    <s v="Mobile"/>
    <s v="Paid Search"/>
    <s v="Basic"/>
    <n v="1"/>
    <n v="1"/>
    <n v="1"/>
    <n v="0"/>
    <n v="0"/>
    <n v="0"/>
    <n v="0"/>
    <m/>
    <n v="78.3"/>
  </r>
  <r>
    <s v="USR-100439"/>
    <d v="2025-05-22T00:00:00"/>
    <x v="0"/>
    <s v="West"/>
    <s v="Desktop"/>
    <s v="Email"/>
    <s v="Basic"/>
    <n v="0"/>
    <n v="0"/>
    <n v="0"/>
    <n v="0"/>
    <n v="0"/>
    <n v="0"/>
    <n v="0"/>
    <m/>
    <n v="49.2"/>
  </r>
  <r>
    <s v="USR-100440"/>
    <d v="2025-04-01T00:00:00"/>
    <x v="0"/>
    <s v="East"/>
    <s v="Mobile"/>
    <s v="Social"/>
    <s v="Premium"/>
    <n v="1"/>
    <n v="1"/>
    <n v="1"/>
    <n v="1"/>
    <n v="1518.83"/>
    <n v="0"/>
    <n v="0"/>
    <n v="9"/>
    <n v="32.200000000000003"/>
  </r>
  <r>
    <s v="USR-100441"/>
    <d v="2025-01-22T00:00:00"/>
    <x v="0"/>
    <s v="North"/>
    <s v="Mobile"/>
    <s v="Paid Search"/>
    <s v="Basic"/>
    <n v="1"/>
    <n v="1"/>
    <n v="1"/>
    <n v="0"/>
    <n v="0"/>
    <n v="0"/>
    <n v="0"/>
    <m/>
    <n v="46.3"/>
  </r>
  <r>
    <s v="USR-100442"/>
    <d v="2025-05-24T00:00:00"/>
    <x v="0"/>
    <s v="East"/>
    <s v="Mobile"/>
    <s v="Paid Search"/>
    <s v="Basic"/>
    <n v="1"/>
    <n v="0"/>
    <n v="0"/>
    <n v="0"/>
    <n v="0"/>
    <n v="0"/>
    <n v="0"/>
    <m/>
    <n v="55.7"/>
  </r>
  <r>
    <s v="USR-100443"/>
    <d v="2025-04-25T00:00:00"/>
    <x v="0"/>
    <s v="South"/>
    <s v="Mobile"/>
    <s v="Social"/>
    <s v="Free"/>
    <n v="1"/>
    <n v="0"/>
    <n v="0"/>
    <n v="0"/>
    <n v="0"/>
    <n v="0"/>
    <n v="0"/>
    <m/>
    <n v="44.5"/>
  </r>
  <r>
    <s v="USR-100444"/>
    <d v="2025-04-12T00:00:00"/>
    <x v="0"/>
    <s v="West"/>
    <s v="Desktop"/>
    <s v="Referral"/>
    <s v="Free"/>
    <n v="1"/>
    <n v="1"/>
    <n v="1"/>
    <n v="0"/>
    <n v="0"/>
    <n v="1"/>
    <n v="0"/>
    <m/>
    <n v="47.9"/>
  </r>
  <r>
    <s v="USR-100445"/>
    <d v="2025-04-23T00:00:00"/>
    <x v="0"/>
    <s v="South"/>
    <s v="Mobile"/>
    <s v="Organic"/>
    <s v="Premium"/>
    <n v="1"/>
    <n v="0"/>
    <n v="0"/>
    <n v="0"/>
    <n v="0"/>
    <n v="0"/>
    <n v="0"/>
    <m/>
    <n v="43.9"/>
  </r>
  <r>
    <s v="USR-100446"/>
    <d v="2025-03-30T00:00:00"/>
    <x v="0"/>
    <s v="North"/>
    <s v="Desktop"/>
    <s v="Referral"/>
    <s v="Free"/>
    <n v="1"/>
    <n v="1"/>
    <n v="1"/>
    <n v="0"/>
    <n v="0"/>
    <n v="1"/>
    <n v="0"/>
    <m/>
    <n v="67.7"/>
  </r>
  <r>
    <s v="USR-100447"/>
    <d v="2025-01-18T00:00:00"/>
    <x v="0"/>
    <s v="East"/>
    <s v="Mobile"/>
    <s v="Referral"/>
    <s v="Basic"/>
    <n v="0"/>
    <n v="0"/>
    <n v="0"/>
    <n v="0"/>
    <n v="0"/>
    <n v="0"/>
    <n v="0"/>
    <m/>
    <n v="43.7"/>
  </r>
  <r>
    <s v="USR-100448"/>
    <d v="2025-04-09T00:00:00"/>
    <x v="0"/>
    <s v="East"/>
    <s v="Mobile"/>
    <s v="Organic"/>
    <s v="Free"/>
    <n v="1"/>
    <n v="0"/>
    <n v="0"/>
    <n v="0"/>
    <n v="0"/>
    <n v="0"/>
    <n v="0"/>
    <m/>
    <n v="68.8"/>
  </r>
  <r>
    <s v="USR-100449"/>
    <d v="2025-01-11T00:00:00"/>
    <x v="0"/>
    <s v="West"/>
    <s v="Mobile"/>
    <s v="Organic"/>
    <s v="Free"/>
    <n v="1"/>
    <n v="1"/>
    <n v="1"/>
    <n v="0"/>
    <n v="0"/>
    <n v="0"/>
    <n v="0"/>
    <m/>
    <n v="59.2"/>
  </r>
  <r>
    <s v="USR-100450"/>
    <d v="2025-03-05T00:00:00"/>
    <x v="0"/>
    <s v="East"/>
    <s v="Mobile"/>
    <s v="Paid Search"/>
    <s v="Free"/>
    <n v="1"/>
    <n v="0"/>
    <n v="0"/>
    <n v="0"/>
    <n v="0"/>
    <n v="0"/>
    <n v="0"/>
    <m/>
    <n v="48.6"/>
  </r>
  <r>
    <s v="USR-100451"/>
    <d v="2025-02-17T00:00:00"/>
    <x v="0"/>
    <s v="North"/>
    <s v="Tablet"/>
    <s v="Social"/>
    <s v="Free"/>
    <n v="1"/>
    <n v="1"/>
    <n v="1"/>
    <n v="0"/>
    <n v="0"/>
    <n v="0"/>
    <n v="0"/>
    <m/>
    <n v="56.9"/>
  </r>
  <r>
    <s v="USR-100452"/>
    <d v="2025-05-07T00:00:00"/>
    <x v="0"/>
    <s v="North"/>
    <s v="Desktop"/>
    <s v="Paid Search"/>
    <s v="Free"/>
    <n v="0"/>
    <n v="0"/>
    <n v="0"/>
    <n v="0"/>
    <n v="0"/>
    <n v="0"/>
    <n v="0"/>
    <m/>
    <n v="55.8"/>
  </r>
  <r>
    <s v="USR-100453"/>
    <d v="2025-04-10T00:00:00"/>
    <x v="0"/>
    <s v="East"/>
    <s v="Mobile"/>
    <s v="Paid Search"/>
    <s v="Premium"/>
    <n v="0"/>
    <n v="0"/>
    <n v="0"/>
    <n v="0"/>
    <n v="0"/>
    <n v="0"/>
    <n v="0"/>
    <m/>
    <n v="63.3"/>
  </r>
  <r>
    <s v="USR-100454"/>
    <d v="2025-04-21T00:00:00"/>
    <x v="0"/>
    <s v="North"/>
    <s v="Mobile"/>
    <s v="Social"/>
    <s v="Free"/>
    <n v="1"/>
    <n v="0"/>
    <n v="0"/>
    <n v="0"/>
    <n v="0"/>
    <n v="0"/>
    <n v="0"/>
    <m/>
    <n v="52.2"/>
  </r>
  <r>
    <s v="USR-100455"/>
    <d v="2025-02-25T00:00:00"/>
    <x v="0"/>
    <s v="South"/>
    <s v="Tablet"/>
    <s v="UNKNOWN"/>
    <s v="Free"/>
    <n v="0"/>
    <n v="0"/>
    <n v="0"/>
    <n v="0"/>
    <n v="0"/>
    <n v="0"/>
    <n v="0"/>
    <m/>
    <n v="51.5"/>
  </r>
  <r>
    <s v="USR-100456"/>
    <d v="2025-05-14T00:00:00"/>
    <x v="0"/>
    <s v="East"/>
    <s v="Desktop"/>
    <s v="Organic"/>
    <s v="Free"/>
    <n v="0"/>
    <n v="0"/>
    <n v="0"/>
    <n v="0"/>
    <n v="0"/>
    <n v="0"/>
    <n v="0"/>
    <m/>
    <n v="50.3"/>
  </r>
  <r>
    <s v="USR-100457"/>
    <d v="2025-03-10T00:00:00"/>
    <x v="0"/>
    <s v="North"/>
    <s v="Mobile"/>
    <s v="Email"/>
    <s v="Basic"/>
    <n v="1"/>
    <n v="0"/>
    <n v="0"/>
    <n v="0"/>
    <n v="0"/>
    <n v="1"/>
    <n v="0"/>
    <m/>
    <n v="35.4"/>
  </r>
  <r>
    <s v="USR-100458"/>
    <d v="2025-01-31T00:00:00"/>
    <x v="0"/>
    <s v="West"/>
    <s v="Desktop"/>
    <s v="Organic"/>
    <s v="Premium"/>
    <n v="1"/>
    <n v="0"/>
    <n v="0"/>
    <n v="0"/>
    <n v="0"/>
    <n v="1"/>
    <n v="0"/>
    <m/>
    <n v="54.1"/>
  </r>
  <r>
    <s v="USR-100459"/>
    <d v="2025-01-17T00:00:00"/>
    <x v="0"/>
    <s v="South"/>
    <s v="Mobile"/>
    <s v="Organic"/>
    <s v="Premium"/>
    <n v="1"/>
    <n v="0"/>
    <n v="0"/>
    <n v="0"/>
    <n v="0"/>
    <n v="0"/>
    <n v="0"/>
    <m/>
    <n v="56.2"/>
  </r>
  <r>
    <s v="USR-100460"/>
    <d v="2025-03-12T00:00:00"/>
    <x v="0"/>
    <s v="South"/>
    <s v="Mobile"/>
    <s v="Paid Search"/>
    <s v="Free"/>
    <n v="0"/>
    <n v="0"/>
    <n v="0"/>
    <n v="0"/>
    <n v="0"/>
    <n v="3"/>
    <n v="0"/>
    <m/>
    <n v="43.7"/>
  </r>
  <r>
    <s v="USR-100461"/>
    <d v="2025-02-28T00:00:00"/>
    <x v="0"/>
    <s v="West"/>
    <s v="Desktop"/>
    <s v="Organic"/>
    <s v="Premium"/>
    <n v="1"/>
    <n v="1"/>
    <n v="0"/>
    <n v="0"/>
    <n v="0"/>
    <n v="0"/>
    <n v="0"/>
    <m/>
    <n v="51.3"/>
  </r>
  <r>
    <s v="USR-100462"/>
    <d v="2025-05-19T00:00:00"/>
    <x v="0"/>
    <s v="North"/>
    <s v="UNKNOWN"/>
    <s v="Organic"/>
    <s v="Basic"/>
    <n v="1"/>
    <n v="0"/>
    <n v="0"/>
    <n v="0"/>
    <n v="0"/>
    <n v="0"/>
    <n v="0"/>
    <m/>
    <n v="50.5"/>
  </r>
  <r>
    <s v="USR-100463"/>
    <d v="2025-02-23T00:00:00"/>
    <x v="0"/>
    <s v="North"/>
    <s v="Mobile"/>
    <s v="Referral"/>
    <s v="Basic"/>
    <n v="1"/>
    <n v="0"/>
    <n v="0"/>
    <n v="0"/>
    <n v="0"/>
    <n v="0"/>
    <n v="0"/>
    <m/>
    <n v="57.3"/>
  </r>
  <r>
    <s v="USR-100464"/>
    <d v="2025-02-20T00:00:00"/>
    <x v="0"/>
    <s v="West"/>
    <s v="Desktop"/>
    <s v="Organic"/>
    <s v="Free"/>
    <n v="1"/>
    <n v="1"/>
    <n v="1"/>
    <n v="0"/>
    <n v="0"/>
    <n v="0"/>
    <n v="0"/>
    <m/>
    <n v="58.4"/>
  </r>
  <r>
    <s v="USR-100465"/>
    <d v="2025-04-12T00:00:00"/>
    <x v="0"/>
    <s v="North"/>
    <s v="Mobile"/>
    <s v="UNKNOWN"/>
    <s v="Free"/>
    <n v="0"/>
    <n v="0"/>
    <n v="0"/>
    <n v="0"/>
    <n v="0"/>
    <n v="0"/>
    <n v="0"/>
    <m/>
    <n v="56.5"/>
  </r>
  <r>
    <s v="USR-100466"/>
    <d v="2025-01-08T00:00:00"/>
    <x v="0"/>
    <s v="West"/>
    <s v="Mobile"/>
    <s v="Email"/>
    <s v="Free"/>
    <n v="0"/>
    <n v="0"/>
    <n v="0"/>
    <n v="0"/>
    <n v="0"/>
    <n v="0"/>
    <n v="0"/>
    <m/>
    <n v="69.599999999999994"/>
  </r>
  <r>
    <s v="USR-100467"/>
    <d v="2025-02-13T00:00:00"/>
    <x v="0"/>
    <s v="West"/>
    <s v="Mobile"/>
    <s v="Organic"/>
    <s v="Basic"/>
    <n v="0"/>
    <n v="0"/>
    <n v="0"/>
    <n v="0"/>
    <n v="0"/>
    <n v="0"/>
    <n v="0"/>
    <m/>
    <n v="6.2"/>
  </r>
  <r>
    <s v="USR-100468"/>
    <d v="2025-05-21T00:00:00"/>
    <x v="0"/>
    <s v="East"/>
    <s v="Desktop"/>
    <s v="Email"/>
    <s v="Free"/>
    <n v="1"/>
    <n v="1"/>
    <n v="1"/>
    <n v="0"/>
    <n v="0"/>
    <n v="0"/>
    <n v="0"/>
    <m/>
    <n v="54.3"/>
  </r>
  <r>
    <s v="USR-100469"/>
    <d v="2025-05-30T00:00:00"/>
    <x v="0"/>
    <s v="North"/>
    <s v="Mobile"/>
    <s v="Organic"/>
    <s v="Basic"/>
    <n v="0"/>
    <n v="0"/>
    <n v="0"/>
    <n v="0"/>
    <n v="0"/>
    <n v="0"/>
    <n v="0"/>
    <m/>
    <n v="59.8"/>
  </r>
  <r>
    <s v="USR-100470"/>
    <d v="2025-05-20T00:00:00"/>
    <x v="0"/>
    <s v="West"/>
    <s v="Mobile"/>
    <s v="Paid Search"/>
    <s v="Free"/>
    <n v="0"/>
    <n v="0"/>
    <n v="0"/>
    <n v="0"/>
    <n v="0"/>
    <n v="0"/>
    <n v="0"/>
    <m/>
    <n v="58.9"/>
  </r>
  <r>
    <s v="USR-100471"/>
    <d v="2025-01-09T00:00:00"/>
    <x v="0"/>
    <s v="East"/>
    <s v="Desktop"/>
    <s v="Organic"/>
    <s v="Free"/>
    <n v="0"/>
    <n v="0"/>
    <n v="0"/>
    <n v="0"/>
    <n v="0"/>
    <n v="1"/>
    <n v="0"/>
    <m/>
    <n v="52.9"/>
  </r>
  <r>
    <s v="USR-100472"/>
    <d v="2025-03-07T00:00:00"/>
    <x v="0"/>
    <s v="West"/>
    <s v="Mobile"/>
    <s v="Organic"/>
    <s v="Free"/>
    <n v="0"/>
    <n v="0"/>
    <n v="0"/>
    <n v="0"/>
    <n v="0"/>
    <n v="0"/>
    <n v="0"/>
    <m/>
    <n v="67.8"/>
  </r>
  <r>
    <s v="USR-100473"/>
    <d v="2025-04-23T00:00:00"/>
    <x v="0"/>
    <s v="South"/>
    <s v="Mobile"/>
    <s v="Social"/>
    <s v="Free"/>
    <n v="0"/>
    <n v="0"/>
    <n v="0"/>
    <n v="0"/>
    <n v="0"/>
    <n v="0"/>
    <n v="0"/>
    <m/>
    <n v="48.7"/>
  </r>
  <r>
    <s v="USR-100474"/>
    <d v="2025-03-08T00:00:00"/>
    <x v="0"/>
    <s v="East"/>
    <s v="Mobile"/>
    <s v="Organic"/>
    <s v="Basic"/>
    <n v="0"/>
    <n v="0"/>
    <n v="0"/>
    <n v="0"/>
    <n v="0"/>
    <n v="0"/>
    <n v="0"/>
    <m/>
    <n v="59"/>
  </r>
  <r>
    <s v="USR-100475"/>
    <d v="2025-02-14T00:00:00"/>
    <x v="0"/>
    <s v="South"/>
    <s v="Mobile"/>
    <s v="Referral"/>
    <s v="Free"/>
    <n v="0"/>
    <n v="0"/>
    <n v="0"/>
    <n v="0"/>
    <n v="0"/>
    <n v="0"/>
    <n v="0"/>
    <m/>
    <n v="63.2"/>
  </r>
  <r>
    <s v="USR-100476"/>
    <d v="2025-05-17T00:00:00"/>
    <x v="0"/>
    <s v="West"/>
    <s v="Mobile"/>
    <s v="Referral"/>
    <s v="Basic"/>
    <n v="1"/>
    <n v="0"/>
    <n v="0"/>
    <n v="0"/>
    <n v="0"/>
    <n v="0"/>
    <n v="0"/>
    <m/>
    <n v="68.7"/>
  </r>
  <r>
    <s v="USR-100477"/>
    <d v="2025-04-25T00:00:00"/>
    <x v="0"/>
    <s v="South"/>
    <s v="Mobile"/>
    <s v="Referral"/>
    <s v="Free"/>
    <n v="0"/>
    <n v="0"/>
    <n v="0"/>
    <n v="0"/>
    <n v="0"/>
    <n v="0"/>
    <n v="0"/>
    <m/>
    <n v="52.1"/>
  </r>
  <r>
    <s v="USR-100478"/>
    <d v="2025-03-04T00:00:00"/>
    <x v="0"/>
    <s v="South"/>
    <s v="Desktop"/>
    <s v="Social"/>
    <s v="Basic"/>
    <n v="0"/>
    <n v="0"/>
    <n v="0"/>
    <n v="0"/>
    <n v="0"/>
    <n v="0"/>
    <n v="0"/>
    <m/>
    <n v="56.5"/>
  </r>
  <r>
    <s v="USR-100479"/>
    <d v="2025-03-18T00:00:00"/>
    <x v="0"/>
    <s v="South"/>
    <s v="Mobile"/>
    <s v="Organic"/>
    <s v="Free"/>
    <n v="1"/>
    <n v="0"/>
    <n v="0"/>
    <n v="0"/>
    <n v="0"/>
    <n v="0"/>
    <n v="0"/>
    <m/>
    <n v="64.400000000000006"/>
  </r>
  <r>
    <s v="USR-100480"/>
    <d v="2025-01-30T00:00:00"/>
    <x v="0"/>
    <s v="West"/>
    <s v="Mobile"/>
    <s v="Paid Search"/>
    <s v="Premium"/>
    <n v="1"/>
    <n v="0"/>
    <n v="0"/>
    <n v="0"/>
    <n v="0"/>
    <n v="0"/>
    <n v="0"/>
    <m/>
    <n v="65.900000000000006"/>
  </r>
  <r>
    <s v="USR-100481"/>
    <d v="2025-05-20T00:00:00"/>
    <x v="0"/>
    <s v="West"/>
    <s v="Tablet"/>
    <s v="Referral"/>
    <s v="Free"/>
    <n v="1"/>
    <n v="1"/>
    <n v="1"/>
    <n v="0"/>
    <n v="0"/>
    <n v="0"/>
    <n v="0"/>
    <m/>
    <n v="100"/>
  </r>
  <r>
    <s v="USR-100482"/>
    <d v="2025-02-13T00:00:00"/>
    <x v="0"/>
    <s v="North"/>
    <s v="UNKNOWN"/>
    <s v="Organic"/>
    <s v="Basic"/>
    <n v="1"/>
    <n v="1"/>
    <n v="1"/>
    <n v="0"/>
    <n v="0"/>
    <n v="0"/>
    <n v="0"/>
    <m/>
    <n v="50.4"/>
  </r>
  <r>
    <s v="USR-100483"/>
    <d v="2025-04-12T00:00:00"/>
    <x v="0"/>
    <s v="West"/>
    <s v="Desktop"/>
    <s v="Organic"/>
    <s v="Basic"/>
    <n v="0"/>
    <n v="0"/>
    <n v="0"/>
    <n v="0"/>
    <n v="0"/>
    <n v="0"/>
    <n v="0"/>
    <m/>
    <n v="41.5"/>
  </r>
  <r>
    <s v="USR-100484"/>
    <d v="2025-04-07T00:00:00"/>
    <x v="0"/>
    <s v="North"/>
    <s v="Mobile"/>
    <s v="Email"/>
    <s v="Free"/>
    <n v="0"/>
    <n v="0"/>
    <n v="0"/>
    <n v="0"/>
    <n v="0"/>
    <n v="0"/>
    <n v="0"/>
    <m/>
    <n v="86.2"/>
  </r>
  <r>
    <s v="USR-100485"/>
    <d v="2025-03-12T00:00:00"/>
    <x v="0"/>
    <s v="North"/>
    <s v="Desktop"/>
    <s v="Social"/>
    <s v="Free"/>
    <n v="1"/>
    <n v="1"/>
    <n v="1"/>
    <n v="0"/>
    <n v="0"/>
    <n v="2"/>
    <n v="0"/>
    <m/>
    <n v="50.8"/>
  </r>
  <r>
    <s v="USR-100486"/>
    <d v="2025-02-07T00:00:00"/>
    <x v="0"/>
    <s v="West"/>
    <s v="Mobile"/>
    <s v="Organic"/>
    <s v="Free"/>
    <n v="1"/>
    <n v="0"/>
    <n v="0"/>
    <n v="0"/>
    <n v="0"/>
    <n v="0"/>
    <n v="0"/>
    <m/>
    <n v="50.9"/>
  </r>
  <r>
    <s v="USR-100487"/>
    <d v="2025-05-05T00:00:00"/>
    <x v="0"/>
    <s v="North"/>
    <s v="Mobile"/>
    <s v="Organic"/>
    <s v="Premium"/>
    <n v="1"/>
    <n v="1"/>
    <n v="0"/>
    <n v="0"/>
    <n v="0"/>
    <n v="0"/>
    <n v="0"/>
    <m/>
    <n v="87.5"/>
  </r>
  <r>
    <s v="USR-100488"/>
    <d v="2025-03-18T00:00:00"/>
    <x v="0"/>
    <s v="South"/>
    <s v="Mobile"/>
    <s v="Referral"/>
    <s v="Free"/>
    <n v="0"/>
    <n v="0"/>
    <n v="0"/>
    <n v="0"/>
    <n v="0"/>
    <n v="0"/>
    <n v="0"/>
    <m/>
    <n v="43.6"/>
  </r>
  <r>
    <s v="USR-100489"/>
    <d v="2025-01-05T00:00:00"/>
    <x v="0"/>
    <s v="South"/>
    <s v="Mobile"/>
    <s v="Paid Search"/>
    <s v="Basic"/>
    <n v="1"/>
    <n v="0"/>
    <n v="0"/>
    <n v="0"/>
    <n v="0"/>
    <n v="0"/>
    <n v="0"/>
    <m/>
    <n v="55.5"/>
  </r>
  <r>
    <s v="USR-100490"/>
    <d v="2025-05-10T00:00:00"/>
    <x v="0"/>
    <s v="South"/>
    <s v="Desktop"/>
    <s v="Referral"/>
    <s v="Basic"/>
    <n v="0"/>
    <n v="0"/>
    <n v="0"/>
    <n v="0"/>
    <n v="0"/>
    <n v="0"/>
    <n v="0"/>
    <m/>
    <n v="78.599999999999994"/>
  </r>
  <r>
    <s v="USR-100491"/>
    <d v="2025-01-03T00:00:00"/>
    <x v="0"/>
    <s v="South"/>
    <s v="Mobile"/>
    <s v="Social"/>
    <s v="Basic"/>
    <n v="1"/>
    <n v="1"/>
    <n v="0"/>
    <n v="0"/>
    <n v="0"/>
    <n v="1"/>
    <n v="0"/>
    <m/>
    <n v="44.3"/>
  </r>
  <r>
    <s v="USR-100492"/>
    <d v="2025-05-08T00:00:00"/>
    <x v="0"/>
    <s v="South"/>
    <s v="Mobile"/>
    <s v="Paid Search"/>
    <s v="Free"/>
    <n v="1"/>
    <n v="1"/>
    <n v="0"/>
    <n v="0"/>
    <n v="0"/>
    <n v="0"/>
    <n v="0"/>
    <m/>
    <n v="45.2"/>
  </r>
  <r>
    <s v="USR-100493"/>
    <d v="2025-03-05T00:00:00"/>
    <x v="0"/>
    <s v="South"/>
    <s v="Desktop"/>
    <s v="Email"/>
    <s v="Basic"/>
    <n v="1"/>
    <n v="0"/>
    <n v="0"/>
    <n v="0"/>
    <n v="0"/>
    <n v="2"/>
    <n v="0"/>
    <m/>
    <n v="46.1"/>
  </r>
  <r>
    <s v="USR-100494"/>
    <d v="2025-02-17T00:00:00"/>
    <x v="0"/>
    <s v="North"/>
    <s v="Mobile"/>
    <s v="Organic"/>
    <s v="Premium"/>
    <n v="1"/>
    <n v="0"/>
    <n v="0"/>
    <n v="0"/>
    <n v="0"/>
    <n v="0"/>
    <n v="0"/>
    <m/>
    <n v="49.6"/>
  </r>
  <r>
    <s v="USR-100495"/>
    <d v="2025-01-09T00:00:00"/>
    <x v="0"/>
    <s v="South"/>
    <s v="Mobile"/>
    <s v="Referral"/>
    <s v="Basic"/>
    <n v="0"/>
    <n v="0"/>
    <n v="0"/>
    <n v="0"/>
    <n v="0"/>
    <n v="0"/>
    <n v="0"/>
    <m/>
    <n v="70.5"/>
  </r>
  <r>
    <s v="USR-100496"/>
    <d v="2025-05-05T00:00:00"/>
    <x v="0"/>
    <s v="South"/>
    <s v="Mobile"/>
    <s v="Email"/>
    <s v="Basic"/>
    <n v="0"/>
    <n v="0"/>
    <n v="0"/>
    <n v="0"/>
    <n v="0"/>
    <n v="1"/>
    <n v="0"/>
    <m/>
    <n v="60.8"/>
  </r>
  <r>
    <s v="USR-100497"/>
    <d v="2025-04-16T00:00:00"/>
    <x v="0"/>
    <s v="East"/>
    <s v="Mobile"/>
    <s v="Email"/>
    <s v="Basic"/>
    <n v="0"/>
    <n v="0"/>
    <n v="0"/>
    <n v="0"/>
    <n v="0"/>
    <n v="1"/>
    <n v="0"/>
    <m/>
    <n v="50.5"/>
  </r>
  <r>
    <s v="USR-100498"/>
    <d v="2025-03-02T00:00:00"/>
    <x v="0"/>
    <s v="South"/>
    <s v="Desktop"/>
    <s v="Organic"/>
    <s v="Free"/>
    <n v="1"/>
    <n v="0"/>
    <n v="0"/>
    <n v="0"/>
    <n v="0"/>
    <n v="0"/>
    <n v="0"/>
    <m/>
    <n v="54.9"/>
  </r>
  <r>
    <s v="USR-100499"/>
    <d v="2025-04-14T00:00:00"/>
    <x v="0"/>
    <s v="South"/>
    <s v="Mobile"/>
    <s v="Social"/>
    <s v="Premium"/>
    <n v="0"/>
    <n v="0"/>
    <n v="0"/>
    <n v="0"/>
    <n v="0"/>
    <n v="0"/>
    <n v="0"/>
    <m/>
    <n v="29.9"/>
  </r>
  <r>
    <s v="USR-100500"/>
    <d v="2025-02-15T00:00:00"/>
    <x v="0"/>
    <s v="East"/>
    <s v="Desktop"/>
    <s v="Paid Search"/>
    <s v="Basic"/>
    <n v="0"/>
    <n v="0"/>
    <n v="0"/>
    <n v="0"/>
    <n v="0"/>
    <n v="0"/>
    <n v="0"/>
    <m/>
    <n v="48.3"/>
  </r>
  <r>
    <s v="USR-100501"/>
    <d v="2025-02-13T00:00:00"/>
    <x v="0"/>
    <s v="West"/>
    <s v="Mobile"/>
    <s v="Social"/>
    <s v="Free"/>
    <n v="1"/>
    <n v="1"/>
    <n v="1"/>
    <n v="1"/>
    <n v="513.61"/>
    <n v="0"/>
    <n v="0"/>
    <n v="7"/>
    <n v="41.3"/>
  </r>
  <r>
    <s v="USR-100502"/>
    <d v="2025-03-06T00:00:00"/>
    <x v="0"/>
    <s v="North"/>
    <s v="Mobile"/>
    <s v="Email"/>
    <s v="Free"/>
    <n v="0"/>
    <n v="0"/>
    <n v="0"/>
    <n v="0"/>
    <n v="0"/>
    <n v="0"/>
    <n v="0"/>
    <m/>
    <n v="61.4"/>
  </r>
  <r>
    <s v="USR-100503"/>
    <d v="2025-02-18T00:00:00"/>
    <x v="0"/>
    <s v="South"/>
    <s v="Desktop"/>
    <s v="Social"/>
    <s v="Free"/>
    <n v="0"/>
    <n v="0"/>
    <n v="0"/>
    <n v="0"/>
    <n v="0"/>
    <n v="0"/>
    <n v="0"/>
    <m/>
    <n v="57.8"/>
  </r>
  <r>
    <s v="USR-100504"/>
    <d v="2025-04-07T00:00:00"/>
    <x v="0"/>
    <s v="North"/>
    <s v="Desktop"/>
    <s v="Organic"/>
    <s v="Free"/>
    <n v="0"/>
    <n v="0"/>
    <n v="0"/>
    <n v="0"/>
    <n v="0"/>
    <n v="0"/>
    <n v="0"/>
    <m/>
    <n v="78.2"/>
  </r>
  <r>
    <s v="USR-100505"/>
    <d v="2025-04-06T00:00:00"/>
    <x v="0"/>
    <s v="North"/>
    <s v="Mobile"/>
    <s v="Referral"/>
    <s v="Free"/>
    <n v="0"/>
    <n v="0"/>
    <n v="0"/>
    <n v="0"/>
    <n v="0"/>
    <n v="0"/>
    <n v="0"/>
    <m/>
    <n v="63.8"/>
  </r>
  <r>
    <s v="USR-100506"/>
    <d v="2025-01-30T00:00:00"/>
    <x v="0"/>
    <s v="North"/>
    <s v="Desktop"/>
    <s v="Social"/>
    <s v="Free"/>
    <n v="1"/>
    <n v="0"/>
    <n v="0"/>
    <n v="0"/>
    <n v="0"/>
    <n v="0"/>
    <n v="0"/>
    <m/>
    <n v="56.8"/>
  </r>
  <r>
    <s v="USR-100507"/>
    <d v="2025-05-13T00:00:00"/>
    <x v="0"/>
    <s v="South"/>
    <s v="Desktop"/>
    <s v="Organic"/>
    <s v="Basic"/>
    <n v="1"/>
    <n v="1"/>
    <n v="0"/>
    <n v="0"/>
    <n v="0"/>
    <n v="0"/>
    <n v="0"/>
    <m/>
    <n v="59.6"/>
  </r>
  <r>
    <s v="USR-100508"/>
    <d v="2025-01-20T00:00:00"/>
    <x v="0"/>
    <s v="West"/>
    <s v="Mobile"/>
    <s v="Paid Search"/>
    <s v="Premium"/>
    <n v="1"/>
    <n v="1"/>
    <n v="0"/>
    <n v="0"/>
    <n v="0"/>
    <n v="0"/>
    <n v="0"/>
    <m/>
    <n v="50"/>
  </r>
  <r>
    <s v="USR-100509"/>
    <d v="2025-01-30T00:00:00"/>
    <x v="0"/>
    <s v="North"/>
    <s v="Tablet"/>
    <s v="Organic"/>
    <s v="Free"/>
    <n v="1"/>
    <n v="0"/>
    <n v="0"/>
    <n v="0"/>
    <n v="0"/>
    <n v="0"/>
    <n v="0"/>
    <m/>
    <n v="35.700000000000003"/>
  </r>
  <r>
    <s v="USR-100510"/>
    <d v="2025-01-13T00:00:00"/>
    <x v="0"/>
    <s v="South"/>
    <s v="Mobile"/>
    <s v="Organic"/>
    <s v="Free"/>
    <n v="0"/>
    <n v="0"/>
    <n v="0"/>
    <n v="0"/>
    <n v="0"/>
    <n v="2"/>
    <n v="0"/>
    <m/>
    <n v="47.2"/>
  </r>
  <r>
    <s v="USR-100511"/>
    <d v="2025-02-11T00:00:00"/>
    <x v="0"/>
    <s v="North"/>
    <s v="Mobile"/>
    <s v="Social"/>
    <s v="Free"/>
    <n v="1"/>
    <n v="1"/>
    <n v="0"/>
    <n v="0"/>
    <n v="0"/>
    <n v="0"/>
    <n v="0"/>
    <m/>
    <n v="56.9"/>
  </r>
  <r>
    <s v="USR-100512"/>
    <d v="2025-04-15T00:00:00"/>
    <x v="0"/>
    <s v="South"/>
    <s v="Mobile"/>
    <s v="Organic"/>
    <s v="Free"/>
    <n v="0"/>
    <n v="0"/>
    <n v="0"/>
    <n v="0"/>
    <n v="0"/>
    <n v="1"/>
    <n v="0"/>
    <m/>
    <n v="57.2"/>
  </r>
  <r>
    <s v="USR-100513"/>
    <d v="2025-02-13T00:00:00"/>
    <x v="0"/>
    <s v="South"/>
    <s v="Mobile"/>
    <s v="UNKNOWN"/>
    <s v="Free"/>
    <n v="1"/>
    <n v="1"/>
    <n v="0"/>
    <n v="0"/>
    <n v="0"/>
    <n v="0"/>
    <n v="0"/>
    <m/>
    <n v="31.4"/>
  </r>
  <r>
    <s v="USR-100514"/>
    <d v="2025-05-09T00:00:00"/>
    <x v="0"/>
    <s v="South"/>
    <s v="Desktop"/>
    <s v="Organic"/>
    <s v="Free"/>
    <n v="0"/>
    <n v="0"/>
    <n v="0"/>
    <n v="0"/>
    <n v="0"/>
    <n v="0"/>
    <n v="0"/>
    <m/>
    <n v="71.2"/>
  </r>
  <r>
    <s v="USR-100515"/>
    <d v="2025-03-10T00:00:00"/>
    <x v="0"/>
    <s v="North"/>
    <s v="Mobile"/>
    <s v="Paid Search"/>
    <s v="Free"/>
    <n v="1"/>
    <n v="1"/>
    <n v="1"/>
    <n v="0"/>
    <n v="0"/>
    <n v="1"/>
    <n v="0"/>
    <m/>
    <n v="38.299999999999997"/>
  </r>
  <r>
    <s v="USR-100516"/>
    <d v="2025-04-01T00:00:00"/>
    <x v="0"/>
    <s v="North"/>
    <s v="Mobile"/>
    <s v="Organic"/>
    <s v="Free"/>
    <n v="1"/>
    <n v="1"/>
    <n v="0"/>
    <n v="0"/>
    <n v="0"/>
    <n v="0"/>
    <n v="0"/>
    <m/>
    <n v="63.1"/>
  </r>
  <r>
    <s v="USR-100517"/>
    <d v="2025-05-15T00:00:00"/>
    <x v="0"/>
    <s v="East"/>
    <s v="Mobile"/>
    <s v="Referral"/>
    <s v="Basic"/>
    <n v="1"/>
    <n v="0"/>
    <n v="0"/>
    <n v="0"/>
    <n v="0"/>
    <n v="0"/>
    <n v="0"/>
    <m/>
    <n v="59.7"/>
  </r>
  <r>
    <s v="USR-100518"/>
    <d v="2025-05-04T00:00:00"/>
    <x v="0"/>
    <s v="South"/>
    <s v="Desktop"/>
    <s v="Social"/>
    <s v="Premium"/>
    <n v="1"/>
    <n v="1"/>
    <n v="1"/>
    <n v="0"/>
    <n v="0"/>
    <n v="0"/>
    <n v="0"/>
    <m/>
    <n v="59.5"/>
  </r>
  <r>
    <s v="USR-100519"/>
    <d v="2025-05-20T00:00:00"/>
    <x v="0"/>
    <s v="East"/>
    <s v="Mobile"/>
    <s v="Paid Search"/>
    <s v="Free"/>
    <n v="0"/>
    <n v="0"/>
    <n v="0"/>
    <n v="0"/>
    <n v="0"/>
    <n v="0"/>
    <n v="0"/>
    <m/>
    <n v="78.8"/>
  </r>
  <r>
    <s v="USR-100520"/>
    <d v="2025-05-16T00:00:00"/>
    <x v="0"/>
    <s v="West"/>
    <s v="Desktop"/>
    <s v="Referral"/>
    <s v="Free"/>
    <n v="0"/>
    <n v="0"/>
    <n v="0"/>
    <n v="0"/>
    <n v="0"/>
    <n v="0"/>
    <n v="0"/>
    <m/>
    <n v="54"/>
  </r>
  <r>
    <s v="USR-100521"/>
    <d v="2025-03-17T00:00:00"/>
    <x v="0"/>
    <s v="West"/>
    <s v="Mobile"/>
    <s v="Organic"/>
    <s v="Free"/>
    <n v="1"/>
    <n v="0"/>
    <n v="0"/>
    <n v="0"/>
    <n v="0"/>
    <n v="0"/>
    <n v="0"/>
    <m/>
    <n v="66.3"/>
  </r>
  <r>
    <s v="USR-100522"/>
    <d v="2025-01-27T00:00:00"/>
    <x v="0"/>
    <s v="East"/>
    <s v="Tablet"/>
    <s v="Paid Search"/>
    <s v="Free"/>
    <n v="1"/>
    <n v="1"/>
    <n v="0"/>
    <n v="0"/>
    <n v="0"/>
    <n v="0"/>
    <n v="0"/>
    <m/>
    <n v="54.7"/>
  </r>
  <r>
    <s v="USR-100523"/>
    <d v="2025-04-13T00:00:00"/>
    <x v="0"/>
    <s v="South"/>
    <s v="Mobile"/>
    <s v="Organic"/>
    <s v="Basic"/>
    <n v="1"/>
    <n v="0"/>
    <n v="0"/>
    <n v="0"/>
    <n v="0"/>
    <n v="0"/>
    <n v="0"/>
    <m/>
    <n v="76.7"/>
  </r>
  <r>
    <s v="USR-100524"/>
    <d v="2025-05-03T00:00:00"/>
    <x v="0"/>
    <s v="South"/>
    <s v="Desktop"/>
    <s v="Email"/>
    <s v="Basic"/>
    <n v="1"/>
    <n v="0"/>
    <n v="0"/>
    <n v="0"/>
    <n v="0"/>
    <n v="2"/>
    <n v="0"/>
    <m/>
    <n v="47.4"/>
  </r>
  <r>
    <s v="USR-100525"/>
    <d v="2025-03-30T00:00:00"/>
    <x v="0"/>
    <s v="North"/>
    <s v="Mobile"/>
    <s v="Organic"/>
    <s v="Free"/>
    <n v="1"/>
    <n v="1"/>
    <n v="1"/>
    <n v="0"/>
    <n v="0"/>
    <n v="0"/>
    <n v="0"/>
    <m/>
    <n v="81.7"/>
  </r>
  <r>
    <s v="USR-100526"/>
    <d v="2025-01-01T00:00:00"/>
    <x v="0"/>
    <s v="West"/>
    <s v="Mobile"/>
    <s v="Paid Search"/>
    <s v="Basic"/>
    <n v="1"/>
    <n v="1"/>
    <n v="1"/>
    <n v="0"/>
    <n v="0"/>
    <n v="0"/>
    <n v="0"/>
    <m/>
    <n v="67.5"/>
  </r>
  <r>
    <s v="USR-100527"/>
    <d v="2025-02-06T00:00:00"/>
    <x v="0"/>
    <s v="West"/>
    <s v="Mobile"/>
    <s v="Paid Search"/>
    <s v="Basic"/>
    <n v="1"/>
    <n v="0"/>
    <n v="0"/>
    <n v="0"/>
    <n v="0"/>
    <n v="0"/>
    <n v="0"/>
    <m/>
    <n v="36.799999999999997"/>
  </r>
  <r>
    <s v="USR-100528"/>
    <d v="2025-02-25T00:00:00"/>
    <x v="0"/>
    <s v="North"/>
    <s v="Desktop"/>
    <s v="Organic"/>
    <s v="Free"/>
    <n v="0"/>
    <n v="0"/>
    <n v="0"/>
    <n v="0"/>
    <n v="0"/>
    <n v="0"/>
    <n v="0"/>
    <m/>
    <n v="66.5"/>
  </r>
  <r>
    <s v="USR-100529"/>
    <d v="2025-05-14T00:00:00"/>
    <x v="0"/>
    <s v="East"/>
    <s v="Tablet"/>
    <s v="Social"/>
    <s v="Free"/>
    <n v="1"/>
    <n v="0"/>
    <n v="0"/>
    <n v="0"/>
    <n v="0"/>
    <n v="0"/>
    <n v="0"/>
    <m/>
    <n v="35.4"/>
  </r>
  <r>
    <s v="USR-100530"/>
    <d v="2025-05-20T00:00:00"/>
    <x v="0"/>
    <s v="South"/>
    <s v="Mobile"/>
    <s v="Organic"/>
    <s v="Basic"/>
    <n v="0"/>
    <n v="0"/>
    <n v="0"/>
    <n v="0"/>
    <n v="0"/>
    <n v="0"/>
    <n v="0"/>
    <m/>
    <n v="64.3"/>
  </r>
  <r>
    <s v="USR-100531"/>
    <d v="2025-02-11T00:00:00"/>
    <x v="0"/>
    <s v="South"/>
    <s v="Mobile"/>
    <s v="Organic"/>
    <s v="Free"/>
    <n v="0"/>
    <n v="0"/>
    <n v="0"/>
    <n v="0"/>
    <n v="0"/>
    <n v="0"/>
    <n v="0"/>
    <m/>
    <n v="49.1"/>
  </r>
  <r>
    <s v="USR-100532"/>
    <d v="2025-02-13T00:00:00"/>
    <x v="0"/>
    <s v="West"/>
    <s v="Mobile"/>
    <s v="Organic"/>
    <s v="Free"/>
    <n v="1"/>
    <n v="0"/>
    <n v="0"/>
    <n v="0"/>
    <n v="0"/>
    <n v="0"/>
    <n v="0"/>
    <m/>
    <n v="84.3"/>
  </r>
  <r>
    <s v="USR-100533"/>
    <d v="2025-04-07T00:00:00"/>
    <x v="0"/>
    <s v="South"/>
    <s v="Mobile"/>
    <s v="Paid Search"/>
    <s v="Premium"/>
    <n v="1"/>
    <n v="0"/>
    <n v="0"/>
    <n v="0"/>
    <n v="0"/>
    <n v="0"/>
    <n v="0"/>
    <m/>
    <n v="65.599999999999994"/>
  </r>
  <r>
    <s v="USR-100534"/>
    <d v="2025-03-08T00:00:00"/>
    <x v="0"/>
    <s v="East"/>
    <s v="Mobile"/>
    <s v="Email"/>
    <s v="Free"/>
    <n v="1"/>
    <n v="0"/>
    <n v="0"/>
    <n v="0"/>
    <n v="0"/>
    <n v="0"/>
    <n v="0"/>
    <m/>
    <n v="47.1"/>
  </r>
  <r>
    <s v="USR-100535"/>
    <d v="2025-02-16T00:00:00"/>
    <x v="0"/>
    <s v="North"/>
    <s v="Desktop"/>
    <s v="Paid Search"/>
    <s v="Free"/>
    <n v="1"/>
    <n v="1"/>
    <n v="1"/>
    <n v="0"/>
    <n v="0"/>
    <n v="0"/>
    <n v="0"/>
    <m/>
    <n v="70"/>
  </r>
  <r>
    <s v="USR-100536"/>
    <d v="2025-04-28T00:00:00"/>
    <x v="0"/>
    <s v="South"/>
    <s v="Mobile"/>
    <s v="Paid Search"/>
    <s v="Premium"/>
    <n v="1"/>
    <n v="0"/>
    <n v="0"/>
    <n v="0"/>
    <n v="0"/>
    <n v="0"/>
    <n v="0"/>
    <m/>
    <n v="54.6"/>
  </r>
  <r>
    <s v="USR-100537"/>
    <d v="2025-03-10T00:00:00"/>
    <x v="0"/>
    <s v="West"/>
    <s v="Tablet"/>
    <s v="Social"/>
    <s v="Basic"/>
    <n v="1"/>
    <n v="1"/>
    <n v="0"/>
    <n v="0"/>
    <n v="0"/>
    <n v="1"/>
    <n v="0"/>
    <m/>
    <n v="65.2"/>
  </r>
  <r>
    <s v="USR-100538"/>
    <d v="2025-01-25T00:00:00"/>
    <x v="0"/>
    <s v="East"/>
    <s v="Mobile"/>
    <s v="Social"/>
    <s v="Free"/>
    <n v="1"/>
    <n v="0"/>
    <n v="0"/>
    <n v="0"/>
    <n v="0"/>
    <n v="0"/>
    <n v="0"/>
    <m/>
    <n v="65"/>
  </r>
  <r>
    <s v="USR-100539"/>
    <d v="2025-01-11T00:00:00"/>
    <x v="0"/>
    <s v="West"/>
    <s v="Mobile"/>
    <s v="Paid Search"/>
    <s v="Premium"/>
    <n v="1"/>
    <n v="1"/>
    <n v="1"/>
    <n v="0"/>
    <n v="0"/>
    <n v="1"/>
    <n v="0"/>
    <m/>
    <n v="42.1"/>
  </r>
  <r>
    <s v="USR-100540"/>
    <d v="2025-03-31T00:00:00"/>
    <x v="0"/>
    <s v="West"/>
    <s v="Tablet"/>
    <s v="Paid Search"/>
    <s v="Free"/>
    <n v="1"/>
    <n v="0"/>
    <n v="0"/>
    <n v="0"/>
    <n v="0"/>
    <n v="0"/>
    <n v="0"/>
    <m/>
    <n v="43.4"/>
  </r>
  <r>
    <s v="USR-100541"/>
    <d v="2025-05-22T00:00:00"/>
    <x v="0"/>
    <s v="North"/>
    <s v="Mobile"/>
    <s v="Paid Search"/>
    <s v="Basic"/>
    <n v="1"/>
    <n v="1"/>
    <n v="0"/>
    <n v="0"/>
    <n v="0"/>
    <n v="0"/>
    <n v="0"/>
    <m/>
    <n v="39.9"/>
  </r>
  <r>
    <s v="USR-100542"/>
    <d v="2025-05-16T00:00:00"/>
    <x v="0"/>
    <s v="North"/>
    <s v="Mobile"/>
    <s v="Referral"/>
    <s v="Basic"/>
    <n v="0"/>
    <n v="0"/>
    <n v="0"/>
    <n v="0"/>
    <n v="0"/>
    <n v="0"/>
    <n v="0"/>
    <m/>
    <n v="74.099999999999994"/>
  </r>
  <r>
    <s v="USR-100543"/>
    <d v="2025-04-25T00:00:00"/>
    <x v="0"/>
    <s v="East"/>
    <s v="Desktop"/>
    <s v="Paid Search"/>
    <s v="Free"/>
    <n v="1"/>
    <n v="0"/>
    <n v="0"/>
    <n v="0"/>
    <n v="0"/>
    <n v="0"/>
    <n v="0"/>
    <m/>
    <n v="61.4"/>
  </r>
  <r>
    <s v="USR-100544"/>
    <d v="2025-04-17T00:00:00"/>
    <x v="0"/>
    <s v="East"/>
    <s v="Mobile"/>
    <s v="Social"/>
    <s v="Premium"/>
    <n v="1"/>
    <n v="1"/>
    <n v="1"/>
    <n v="0"/>
    <n v="0"/>
    <n v="0"/>
    <n v="0"/>
    <m/>
    <n v="76.8"/>
  </r>
  <r>
    <s v="USR-100545"/>
    <d v="2025-01-01T00:00:00"/>
    <x v="0"/>
    <s v="South"/>
    <s v="Desktop"/>
    <s v="Social"/>
    <s v="Basic"/>
    <n v="0"/>
    <n v="0"/>
    <n v="0"/>
    <n v="0"/>
    <n v="0"/>
    <n v="0"/>
    <n v="0"/>
    <m/>
    <n v="60.02"/>
  </r>
  <r>
    <s v="USR-100546"/>
    <d v="2025-03-18T00:00:00"/>
    <x v="0"/>
    <s v="East"/>
    <s v="Mobile"/>
    <s v="Paid Search"/>
    <s v="Basic"/>
    <n v="1"/>
    <n v="1"/>
    <n v="1"/>
    <n v="0"/>
    <n v="0"/>
    <n v="0"/>
    <n v="0"/>
    <m/>
    <n v="45.3"/>
  </r>
  <r>
    <s v="USR-100547"/>
    <d v="2025-05-20T00:00:00"/>
    <x v="0"/>
    <s v="North"/>
    <s v="Tablet"/>
    <s v="Paid Search"/>
    <s v="Free"/>
    <n v="1"/>
    <n v="0"/>
    <n v="0"/>
    <n v="0"/>
    <n v="0"/>
    <n v="0"/>
    <n v="0"/>
    <m/>
    <n v="41.4"/>
  </r>
  <r>
    <s v="USR-100548"/>
    <d v="2025-03-16T00:00:00"/>
    <x v="0"/>
    <s v="North"/>
    <s v="Mobile"/>
    <s v="Organic"/>
    <s v="Basic"/>
    <n v="1"/>
    <n v="0"/>
    <n v="0"/>
    <n v="0"/>
    <n v="0"/>
    <n v="0"/>
    <n v="0"/>
    <m/>
    <n v="37.1"/>
  </r>
  <r>
    <s v="USR-100549"/>
    <d v="2025-05-30T00:00:00"/>
    <x v="0"/>
    <s v="East"/>
    <s v="Desktop"/>
    <s v="Social"/>
    <s v="Free"/>
    <n v="1"/>
    <n v="0"/>
    <n v="0"/>
    <n v="0"/>
    <n v="0"/>
    <n v="0"/>
    <n v="0"/>
    <m/>
    <n v="40.700000000000003"/>
  </r>
  <r>
    <s v="USR-100550"/>
    <d v="2025-02-20T00:00:00"/>
    <x v="0"/>
    <s v="North"/>
    <s v="Mobile"/>
    <s v="Social"/>
    <s v="Premium"/>
    <n v="0"/>
    <n v="0"/>
    <n v="0"/>
    <n v="0"/>
    <n v="0"/>
    <n v="2"/>
    <n v="0"/>
    <m/>
    <n v="55.9"/>
  </r>
  <r>
    <s v="USR-100551"/>
    <d v="2025-02-11T00:00:00"/>
    <x v="0"/>
    <s v="East"/>
    <s v="UNKNOWN"/>
    <s v="Social"/>
    <s v="Free"/>
    <n v="1"/>
    <n v="1"/>
    <n v="0"/>
    <n v="0"/>
    <n v="0"/>
    <n v="0"/>
    <n v="0"/>
    <m/>
    <n v="55.8"/>
  </r>
  <r>
    <s v="USR-100552"/>
    <d v="2025-01-02T00:00:00"/>
    <x v="0"/>
    <s v="South"/>
    <s v="Tablet"/>
    <s v="Referral"/>
    <s v="Basic"/>
    <n v="1"/>
    <n v="0"/>
    <n v="0"/>
    <n v="0"/>
    <n v="0"/>
    <n v="0"/>
    <n v="0"/>
    <m/>
    <n v="64.3"/>
  </r>
  <r>
    <s v="USR-100553"/>
    <d v="2025-05-03T00:00:00"/>
    <x v="0"/>
    <s v="North"/>
    <s v="Mobile"/>
    <s v="Organic"/>
    <s v="Free"/>
    <n v="0"/>
    <n v="0"/>
    <n v="0"/>
    <n v="0"/>
    <n v="0"/>
    <n v="0"/>
    <n v="0"/>
    <m/>
    <n v="65.400000000000006"/>
  </r>
  <r>
    <s v="USR-100554"/>
    <d v="2025-02-24T00:00:00"/>
    <x v="0"/>
    <s v="West"/>
    <s v="Mobile"/>
    <s v="Organic"/>
    <s v="Free"/>
    <n v="1"/>
    <n v="0"/>
    <n v="0"/>
    <n v="0"/>
    <n v="0"/>
    <n v="0"/>
    <n v="0"/>
    <m/>
    <n v="89.8"/>
  </r>
  <r>
    <s v="USR-100555"/>
    <d v="2025-02-11T00:00:00"/>
    <x v="0"/>
    <s v="South"/>
    <s v="UNKNOWN"/>
    <s v="Organic"/>
    <s v="Free"/>
    <n v="1"/>
    <n v="1"/>
    <n v="1"/>
    <n v="0"/>
    <n v="0"/>
    <n v="0"/>
    <n v="0"/>
    <m/>
    <n v="58.3"/>
  </r>
  <r>
    <s v="USR-100556"/>
    <d v="2025-05-06T00:00:00"/>
    <x v="0"/>
    <s v="South"/>
    <s v="Mobile"/>
    <s v="Social"/>
    <s v="Basic"/>
    <n v="1"/>
    <n v="0"/>
    <n v="0"/>
    <n v="0"/>
    <n v="0"/>
    <n v="0"/>
    <n v="0"/>
    <m/>
    <n v="64.400000000000006"/>
  </r>
  <r>
    <s v="USR-100557"/>
    <d v="2025-05-23T00:00:00"/>
    <x v="0"/>
    <s v="North"/>
    <s v="Mobile"/>
    <s v="Paid Search"/>
    <s v="Premium"/>
    <n v="0"/>
    <n v="0"/>
    <n v="0"/>
    <n v="0"/>
    <n v="0"/>
    <n v="0"/>
    <n v="0"/>
    <m/>
    <n v="46.2"/>
  </r>
  <r>
    <s v="USR-100558"/>
    <d v="2025-01-09T00:00:00"/>
    <x v="0"/>
    <s v="North"/>
    <s v="Desktop"/>
    <s v="Paid Search"/>
    <s v="Free"/>
    <n v="0"/>
    <n v="0"/>
    <n v="0"/>
    <n v="0"/>
    <n v="0"/>
    <n v="0"/>
    <n v="0"/>
    <m/>
    <n v="78"/>
  </r>
  <r>
    <s v="USR-100559"/>
    <d v="2025-04-01T00:00:00"/>
    <x v="0"/>
    <s v="North"/>
    <s v="Desktop"/>
    <s v="Organic"/>
    <s v="Premium"/>
    <n v="1"/>
    <n v="0"/>
    <n v="0"/>
    <n v="0"/>
    <n v="0"/>
    <n v="0"/>
    <n v="0"/>
    <m/>
    <n v="62.3"/>
  </r>
  <r>
    <s v="USR-100560"/>
    <d v="2025-03-08T00:00:00"/>
    <x v="0"/>
    <s v="North"/>
    <s v="Mobile"/>
    <s v="Organic"/>
    <s v="Free"/>
    <n v="1"/>
    <n v="0"/>
    <n v="0"/>
    <n v="0"/>
    <n v="0"/>
    <n v="0"/>
    <n v="0"/>
    <m/>
    <n v="78.8"/>
  </r>
  <r>
    <s v="USR-100561"/>
    <d v="2025-02-20T00:00:00"/>
    <x v="0"/>
    <s v="North"/>
    <s v="Mobile"/>
    <s v="Social"/>
    <s v="Basic"/>
    <n v="1"/>
    <n v="0"/>
    <n v="0"/>
    <n v="0"/>
    <n v="0"/>
    <n v="0"/>
    <n v="0"/>
    <m/>
    <n v="25"/>
  </r>
  <r>
    <s v="USR-100562"/>
    <d v="2025-03-30T00:00:00"/>
    <x v="0"/>
    <s v="East"/>
    <s v="Mobile"/>
    <s v="Social"/>
    <s v="Basic"/>
    <n v="0"/>
    <n v="0"/>
    <n v="0"/>
    <n v="0"/>
    <n v="0"/>
    <n v="0"/>
    <n v="0"/>
    <m/>
    <n v="53.4"/>
  </r>
  <r>
    <s v="USR-100563"/>
    <d v="2025-04-10T00:00:00"/>
    <x v="0"/>
    <s v="East"/>
    <s v="Desktop"/>
    <s v="Organic"/>
    <s v="Basic"/>
    <n v="0"/>
    <n v="0"/>
    <n v="0"/>
    <n v="0"/>
    <n v="0"/>
    <n v="0"/>
    <n v="0"/>
    <m/>
    <n v="40.700000000000003"/>
  </r>
  <r>
    <s v="USR-100564"/>
    <d v="2025-03-24T00:00:00"/>
    <x v="0"/>
    <s v="East"/>
    <s v="Mobile"/>
    <s v="Organic"/>
    <s v="Premium"/>
    <n v="1"/>
    <n v="1"/>
    <n v="0"/>
    <n v="0"/>
    <n v="0"/>
    <n v="0"/>
    <n v="0"/>
    <m/>
    <n v="36.700000000000003"/>
  </r>
  <r>
    <s v="USR-100565"/>
    <d v="2025-05-21T00:00:00"/>
    <x v="0"/>
    <s v="West"/>
    <s v="Mobile"/>
    <s v="Organic"/>
    <s v="Basic"/>
    <n v="1"/>
    <n v="0"/>
    <n v="0"/>
    <n v="0"/>
    <n v="0"/>
    <n v="1"/>
    <n v="0"/>
    <m/>
    <n v="67.5"/>
  </r>
  <r>
    <s v="USR-100566"/>
    <d v="2025-03-29T00:00:00"/>
    <x v="0"/>
    <s v="East"/>
    <s v="Mobile"/>
    <s v="Social"/>
    <s v="Premium"/>
    <n v="1"/>
    <n v="1"/>
    <n v="1"/>
    <n v="0"/>
    <n v="0"/>
    <n v="0"/>
    <n v="0"/>
    <m/>
    <n v="69.900000000000006"/>
  </r>
  <r>
    <s v="USR-100567"/>
    <d v="2025-02-23T00:00:00"/>
    <x v="0"/>
    <s v="North"/>
    <s v="Tablet"/>
    <s v="Referral"/>
    <s v="Basic"/>
    <n v="1"/>
    <n v="0"/>
    <n v="0"/>
    <n v="0"/>
    <n v="0"/>
    <n v="0"/>
    <n v="0"/>
    <m/>
    <n v="65.099999999999994"/>
  </r>
  <r>
    <s v="USR-100568"/>
    <d v="2025-02-16T00:00:00"/>
    <x v="0"/>
    <s v="West"/>
    <s v="Mobile"/>
    <s v="Paid Search"/>
    <s v="Premium"/>
    <n v="1"/>
    <n v="0"/>
    <n v="0"/>
    <n v="0"/>
    <n v="0"/>
    <n v="0"/>
    <n v="0"/>
    <m/>
    <n v="48.7"/>
  </r>
  <r>
    <s v="USR-100569"/>
    <d v="2025-02-21T00:00:00"/>
    <x v="0"/>
    <s v="West"/>
    <s v="Desktop"/>
    <s v="Organic"/>
    <s v="Basic"/>
    <n v="1"/>
    <n v="1"/>
    <n v="0"/>
    <n v="0"/>
    <n v="0"/>
    <n v="0"/>
    <n v="0"/>
    <m/>
    <n v="47.2"/>
  </r>
  <r>
    <s v="USR-100570"/>
    <d v="2025-01-07T00:00:00"/>
    <x v="0"/>
    <s v="North"/>
    <s v="Mobile"/>
    <s v="Referral"/>
    <s v="Free"/>
    <n v="1"/>
    <n v="0"/>
    <n v="0"/>
    <n v="0"/>
    <n v="0"/>
    <n v="2"/>
    <n v="0"/>
    <m/>
    <n v="20.3"/>
  </r>
  <r>
    <s v="USR-100571"/>
    <d v="2025-03-06T00:00:00"/>
    <x v="0"/>
    <s v="West"/>
    <s v="Mobile"/>
    <s v="Paid Search"/>
    <s v="Free"/>
    <n v="0"/>
    <n v="0"/>
    <n v="0"/>
    <n v="0"/>
    <n v="0"/>
    <n v="1"/>
    <n v="0"/>
    <m/>
    <n v="57.8"/>
  </r>
  <r>
    <s v="USR-100572"/>
    <d v="2025-03-30T00:00:00"/>
    <x v="0"/>
    <s v="East"/>
    <s v="Mobile"/>
    <s v="Email"/>
    <s v="Basic"/>
    <n v="1"/>
    <n v="0"/>
    <n v="0"/>
    <n v="0"/>
    <n v="0"/>
    <n v="0"/>
    <n v="0"/>
    <m/>
    <n v="78.7"/>
  </r>
  <r>
    <s v="USR-100573"/>
    <d v="2025-05-31T00:00:00"/>
    <x v="0"/>
    <s v="South"/>
    <s v="Desktop"/>
    <s v="Organic"/>
    <s v="Free"/>
    <n v="1"/>
    <n v="0"/>
    <n v="0"/>
    <n v="0"/>
    <n v="0"/>
    <n v="0"/>
    <n v="0"/>
    <m/>
    <n v="63.6"/>
  </r>
  <r>
    <s v="USR-100574"/>
    <d v="2025-02-20T00:00:00"/>
    <x v="0"/>
    <s v="South"/>
    <s v="Mobile"/>
    <s v="Email"/>
    <s v="Free"/>
    <n v="0"/>
    <n v="0"/>
    <n v="0"/>
    <n v="0"/>
    <n v="0"/>
    <n v="2"/>
    <n v="0"/>
    <m/>
    <n v="45.1"/>
  </r>
  <r>
    <s v="USR-100575"/>
    <d v="2025-01-13T00:00:00"/>
    <x v="0"/>
    <s v="West"/>
    <s v="Mobile"/>
    <s v="Social"/>
    <s v="Free"/>
    <n v="0"/>
    <n v="0"/>
    <n v="0"/>
    <n v="0"/>
    <n v="0"/>
    <n v="0"/>
    <n v="0"/>
    <m/>
    <n v="77.5"/>
  </r>
  <r>
    <s v="USR-100576"/>
    <d v="2025-05-13T00:00:00"/>
    <x v="0"/>
    <s v="East"/>
    <s v="Desktop"/>
    <s v="Paid Search"/>
    <s v="Basic"/>
    <n v="1"/>
    <n v="1"/>
    <n v="0"/>
    <n v="0"/>
    <n v="0"/>
    <n v="0"/>
    <n v="0"/>
    <m/>
    <n v="58"/>
  </r>
  <r>
    <s v="USR-100577"/>
    <d v="2025-04-21T00:00:00"/>
    <x v="0"/>
    <s v="South"/>
    <s v="Tablet"/>
    <s v="Organic"/>
    <s v="Free"/>
    <n v="1"/>
    <n v="0"/>
    <n v="0"/>
    <n v="0"/>
    <n v="0"/>
    <n v="0"/>
    <n v="0"/>
    <m/>
    <n v="68.099999999999994"/>
  </r>
  <r>
    <s v="USR-100578"/>
    <d v="2025-03-01T00:00:00"/>
    <x v="0"/>
    <s v="East"/>
    <s v="Tablet"/>
    <s v="Organic"/>
    <s v="Premium"/>
    <n v="1"/>
    <n v="0"/>
    <n v="0"/>
    <n v="0"/>
    <n v="0"/>
    <n v="0"/>
    <n v="0"/>
    <m/>
    <n v="35.4"/>
  </r>
  <r>
    <s v="USR-100579"/>
    <d v="2025-03-10T00:00:00"/>
    <x v="0"/>
    <s v="West"/>
    <s v="Tablet"/>
    <s v="Organic"/>
    <s v="Free"/>
    <n v="0"/>
    <n v="0"/>
    <n v="0"/>
    <n v="0"/>
    <n v="0"/>
    <n v="0"/>
    <n v="0"/>
    <m/>
    <n v="47"/>
  </r>
  <r>
    <s v="USR-100580"/>
    <d v="2025-03-08T00:00:00"/>
    <x v="0"/>
    <s v="East"/>
    <s v="Desktop"/>
    <s v="Paid Search"/>
    <s v="Free"/>
    <n v="0"/>
    <n v="0"/>
    <n v="0"/>
    <n v="0"/>
    <n v="0"/>
    <n v="0"/>
    <n v="0"/>
    <m/>
    <n v="75"/>
  </r>
  <r>
    <s v="USR-100581"/>
    <d v="2025-05-26T00:00:00"/>
    <x v="0"/>
    <s v="South"/>
    <s v="Desktop"/>
    <s v="Paid Search"/>
    <s v="Free"/>
    <n v="1"/>
    <n v="1"/>
    <n v="1"/>
    <n v="0"/>
    <n v="0"/>
    <n v="3"/>
    <n v="0"/>
    <m/>
    <n v="50.2"/>
  </r>
  <r>
    <s v="USR-100582"/>
    <d v="2025-05-20T00:00:00"/>
    <x v="0"/>
    <s v="East"/>
    <s v="Desktop"/>
    <s v="Paid Search"/>
    <s v="Free"/>
    <n v="1"/>
    <n v="0"/>
    <n v="0"/>
    <n v="0"/>
    <n v="0"/>
    <n v="0"/>
    <n v="0"/>
    <m/>
    <n v="40.1"/>
  </r>
  <r>
    <s v="USR-100583"/>
    <d v="2025-03-22T00:00:00"/>
    <x v="0"/>
    <s v="West"/>
    <s v="Desktop"/>
    <s v="Paid Search"/>
    <s v="Free"/>
    <n v="0"/>
    <n v="0"/>
    <n v="0"/>
    <n v="0"/>
    <n v="0"/>
    <n v="0"/>
    <n v="0"/>
    <m/>
    <n v="61.1"/>
  </r>
  <r>
    <s v="USR-100584"/>
    <d v="2025-02-15T00:00:00"/>
    <x v="0"/>
    <s v="South"/>
    <s v="Desktop"/>
    <s v="Paid Search"/>
    <s v="Free"/>
    <n v="0"/>
    <n v="0"/>
    <n v="0"/>
    <n v="0"/>
    <n v="0"/>
    <n v="0"/>
    <n v="0"/>
    <m/>
    <n v="42.4"/>
  </r>
  <r>
    <s v="USR-100585"/>
    <d v="2025-01-08T00:00:00"/>
    <x v="0"/>
    <s v="North"/>
    <s v="Mobile"/>
    <s v="Social"/>
    <s v="Free"/>
    <n v="0"/>
    <n v="0"/>
    <n v="0"/>
    <n v="0"/>
    <n v="0"/>
    <n v="1"/>
    <n v="0"/>
    <m/>
    <n v="46.6"/>
  </r>
  <r>
    <s v="USR-100586"/>
    <d v="2025-01-29T00:00:00"/>
    <x v="0"/>
    <s v="South"/>
    <s v="Mobile"/>
    <s v="Organic"/>
    <s v="Premium"/>
    <n v="1"/>
    <n v="1"/>
    <n v="0"/>
    <n v="0"/>
    <n v="0"/>
    <n v="0"/>
    <n v="0"/>
    <m/>
    <n v="72.099999999999994"/>
  </r>
  <r>
    <s v="USR-100587"/>
    <d v="2025-05-07T00:00:00"/>
    <x v="0"/>
    <s v="East"/>
    <s v="Tablet"/>
    <s v="Organic"/>
    <s v="Free"/>
    <n v="0"/>
    <n v="0"/>
    <n v="0"/>
    <n v="0"/>
    <n v="0"/>
    <n v="0"/>
    <n v="0"/>
    <m/>
    <n v="21.5"/>
  </r>
  <r>
    <s v="USR-100588"/>
    <d v="2025-03-01T00:00:00"/>
    <x v="0"/>
    <s v="North"/>
    <s v="Mobile"/>
    <s v="Social"/>
    <s v="Basic"/>
    <n v="1"/>
    <n v="0"/>
    <n v="0"/>
    <n v="0"/>
    <n v="0"/>
    <n v="1"/>
    <n v="0"/>
    <m/>
    <n v="65.400000000000006"/>
  </r>
  <r>
    <s v="USR-100589"/>
    <d v="2025-04-20T00:00:00"/>
    <x v="0"/>
    <s v="East"/>
    <s v="Mobile"/>
    <s v="Organic"/>
    <s v="Free"/>
    <n v="1"/>
    <n v="1"/>
    <n v="0"/>
    <n v="0"/>
    <n v="0"/>
    <n v="0"/>
    <n v="0"/>
    <m/>
    <n v="53.3"/>
  </r>
  <r>
    <s v="USR-100590"/>
    <d v="2025-01-16T00:00:00"/>
    <x v="0"/>
    <s v="East"/>
    <s v="Mobile"/>
    <s v="Organic"/>
    <s v="Premium"/>
    <n v="0"/>
    <n v="0"/>
    <n v="0"/>
    <n v="0"/>
    <n v="0"/>
    <n v="2"/>
    <n v="0"/>
    <m/>
    <n v="52.3"/>
  </r>
  <r>
    <s v="USR-100591"/>
    <d v="2025-04-04T00:00:00"/>
    <x v="0"/>
    <s v="East"/>
    <s v="Mobile"/>
    <s v="Paid Search"/>
    <s v="Free"/>
    <n v="1"/>
    <n v="0"/>
    <n v="0"/>
    <n v="0"/>
    <n v="0"/>
    <n v="0"/>
    <n v="0"/>
    <m/>
    <n v="62.5"/>
  </r>
  <r>
    <s v="USR-100592"/>
    <d v="2025-01-29T00:00:00"/>
    <x v="0"/>
    <s v="North"/>
    <s v="Tablet"/>
    <s v="Social"/>
    <s v="Free"/>
    <n v="1"/>
    <n v="0"/>
    <n v="0"/>
    <n v="0"/>
    <n v="0"/>
    <n v="0"/>
    <n v="0"/>
    <m/>
    <n v="69.8"/>
  </r>
  <r>
    <s v="USR-100593"/>
    <d v="2025-04-19T00:00:00"/>
    <x v="0"/>
    <s v="East"/>
    <s v="Mobile"/>
    <s v="Email"/>
    <s v="Free"/>
    <n v="1"/>
    <n v="0"/>
    <n v="0"/>
    <n v="0"/>
    <n v="0"/>
    <n v="0"/>
    <n v="0"/>
    <m/>
    <n v="68.2"/>
  </r>
  <r>
    <s v="USR-100594"/>
    <d v="2025-03-10T00:00:00"/>
    <x v="0"/>
    <s v="South"/>
    <s v="Mobile"/>
    <s v="Social"/>
    <s v="Basic"/>
    <n v="1"/>
    <n v="1"/>
    <n v="1"/>
    <n v="1"/>
    <n v="751.73"/>
    <n v="0"/>
    <n v="0"/>
    <n v="6"/>
    <n v="35.200000000000003"/>
  </r>
  <r>
    <s v="USR-100595"/>
    <d v="2025-05-10T00:00:00"/>
    <x v="0"/>
    <s v="South"/>
    <s v="Mobile"/>
    <s v="Social"/>
    <s v="Basic"/>
    <n v="0"/>
    <n v="0"/>
    <n v="0"/>
    <n v="0"/>
    <n v="0"/>
    <n v="0"/>
    <n v="0"/>
    <m/>
    <n v="59.3"/>
  </r>
  <r>
    <s v="USR-100596"/>
    <d v="2025-02-02T00:00:00"/>
    <x v="0"/>
    <s v="North"/>
    <s v="Mobile"/>
    <s v="Social"/>
    <s v="Free"/>
    <n v="0"/>
    <n v="0"/>
    <n v="0"/>
    <n v="0"/>
    <n v="0"/>
    <n v="0"/>
    <n v="0"/>
    <m/>
    <n v="68.099999999999994"/>
  </r>
  <r>
    <s v="USR-100597"/>
    <d v="2025-05-06T00:00:00"/>
    <x v="0"/>
    <s v="North"/>
    <s v="Desktop"/>
    <s v="Organic"/>
    <s v="Free"/>
    <n v="1"/>
    <n v="1"/>
    <n v="0"/>
    <n v="0"/>
    <n v="0"/>
    <n v="0"/>
    <n v="0"/>
    <m/>
    <n v="74.8"/>
  </r>
  <r>
    <s v="USR-100598"/>
    <d v="2025-01-19T00:00:00"/>
    <x v="0"/>
    <s v="West"/>
    <s v="Desktop"/>
    <s v="Organic"/>
    <s v="Free"/>
    <n v="1"/>
    <n v="1"/>
    <n v="1"/>
    <n v="0"/>
    <n v="0"/>
    <n v="0"/>
    <n v="0"/>
    <m/>
    <n v="61.7"/>
  </r>
  <r>
    <s v="USR-100599"/>
    <d v="2025-01-02T00:00:00"/>
    <x v="0"/>
    <s v="North"/>
    <s v="Mobile"/>
    <s v="Organic"/>
    <s v="Free"/>
    <n v="1"/>
    <n v="0"/>
    <n v="0"/>
    <n v="0"/>
    <n v="0"/>
    <n v="0"/>
    <n v="0"/>
    <m/>
    <n v="24.3"/>
  </r>
  <r>
    <s v="USR-100600"/>
    <d v="2025-05-03T00:00:00"/>
    <x v="0"/>
    <s v="South"/>
    <s v="Desktop"/>
    <s v="Paid Search"/>
    <s v="Free"/>
    <n v="0"/>
    <n v="0"/>
    <n v="0"/>
    <n v="0"/>
    <n v="0"/>
    <n v="1"/>
    <n v="0"/>
    <m/>
    <n v="61.9"/>
  </r>
  <r>
    <s v="USR-100601"/>
    <d v="2025-05-27T00:00:00"/>
    <x v="0"/>
    <s v="East"/>
    <s v="Desktop"/>
    <s v="Referral"/>
    <s v="Premium"/>
    <n v="0"/>
    <n v="0"/>
    <n v="0"/>
    <n v="0"/>
    <n v="0"/>
    <n v="2"/>
    <n v="0"/>
    <m/>
    <n v="41.7"/>
  </r>
  <r>
    <s v="USR-100602"/>
    <d v="2025-02-09T00:00:00"/>
    <x v="0"/>
    <s v="South"/>
    <s v="Desktop"/>
    <s v="Social"/>
    <s v="Free"/>
    <n v="1"/>
    <n v="0"/>
    <n v="0"/>
    <n v="0"/>
    <n v="0"/>
    <n v="0"/>
    <n v="0"/>
    <m/>
    <n v="87.6"/>
  </r>
  <r>
    <s v="USR-100603"/>
    <d v="2025-05-18T00:00:00"/>
    <x v="0"/>
    <s v="East"/>
    <s v="Mobile"/>
    <s v="Paid Search"/>
    <s v="Free"/>
    <n v="1"/>
    <n v="0"/>
    <n v="0"/>
    <n v="0"/>
    <n v="0"/>
    <n v="0"/>
    <n v="0"/>
    <m/>
    <n v="30.8"/>
  </r>
  <r>
    <s v="USR-100604"/>
    <d v="2025-05-17T00:00:00"/>
    <x v="0"/>
    <s v="North"/>
    <s v="Mobile"/>
    <s v="Email"/>
    <s v="Free"/>
    <n v="0"/>
    <n v="0"/>
    <n v="0"/>
    <n v="0"/>
    <n v="0"/>
    <n v="0"/>
    <n v="0"/>
    <m/>
    <n v="54"/>
  </r>
  <r>
    <s v="USR-100605"/>
    <d v="2025-01-25T00:00:00"/>
    <x v="0"/>
    <s v="East"/>
    <s v="Desktop"/>
    <s v="Referral"/>
    <s v="Basic"/>
    <n v="1"/>
    <n v="0"/>
    <n v="0"/>
    <n v="0"/>
    <n v="0"/>
    <n v="1"/>
    <n v="0"/>
    <m/>
    <n v="54.5"/>
  </r>
  <r>
    <s v="USR-100606"/>
    <d v="2025-05-04T00:00:00"/>
    <x v="0"/>
    <s v="West"/>
    <s v="Mobile"/>
    <s v="Paid Search"/>
    <s v="Premium"/>
    <n v="1"/>
    <n v="1"/>
    <n v="0"/>
    <n v="0"/>
    <n v="0"/>
    <n v="0"/>
    <n v="0"/>
    <m/>
    <n v="61.3"/>
  </r>
  <r>
    <s v="USR-100607"/>
    <d v="2025-04-14T00:00:00"/>
    <x v="0"/>
    <s v="West"/>
    <s v="Mobile"/>
    <s v="Organic"/>
    <s v="Free"/>
    <n v="1"/>
    <n v="0"/>
    <n v="0"/>
    <n v="0"/>
    <n v="0"/>
    <n v="0"/>
    <n v="0"/>
    <m/>
    <n v="62.7"/>
  </r>
  <r>
    <s v="USR-100608"/>
    <d v="2025-04-18T00:00:00"/>
    <x v="0"/>
    <s v="South"/>
    <s v="Mobile"/>
    <s v="Paid Search"/>
    <s v="Free"/>
    <n v="1"/>
    <n v="1"/>
    <n v="0"/>
    <n v="0"/>
    <n v="0"/>
    <n v="0"/>
    <n v="0"/>
    <m/>
    <n v="43.1"/>
  </r>
  <r>
    <s v="USR-100609"/>
    <d v="2025-02-24T00:00:00"/>
    <x v="0"/>
    <s v="South"/>
    <s v="Desktop"/>
    <s v="Email"/>
    <s v="Basic"/>
    <n v="0"/>
    <n v="0"/>
    <n v="0"/>
    <n v="0"/>
    <n v="0"/>
    <n v="0"/>
    <n v="0"/>
    <m/>
    <n v="59.9"/>
  </r>
  <r>
    <s v="USR-100610"/>
    <d v="2025-04-19T00:00:00"/>
    <x v="0"/>
    <s v="North"/>
    <s v="Tablet"/>
    <s v="Paid Search"/>
    <s v="Free"/>
    <n v="1"/>
    <n v="1"/>
    <n v="1"/>
    <n v="0"/>
    <n v="0"/>
    <n v="0"/>
    <n v="0"/>
    <m/>
    <n v="55.7"/>
  </r>
  <r>
    <s v="USR-100611"/>
    <d v="2025-03-07T00:00:00"/>
    <x v="0"/>
    <s v="South"/>
    <s v="Desktop"/>
    <s v="Organic"/>
    <s v="Basic"/>
    <n v="1"/>
    <n v="0"/>
    <n v="0"/>
    <n v="0"/>
    <n v="0"/>
    <n v="0"/>
    <n v="0"/>
    <m/>
    <n v="37.1"/>
  </r>
  <r>
    <s v="USR-100612"/>
    <d v="2025-03-09T00:00:00"/>
    <x v="0"/>
    <s v="East"/>
    <s v="Mobile"/>
    <s v="Organic"/>
    <s v="Basic"/>
    <n v="0"/>
    <n v="0"/>
    <n v="0"/>
    <n v="0"/>
    <n v="0"/>
    <n v="1"/>
    <n v="0"/>
    <m/>
    <n v="46.7"/>
  </r>
  <r>
    <s v="USR-100613"/>
    <d v="2025-05-01T00:00:00"/>
    <x v="0"/>
    <s v="South"/>
    <s v="Desktop"/>
    <s v="Organic"/>
    <s v="Basic"/>
    <n v="1"/>
    <n v="0"/>
    <n v="0"/>
    <n v="0"/>
    <n v="0"/>
    <n v="0"/>
    <n v="0"/>
    <m/>
    <n v="54.1"/>
  </r>
  <r>
    <s v="USR-100614"/>
    <d v="2025-02-09T00:00:00"/>
    <x v="0"/>
    <s v="West"/>
    <s v="Desktop"/>
    <s v="Organic"/>
    <s v="Premium"/>
    <n v="1"/>
    <n v="1"/>
    <n v="1"/>
    <n v="0"/>
    <n v="0"/>
    <n v="0"/>
    <n v="0"/>
    <m/>
    <n v="56.1"/>
  </r>
  <r>
    <s v="USR-100615"/>
    <d v="2025-05-22T00:00:00"/>
    <x v="0"/>
    <s v="West"/>
    <s v="Mobile"/>
    <s v="Referral"/>
    <s v="Premium"/>
    <n v="0"/>
    <n v="0"/>
    <n v="0"/>
    <n v="0"/>
    <n v="0"/>
    <n v="0"/>
    <n v="0"/>
    <m/>
    <n v="23.6"/>
  </r>
  <r>
    <s v="USR-100616"/>
    <d v="2025-02-11T00:00:00"/>
    <x v="0"/>
    <s v="North"/>
    <s v="Mobile"/>
    <s v="Organic"/>
    <s v="Premium"/>
    <n v="0"/>
    <n v="0"/>
    <n v="0"/>
    <n v="0"/>
    <n v="0"/>
    <n v="0"/>
    <n v="0"/>
    <m/>
    <n v="54.7"/>
  </r>
  <r>
    <s v="USR-100617"/>
    <d v="2025-04-12T00:00:00"/>
    <x v="0"/>
    <s v="North"/>
    <s v="Mobile"/>
    <s v="Referral"/>
    <s v="Basic"/>
    <n v="0"/>
    <n v="0"/>
    <n v="0"/>
    <n v="0"/>
    <n v="0"/>
    <n v="2"/>
    <n v="0"/>
    <m/>
    <n v="50.4"/>
  </r>
  <r>
    <s v="USR-100618"/>
    <d v="2025-03-01T00:00:00"/>
    <x v="0"/>
    <s v="West"/>
    <s v="Mobile"/>
    <s v="Social"/>
    <s v="Free"/>
    <n v="1"/>
    <n v="0"/>
    <n v="0"/>
    <n v="0"/>
    <n v="0"/>
    <n v="0"/>
    <n v="0"/>
    <m/>
    <n v="54.5"/>
  </r>
  <r>
    <s v="USR-100619"/>
    <d v="2025-03-17T00:00:00"/>
    <x v="0"/>
    <s v="West"/>
    <s v="Desktop"/>
    <s v="Email"/>
    <s v="Basic"/>
    <n v="0"/>
    <n v="0"/>
    <n v="0"/>
    <n v="0"/>
    <n v="0"/>
    <n v="0"/>
    <n v="0"/>
    <m/>
    <n v="58"/>
  </r>
  <r>
    <s v="USR-100620"/>
    <d v="2025-01-11T00:00:00"/>
    <x v="0"/>
    <s v="North"/>
    <s v="Mobile"/>
    <s v="Paid Search"/>
    <s v="Free"/>
    <n v="0"/>
    <n v="0"/>
    <n v="0"/>
    <n v="0"/>
    <n v="0"/>
    <n v="0"/>
    <n v="0"/>
    <m/>
    <n v="42.9"/>
  </r>
  <r>
    <s v="USR-100621"/>
    <d v="2025-02-17T00:00:00"/>
    <x v="0"/>
    <s v="South"/>
    <s v="Mobile"/>
    <s v="Social"/>
    <s v="Premium"/>
    <n v="1"/>
    <n v="0"/>
    <n v="0"/>
    <n v="0"/>
    <n v="0"/>
    <n v="0"/>
    <n v="0"/>
    <m/>
    <n v="51.1"/>
  </r>
  <r>
    <s v="USR-100622"/>
    <d v="2025-03-25T00:00:00"/>
    <x v="0"/>
    <s v="East"/>
    <s v="Mobile"/>
    <s v="Paid Search"/>
    <s v="Basic"/>
    <n v="1"/>
    <n v="1"/>
    <n v="0"/>
    <n v="0"/>
    <n v="0"/>
    <n v="0"/>
    <n v="0"/>
    <m/>
    <n v="51.8"/>
  </r>
  <r>
    <s v="USR-100623"/>
    <d v="2025-05-01T00:00:00"/>
    <x v="0"/>
    <s v="South"/>
    <s v="Mobile"/>
    <s v="Paid Search"/>
    <s v="Free"/>
    <n v="0"/>
    <n v="0"/>
    <n v="0"/>
    <n v="0"/>
    <n v="0"/>
    <n v="0"/>
    <n v="0"/>
    <m/>
    <n v="67.7"/>
  </r>
  <r>
    <s v="USR-100624"/>
    <d v="2025-04-02T00:00:00"/>
    <x v="0"/>
    <s v="East"/>
    <s v="Mobile"/>
    <s v="Organic"/>
    <s v="Basic"/>
    <n v="0"/>
    <n v="0"/>
    <n v="0"/>
    <n v="0"/>
    <n v="0"/>
    <n v="0"/>
    <n v="0"/>
    <m/>
    <n v="75.8"/>
  </r>
  <r>
    <s v="USR-100625"/>
    <d v="2025-04-05T00:00:00"/>
    <x v="0"/>
    <s v="East"/>
    <s v="Mobile"/>
    <s v="Email"/>
    <s v="Free"/>
    <n v="1"/>
    <n v="1"/>
    <n v="0"/>
    <n v="0"/>
    <n v="0"/>
    <n v="0"/>
    <n v="0"/>
    <m/>
    <n v="72.8"/>
  </r>
  <r>
    <s v="USR-100626"/>
    <d v="2025-02-24T00:00:00"/>
    <x v="0"/>
    <s v="North"/>
    <s v="Desktop"/>
    <s v="Social"/>
    <s v="Free"/>
    <n v="1"/>
    <n v="1"/>
    <n v="0"/>
    <n v="0"/>
    <n v="0"/>
    <n v="0"/>
    <n v="0"/>
    <m/>
    <n v="54.4"/>
  </r>
  <r>
    <s v="USR-100627"/>
    <d v="2025-01-24T00:00:00"/>
    <x v="0"/>
    <s v="West"/>
    <s v="Mobile"/>
    <s v="Paid Search"/>
    <s v="Basic"/>
    <n v="1"/>
    <n v="0"/>
    <n v="0"/>
    <n v="0"/>
    <n v="0"/>
    <n v="0"/>
    <n v="0"/>
    <m/>
    <n v="51.8"/>
  </r>
  <r>
    <s v="USR-100628"/>
    <d v="2025-04-10T00:00:00"/>
    <x v="0"/>
    <s v="South"/>
    <s v="Mobile"/>
    <s v="Paid Search"/>
    <s v="Free"/>
    <n v="0"/>
    <n v="0"/>
    <n v="0"/>
    <n v="0"/>
    <n v="0"/>
    <n v="0"/>
    <n v="0"/>
    <m/>
    <n v="40.299999999999997"/>
  </r>
  <r>
    <s v="USR-100629"/>
    <d v="2025-02-19T00:00:00"/>
    <x v="0"/>
    <s v="South"/>
    <s v="Mobile"/>
    <s v="Referral"/>
    <s v="Free"/>
    <n v="1"/>
    <n v="1"/>
    <n v="1"/>
    <n v="0"/>
    <n v="0"/>
    <n v="0"/>
    <n v="0"/>
    <m/>
    <n v="61.7"/>
  </r>
  <r>
    <s v="USR-100630"/>
    <d v="2025-03-22T00:00:00"/>
    <x v="0"/>
    <s v="North"/>
    <s v="Mobile"/>
    <s v="Social"/>
    <s v="Free"/>
    <n v="0"/>
    <n v="0"/>
    <n v="0"/>
    <n v="0"/>
    <n v="0"/>
    <n v="0"/>
    <n v="0"/>
    <m/>
    <n v="45"/>
  </r>
  <r>
    <s v="USR-100631"/>
    <d v="2025-04-08T00:00:00"/>
    <x v="0"/>
    <s v="East"/>
    <s v="Desktop"/>
    <s v="Organic"/>
    <s v="Premium"/>
    <n v="1"/>
    <n v="1"/>
    <n v="1"/>
    <n v="0"/>
    <n v="0"/>
    <n v="0"/>
    <n v="0"/>
    <m/>
    <n v="60"/>
  </r>
  <r>
    <s v="USR-100632"/>
    <d v="2025-03-16T00:00:00"/>
    <x v="0"/>
    <s v="North"/>
    <s v="Mobile"/>
    <s v="Social"/>
    <s v="Free"/>
    <n v="1"/>
    <n v="0"/>
    <n v="0"/>
    <n v="0"/>
    <n v="0"/>
    <n v="0"/>
    <n v="0"/>
    <m/>
    <n v="60.02"/>
  </r>
  <r>
    <s v="USR-100633"/>
    <d v="2025-03-07T00:00:00"/>
    <x v="0"/>
    <s v="East"/>
    <s v="Mobile"/>
    <s v="Paid Search"/>
    <s v="Free"/>
    <n v="1"/>
    <n v="0"/>
    <n v="0"/>
    <n v="0"/>
    <n v="0"/>
    <n v="0"/>
    <n v="0"/>
    <m/>
    <n v="55.5"/>
  </r>
  <r>
    <s v="USR-100634"/>
    <d v="2025-03-16T00:00:00"/>
    <x v="0"/>
    <s v="South"/>
    <s v="Mobile"/>
    <s v="Referral"/>
    <s v="Basic"/>
    <n v="0"/>
    <n v="0"/>
    <n v="0"/>
    <n v="0"/>
    <n v="0"/>
    <n v="0"/>
    <n v="0"/>
    <m/>
    <n v="51.8"/>
  </r>
  <r>
    <s v="USR-100635"/>
    <d v="2025-05-26T00:00:00"/>
    <x v="0"/>
    <s v="East"/>
    <s v="Mobile"/>
    <s v="UNKNOWN"/>
    <s v="Premium"/>
    <n v="1"/>
    <n v="0"/>
    <n v="0"/>
    <n v="0"/>
    <n v="0"/>
    <n v="3"/>
    <n v="0"/>
    <m/>
    <n v="56"/>
  </r>
  <r>
    <s v="USR-100636"/>
    <d v="2025-01-14T00:00:00"/>
    <x v="0"/>
    <s v="West"/>
    <s v="Mobile"/>
    <s v="Organic"/>
    <s v="Free"/>
    <n v="0"/>
    <n v="0"/>
    <n v="0"/>
    <n v="0"/>
    <n v="0"/>
    <n v="0"/>
    <n v="0"/>
    <m/>
    <n v="52.5"/>
  </r>
  <r>
    <s v="USR-100637"/>
    <d v="2025-03-30T00:00:00"/>
    <x v="0"/>
    <s v="West"/>
    <s v="Mobile"/>
    <s v="Paid Search"/>
    <s v="Premium"/>
    <n v="1"/>
    <n v="0"/>
    <n v="0"/>
    <n v="0"/>
    <n v="0"/>
    <n v="0"/>
    <n v="0"/>
    <m/>
    <n v="42.5"/>
  </r>
  <r>
    <s v="USR-100638"/>
    <d v="2025-05-12T00:00:00"/>
    <x v="0"/>
    <s v="East"/>
    <s v="Desktop"/>
    <s v="Email"/>
    <s v="Free"/>
    <n v="1"/>
    <n v="1"/>
    <n v="1"/>
    <n v="0"/>
    <n v="0"/>
    <n v="0"/>
    <n v="0"/>
    <m/>
    <n v="65.3"/>
  </r>
  <r>
    <s v="USR-100639"/>
    <d v="2025-05-10T00:00:00"/>
    <x v="0"/>
    <s v="West"/>
    <s v="Mobile"/>
    <s v="Paid Search"/>
    <s v="Free"/>
    <n v="0"/>
    <n v="0"/>
    <n v="0"/>
    <n v="0"/>
    <n v="0"/>
    <n v="0"/>
    <n v="0"/>
    <m/>
    <n v="37.6"/>
  </r>
  <r>
    <s v="USR-100640"/>
    <d v="2025-04-09T00:00:00"/>
    <x v="0"/>
    <s v="East"/>
    <s v="Mobile"/>
    <s v="Social"/>
    <s v="Basic"/>
    <n v="0"/>
    <n v="0"/>
    <n v="0"/>
    <n v="0"/>
    <n v="0"/>
    <n v="0"/>
    <n v="0"/>
    <m/>
    <n v="57.8"/>
  </r>
  <r>
    <s v="USR-100641"/>
    <d v="2025-05-26T00:00:00"/>
    <x v="0"/>
    <s v="North"/>
    <s v="Mobile"/>
    <s v="Social"/>
    <s v="Free"/>
    <n v="1"/>
    <n v="0"/>
    <n v="0"/>
    <n v="0"/>
    <n v="0"/>
    <n v="0"/>
    <n v="0"/>
    <m/>
    <n v="52.7"/>
  </r>
  <r>
    <s v="USR-100642"/>
    <d v="2025-02-12T00:00:00"/>
    <x v="0"/>
    <s v="North"/>
    <s v="Mobile"/>
    <s v="Organic"/>
    <s v="Free"/>
    <n v="1"/>
    <n v="0"/>
    <n v="0"/>
    <n v="0"/>
    <n v="0"/>
    <n v="0"/>
    <n v="0"/>
    <m/>
    <n v="51.7"/>
  </r>
  <r>
    <s v="USR-100643"/>
    <d v="2025-04-01T00:00:00"/>
    <x v="0"/>
    <s v="North"/>
    <s v="Desktop"/>
    <s v="Email"/>
    <s v="Basic"/>
    <n v="0"/>
    <n v="0"/>
    <n v="0"/>
    <n v="0"/>
    <n v="0"/>
    <n v="0"/>
    <n v="0"/>
    <m/>
    <n v="57"/>
  </r>
  <r>
    <s v="USR-100644"/>
    <d v="2025-01-18T00:00:00"/>
    <x v="0"/>
    <s v="South"/>
    <s v="Desktop"/>
    <s v="Organic"/>
    <s v="Basic"/>
    <n v="0"/>
    <n v="0"/>
    <n v="0"/>
    <n v="0"/>
    <n v="0"/>
    <n v="0"/>
    <n v="0"/>
    <m/>
    <n v="39.5"/>
  </r>
  <r>
    <s v="USR-100645"/>
    <d v="2025-04-06T00:00:00"/>
    <x v="0"/>
    <s v="East"/>
    <s v="Tablet"/>
    <s v="Organic"/>
    <s v="Free"/>
    <n v="1"/>
    <n v="0"/>
    <n v="0"/>
    <n v="0"/>
    <n v="0"/>
    <n v="0"/>
    <n v="0"/>
    <m/>
    <n v="76.5"/>
  </r>
  <r>
    <s v="USR-100646"/>
    <d v="2025-04-17T00:00:00"/>
    <x v="0"/>
    <s v="East"/>
    <s v="Mobile"/>
    <s v="Organic"/>
    <s v="Free"/>
    <n v="1"/>
    <n v="0"/>
    <n v="0"/>
    <n v="0"/>
    <n v="0"/>
    <n v="0"/>
    <n v="0"/>
    <m/>
    <n v="32.4"/>
  </r>
  <r>
    <s v="USR-100647"/>
    <d v="2025-02-07T00:00:00"/>
    <x v="0"/>
    <s v="North"/>
    <s v="Desktop"/>
    <s v="Paid Search"/>
    <s v="Free"/>
    <n v="0"/>
    <n v="0"/>
    <n v="0"/>
    <n v="0"/>
    <n v="0"/>
    <n v="0"/>
    <n v="0"/>
    <m/>
    <n v="58.6"/>
  </r>
  <r>
    <s v="USR-100648"/>
    <d v="2025-03-04T00:00:00"/>
    <x v="0"/>
    <s v="East"/>
    <s v="Mobile"/>
    <s v="Organic"/>
    <s v="Basic"/>
    <n v="1"/>
    <n v="0"/>
    <n v="0"/>
    <n v="0"/>
    <n v="0"/>
    <n v="0"/>
    <n v="0"/>
    <m/>
    <n v="78.599999999999994"/>
  </r>
  <r>
    <s v="USR-100649"/>
    <d v="2025-02-17T00:00:00"/>
    <x v="0"/>
    <s v="North"/>
    <s v="Desktop"/>
    <s v="Organic"/>
    <s v="Premium"/>
    <n v="0"/>
    <n v="0"/>
    <n v="0"/>
    <n v="0"/>
    <n v="0"/>
    <n v="0"/>
    <n v="0"/>
    <m/>
    <n v="54.5"/>
  </r>
  <r>
    <s v="USR-100650"/>
    <d v="2025-05-06T00:00:00"/>
    <x v="0"/>
    <s v="South"/>
    <s v="Mobile"/>
    <s v="Referral"/>
    <s v="Free"/>
    <n v="1"/>
    <n v="0"/>
    <n v="0"/>
    <n v="0"/>
    <n v="0"/>
    <n v="0"/>
    <n v="0"/>
    <m/>
    <n v="57.6"/>
  </r>
  <r>
    <s v="USR-100651"/>
    <d v="2025-03-25T00:00:00"/>
    <x v="0"/>
    <s v="South"/>
    <s v="Mobile"/>
    <s v="Referral"/>
    <s v="Premium"/>
    <n v="0"/>
    <n v="0"/>
    <n v="0"/>
    <n v="0"/>
    <n v="0"/>
    <n v="0"/>
    <n v="0"/>
    <m/>
    <n v="52.8"/>
  </r>
  <r>
    <s v="USR-100652"/>
    <d v="2025-03-04T00:00:00"/>
    <x v="0"/>
    <s v="West"/>
    <s v="Mobile"/>
    <s v="Email"/>
    <s v="Premium"/>
    <n v="1"/>
    <n v="0"/>
    <n v="0"/>
    <n v="0"/>
    <n v="0"/>
    <n v="0"/>
    <n v="0"/>
    <m/>
    <n v="52.9"/>
  </r>
  <r>
    <s v="USR-100653"/>
    <d v="2025-05-09T00:00:00"/>
    <x v="0"/>
    <s v="West"/>
    <s v="Mobile"/>
    <s v="Organic"/>
    <s v="Free"/>
    <n v="1"/>
    <n v="0"/>
    <n v="0"/>
    <n v="0"/>
    <n v="0"/>
    <n v="1"/>
    <n v="0"/>
    <m/>
    <n v="55.9"/>
  </r>
  <r>
    <s v="USR-100654"/>
    <d v="2025-05-17T00:00:00"/>
    <x v="0"/>
    <s v="West"/>
    <s v="Mobile"/>
    <s v="Referral"/>
    <s v="Premium"/>
    <n v="1"/>
    <n v="0"/>
    <n v="0"/>
    <n v="0"/>
    <n v="0"/>
    <n v="0"/>
    <n v="0"/>
    <m/>
    <n v="74.2"/>
  </r>
  <r>
    <s v="USR-100655"/>
    <d v="2025-01-12T00:00:00"/>
    <x v="0"/>
    <s v="West"/>
    <s v="Mobile"/>
    <s v="Organic"/>
    <s v="Free"/>
    <n v="0"/>
    <n v="0"/>
    <n v="0"/>
    <n v="0"/>
    <n v="0"/>
    <n v="0"/>
    <n v="0"/>
    <m/>
    <n v="46.3"/>
  </r>
  <r>
    <s v="USR-100656"/>
    <d v="2025-03-12T00:00:00"/>
    <x v="0"/>
    <s v="West"/>
    <s v="Mobile"/>
    <s v="Organic"/>
    <s v="Premium"/>
    <n v="1"/>
    <n v="0"/>
    <n v="0"/>
    <n v="0"/>
    <n v="0"/>
    <n v="0"/>
    <n v="0"/>
    <m/>
    <n v="62"/>
  </r>
  <r>
    <s v="USR-100657"/>
    <d v="2025-04-02T00:00:00"/>
    <x v="0"/>
    <s v="South"/>
    <s v="Mobile"/>
    <s v="Organic"/>
    <s v="Basic"/>
    <n v="0"/>
    <n v="0"/>
    <n v="0"/>
    <n v="0"/>
    <n v="0"/>
    <n v="0"/>
    <n v="0"/>
    <m/>
    <n v="55.6"/>
  </r>
  <r>
    <s v="USR-100658"/>
    <d v="2025-01-13T00:00:00"/>
    <x v="0"/>
    <s v="South"/>
    <s v="Mobile"/>
    <s v="Organic"/>
    <s v="Basic"/>
    <n v="1"/>
    <n v="0"/>
    <n v="0"/>
    <n v="0"/>
    <n v="0"/>
    <n v="0"/>
    <n v="0"/>
    <m/>
    <n v="62.8"/>
  </r>
  <r>
    <s v="USR-100659"/>
    <d v="2025-03-07T00:00:00"/>
    <x v="0"/>
    <s v="East"/>
    <s v="Mobile"/>
    <s v="Referral"/>
    <s v="Free"/>
    <n v="0"/>
    <n v="0"/>
    <n v="0"/>
    <n v="0"/>
    <n v="0"/>
    <n v="0"/>
    <n v="0"/>
    <m/>
    <n v="73.099999999999994"/>
  </r>
  <r>
    <s v="USR-100660"/>
    <d v="2025-04-20T00:00:00"/>
    <x v="0"/>
    <s v="South"/>
    <s v="Desktop"/>
    <s v="Social"/>
    <s v="Free"/>
    <n v="1"/>
    <n v="1"/>
    <n v="1"/>
    <n v="1"/>
    <n v="347.52"/>
    <n v="0"/>
    <n v="0"/>
    <n v="2"/>
    <n v="57.2"/>
  </r>
  <r>
    <s v="USR-100661"/>
    <d v="2025-01-07T00:00:00"/>
    <x v="0"/>
    <s v="South"/>
    <s v="Mobile"/>
    <s v="Paid Search"/>
    <s v="Free"/>
    <n v="1"/>
    <n v="0"/>
    <n v="0"/>
    <n v="0"/>
    <n v="0"/>
    <n v="0"/>
    <n v="0"/>
    <m/>
    <n v="67.900000000000006"/>
  </r>
  <r>
    <s v="USR-100662"/>
    <d v="2025-04-23T00:00:00"/>
    <x v="0"/>
    <s v="South"/>
    <s v="Mobile"/>
    <s v="Referral"/>
    <s v="Free"/>
    <n v="0"/>
    <n v="0"/>
    <n v="0"/>
    <n v="0"/>
    <n v="0"/>
    <n v="0"/>
    <n v="0"/>
    <m/>
    <n v="50.1"/>
  </r>
  <r>
    <s v="USR-100663"/>
    <d v="2025-05-26T00:00:00"/>
    <x v="0"/>
    <s v="North"/>
    <s v="Mobile"/>
    <s v="Paid Search"/>
    <s v="Basic"/>
    <n v="0"/>
    <n v="0"/>
    <n v="0"/>
    <n v="0"/>
    <n v="0"/>
    <n v="0"/>
    <n v="0"/>
    <m/>
    <n v="67.8"/>
  </r>
  <r>
    <s v="USR-100664"/>
    <d v="2025-03-17T00:00:00"/>
    <x v="0"/>
    <s v="North"/>
    <s v="Desktop"/>
    <s v="Social"/>
    <s v="Basic"/>
    <n v="1"/>
    <n v="1"/>
    <n v="1"/>
    <n v="0"/>
    <n v="0"/>
    <n v="0"/>
    <n v="0"/>
    <m/>
    <n v="60.8"/>
  </r>
  <r>
    <s v="USR-100665"/>
    <d v="2025-05-17T00:00:00"/>
    <x v="0"/>
    <s v="North"/>
    <s v="Desktop"/>
    <s v="Paid Search"/>
    <s v="Basic"/>
    <n v="1"/>
    <n v="0"/>
    <n v="0"/>
    <n v="0"/>
    <n v="0"/>
    <n v="3"/>
    <n v="0"/>
    <m/>
    <n v="33.700000000000003"/>
  </r>
  <r>
    <s v="USR-100666"/>
    <d v="2025-02-21T00:00:00"/>
    <x v="0"/>
    <s v="North"/>
    <s v="Mobile"/>
    <s v="Paid Search"/>
    <s v="Basic"/>
    <n v="0"/>
    <n v="0"/>
    <n v="0"/>
    <n v="0"/>
    <n v="0"/>
    <n v="0"/>
    <n v="0"/>
    <m/>
    <n v="45.2"/>
  </r>
  <r>
    <s v="USR-100667"/>
    <d v="2025-02-25T00:00:00"/>
    <x v="0"/>
    <s v="East"/>
    <s v="Desktop"/>
    <s v="Paid Search"/>
    <s v="Premium"/>
    <n v="0"/>
    <n v="0"/>
    <n v="0"/>
    <n v="0"/>
    <n v="0"/>
    <n v="0"/>
    <n v="0"/>
    <m/>
    <n v="48.2"/>
  </r>
  <r>
    <s v="USR-100668"/>
    <d v="2025-01-30T00:00:00"/>
    <x v="0"/>
    <s v="South"/>
    <s v="Mobile"/>
    <s v="Social"/>
    <s v="Free"/>
    <n v="1"/>
    <n v="1"/>
    <n v="0"/>
    <n v="0"/>
    <n v="0"/>
    <n v="1"/>
    <n v="0"/>
    <m/>
    <n v="44.8"/>
  </r>
  <r>
    <s v="USR-100669"/>
    <d v="2025-02-17T00:00:00"/>
    <x v="0"/>
    <s v="North"/>
    <s v="Tablet"/>
    <s v="Social"/>
    <s v="Basic"/>
    <n v="0"/>
    <n v="0"/>
    <n v="0"/>
    <n v="0"/>
    <n v="0"/>
    <n v="0"/>
    <n v="0"/>
    <m/>
    <n v="52.1"/>
  </r>
  <r>
    <s v="USR-100670"/>
    <d v="2025-05-17T00:00:00"/>
    <x v="0"/>
    <s v="North"/>
    <s v="Desktop"/>
    <s v="Paid Search"/>
    <s v="Basic"/>
    <n v="1"/>
    <n v="0"/>
    <n v="0"/>
    <n v="0"/>
    <n v="0"/>
    <n v="0"/>
    <n v="0"/>
    <m/>
    <n v="30.7"/>
  </r>
  <r>
    <s v="USR-100671"/>
    <d v="2025-04-30T00:00:00"/>
    <x v="0"/>
    <s v="East"/>
    <s v="Desktop"/>
    <s v="Paid Search"/>
    <s v="Free"/>
    <n v="1"/>
    <n v="0"/>
    <n v="0"/>
    <n v="0"/>
    <n v="0"/>
    <n v="0"/>
    <n v="0"/>
    <m/>
    <n v="58.4"/>
  </r>
  <r>
    <s v="USR-100672"/>
    <d v="2025-03-22T00:00:00"/>
    <x v="0"/>
    <s v="West"/>
    <s v="Mobile"/>
    <s v="Referral"/>
    <s v="Free"/>
    <n v="1"/>
    <n v="1"/>
    <n v="0"/>
    <n v="0"/>
    <n v="0"/>
    <n v="0"/>
    <n v="0"/>
    <m/>
    <n v="52.6"/>
  </r>
  <r>
    <s v="USR-100673"/>
    <d v="2025-01-10T00:00:00"/>
    <x v="0"/>
    <s v="West"/>
    <s v="UNKNOWN"/>
    <s v="Paid Search"/>
    <s v="Free"/>
    <n v="1"/>
    <n v="0"/>
    <n v="0"/>
    <n v="0"/>
    <n v="0"/>
    <n v="1"/>
    <n v="0"/>
    <m/>
    <n v="19.100000000000001"/>
  </r>
  <r>
    <s v="USR-100674"/>
    <d v="2025-03-21T00:00:00"/>
    <x v="0"/>
    <s v="South"/>
    <s v="UNKNOWN"/>
    <s v="Paid Search"/>
    <s v="Free"/>
    <n v="1"/>
    <n v="0"/>
    <n v="0"/>
    <n v="0"/>
    <n v="0"/>
    <n v="0"/>
    <n v="0"/>
    <m/>
    <n v="36.799999999999997"/>
  </r>
  <r>
    <s v="USR-100675"/>
    <d v="2025-05-12T00:00:00"/>
    <x v="0"/>
    <s v="North"/>
    <s v="Desktop"/>
    <s v="Paid Search"/>
    <s v="Basic"/>
    <n v="0"/>
    <n v="0"/>
    <n v="0"/>
    <n v="0"/>
    <n v="0"/>
    <n v="0"/>
    <n v="0"/>
    <m/>
    <n v="68.5"/>
  </r>
  <r>
    <s v="USR-100676"/>
    <d v="2025-05-24T00:00:00"/>
    <x v="0"/>
    <s v="West"/>
    <s v="Mobile"/>
    <s v="Paid Search"/>
    <s v="Free"/>
    <n v="1"/>
    <n v="1"/>
    <n v="1"/>
    <n v="0"/>
    <n v="0"/>
    <n v="0"/>
    <n v="0"/>
    <m/>
    <n v="40.1"/>
  </r>
  <r>
    <s v="USR-100677"/>
    <d v="2025-05-03T00:00:00"/>
    <x v="0"/>
    <s v="West"/>
    <s v="Tablet"/>
    <s v="Organic"/>
    <s v="Free"/>
    <n v="1"/>
    <n v="0"/>
    <n v="0"/>
    <n v="0"/>
    <n v="0"/>
    <n v="0"/>
    <n v="0"/>
    <m/>
    <n v="47.5"/>
  </r>
  <r>
    <s v="USR-100678"/>
    <d v="2025-01-14T00:00:00"/>
    <x v="0"/>
    <s v="South"/>
    <s v="Mobile"/>
    <s v="Organic"/>
    <s v="Basic"/>
    <n v="1"/>
    <n v="0"/>
    <n v="0"/>
    <n v="0"/>
    <n v="0"/>
    <n v="0"/>
    <n v="0"/>
    <m/>
    <n v="77.099999999999994"/>
  </r>
  <r>
    <s v="USR-100679"/>
    <d v="2025-03-27T00:00:00"/>
    <x v="0"/>
    <s v="West"/>
    <s v="Mobile"/>
    <s v="Social"/>
    <s v="Basic"/>
    <n v="1"/>
    <n v="0"/>
    <n v="0"/>
    <n v="0"/>
    <n v="0"/>
    <n v="0"/>
    <n v="0"/>
    <m/>
    <n v="75.900000000000006"/>
  </r>
  <r>
    <s v="USR-100680"/>
    <d v="2025-02-28T00:00:00"/>
    <x v="0"/>
    <s v="North"/>
    <s v="Desktop"/>
    <s v="Referral"/>
    <s v="Premium"/>
    <n v="0"/>
    <n v="0"/>
    <n v="0"/>
    <n v="0"/>
    <n v="0"/>
    <n v="1"/>
    <n v="0"/>
    <m/>
    <n v="52"/>
  </r>
  <r>
    <s v="USR-100681"/>
    <d v="2025-05-12T00:00:00"/>
    <x v="0"/>
    <s v="West"/>
    <s v="Desktop"/>
    <s v="Referral"/>
    <s v="Premium"/>
    <n v="1"/>
    <n v="1"/>
    <n v="1"/>
    <n v="0"/>
    <n v="0"/>
    <n v="0"/>
    <n v="0"/>
    <m/>
    <n v="64.900000000000006"/>
  </r>
  <r>
    <s v="USR-100682"/>
    <d v="2025-03-14T00:00:00"/>
    <x v="0"/>
    <s v="North"/>
    <s v="Mobile"/>
    <s v="Organic"/>
    <s v="Free"/>
    <n v="1"/>
    <n v="0"/>
    <n v="0"/>
    <n v="0"/>
    <n v="0"/>
    <n v="0"/>
    <n v="0"/>
    <m/>
    <n v="48.2"/>
  </r>
  <r>
    <s v="USR-100683"/>
    <d v="2025-05-20T00:00:00"/>
    <x v="0"/>
    <s v="East"/>
    <s v="Mobile"/>
    <s v="Organic"/>
    <s v="Basic"/>
    <n v="0"/>
    <n v="0"/>
    <n v="0"/>
    <n v="0"/>
    <n v="0"/>
    <n v="0"/>
    <n v="0"/>
    <m/>
    <n v="42.1"/>
  </r>
  <r>
    <s v="USR-100684"/>
    <d v="2025-02-24T00:00:00"/>
    <x v="0"/>
    <s v="South"/>
    <s v="Desktop"/>
    <s v="Referral"/>
    <s v="Free"/>
    <n v="0"/>
    <n v="0"/>
    <n v="0"/>
    <n v="0"/>
    <n v="0"/>
    <n v="0"/>
    <n v="0"/>
    <m/>
    <n v="27.6"/>
  </r>
  <r>
    <s v="USR-100685"/>
    <d v="2025-02-13T00:00:00"/>
    <x v="0"/>
    <s v="West"/>
    <s v="Mobile"/>
    <s v="Organic"/>
    <s v="Premium"/>
    <n v="1"/>
    <n v="0"/>
    <n v="0"/>
    <n v="0"/>
    <n v="0"/>
    <n v="1"/>
    <n v="0"/>
    <m/>
    <n v="68.5"/>
  </r>
  <r>
    <s v="USR-100686"/>
    <d v="2025-02-06T00:00:00"/>
    <x v="0"/>
    <s v="South"/>
    <s v="Desktop"/>
    <s v="Organic"/>
    <s v="Free"/>
    <n v="1"/>
    <n v="1"/>
    <n v="1"/>
    <n v="0"/>
    <n v="0"/>
    <n v="0"/>
    <n v="0"/>
    <m/>
    <n v="59.2"/>
  </r>
  <r>
    <s v="USR-100687"/>
    <d v="2025-03-02T00:00:00"/>
    <x v="0"/>
    <s v="North"/>
    <s v="Mobile"/>
    <s v="Social"/>
    <s v="Basic"/>
    <n v="1"/>
    <n v="0"/>
    <n v="0"/>
    <n v="0"/>
    <n v="0"/>
    <n v="0"/>
    <n v="0"/>
    <m/>
    <n v="63.3"/>
  </r>
  <r>
    <s v="USR-100688"/>
    <d v="2025-04-28T00:00:00"/>
    <x v="0"/>
    <s v="East"/>
    <s v="Desktop"/>
    <s v="Paid Search"/>
    <s v="Free"/>
    <n v="0"/>
    <n v="0"/>
    <n v="0"/>
    <n v="0"/>
    <n v="0"/>
    <n v="0"/>
    <n v="0"/>
    <m/>
    <n v="55"/>
  </r>
  <r>
    <s v="USR-100689"/>
    <d v="2025-05-27T00:00:00"/>
    <x v="0"/>
    <s v="North"/>
    <s v="Desktop"/>
    <s v="UNKNOWN"/>
    <s v="Premium"/>
    <n v="1"/>
    <n v="0"/>
    <n v="0"/>
    <n v="0"/>
    <n v="0"/>
    <n v="0"/>
    <n v="0"/>
    <m/>
    <n v="64.8"/>
  </r>
  <r>
    <s v="USR-100690"/>
    <d v="2025-04-07T00:00:00"/>
    <x v="0"/>
    <s v="South"/>
    <s v="Desktop"/>
    <s v="Organic"/>
    <s v="Basic"/>
    <n v="0"/>
    <n v="0"/>
    <n v="0"/>
    <n v="0"/>
    <n v="0"/>
    <n v="2"/>
    <n v="0"/>
    <m/>
    <n v="41.8"/>
  </r>
  <r>
    <s v="USR-100691"/>
    <d v="2025-04-14T00:00:00"/>
    <x v="1"/>
    <s v="East"/>
    <s v="Desktop"/>
    <s v="Social"/>
    <s v="Basic"/>
    <n v="1"/>
    <n v="0"/>
    <n v="0"/>
    <n v="0"/>
    <n v="0"/>
    <n v="0"/>
    <n v="0"/>
    <m/>
    <n v="73.2"/>
  </r>
  <r>
    <s v="USR-100692"/>
    <d v="2025-05-09T00:00:00"/>
    <x v="1"/>
    <s v="East"/>
    <s v="Desktop"/>
    <s v="Organic"/>
    <s v="Basic"/>
    <n v="1"/>
    <n v="1"/>
    <n v="1"/>
    <n v="0"/>
    <n v="0"/>
    <n v="3"/>
    <n v="0"/>
    <m/>
    <n v="55.7"/>
  </r>
  <r>
    <s v="USR-100693"/>
    <d v="2025-03-21T00:00:00"/>
    <x v="1"/>
    <s v="North"/>
    <s v="Mobile"/>
    <s v="Organic"/>
    <s v="Free"/>
    <n v="1"/>
    <n v="1"/>
    <n v="1"/>
    <n v="0"/>
    <n v="0"/>
    <n v="0"/>
    <n v="0"/>
    <m/>
    <n v="82.8"/>
  </r>
  <r>
    <s v="USR-100694"/>
    <d v="2025-03-27T00:00:00"/>
    <x v="1"/>
    <s v="North"/>
    <s v="Desktop"/>
    <s v="Social"/>
    <s v="Free"/>
    <n v="1"/>
    <n v="0"/>
    <n v="0"/>
    <n v="0"/>
    <n v="0"/>
    <n v="0"/>
    <n v="0"/>
    <m/>
    <n v="60.02"/>
  </r>
  <r>
    <s v="USR-100695"/>
    <d v="2025-01-21T00:00:00"/>
    <x v="1"/>
    <s v="South"/>
    <s v="Mobile"/>
    <s v="Paid Search"/>
    <s v="Free"/>
    <n v="0"/>
    <n v="0"/>
    <n v="0"/>
    <n v="0"/>
    <n v="0"/>
    <n v="0"/>
    <n v="0"/>
    <m/>
    <n v="34.4"/>
  </r>
  <r>
    <s v="USR-100696"/>
    <d v="2025-03-19T00:00:00"/>
    <x v="1"/>
    <s v="East"/>
    <s v="Desktop"/>
    <s v="Email"/>
    <s v="Free"/>
    <n v="1"/>
    <n v="0"/>
    <n v="0"/>
    <n v="0"/>
    <n v="0"/>
    <n v="0"/>
    <n v="0"/>
    <m/>
    <n v="45.2"/>
  </r>
  <r>
    <s v="USR-100697"/>
    <d v="2025-05-27T00:00:00"/>
    <x v="1"/>
    <s v="North"/>
    <s v="Mobile"/>
    <s v="Organic"/>
    <s v="Basic"/>
    <n v="1"/>
    <n v="0"/>
    <n v="0"/>
    <n v="0"/>
    <n v="0"/>
    <n v="0"/>
    <n v="0"/>
    <m/>
    <n v="71.599999999999994"/>
  </r>
  <r>
    <s v="USR-100698"/>
    <d v="2025-01-01T00:00:00"/>
    <x v="1"/>
    <s v="North"/>
    <s v="Mobile"/>
    <s v="Social"/>
    <s v="Free"/>
    <n v="1"/>
    <n v="1"/>
    <n v="1"/>
    <n v="0"/>
    <n v="0"/>
    <n v="0"/>
    <n v="0"/>
    <m/>
    <n v="69.099999999999994"/>
  </r>
  <r>
    <s v="USR-100699"/>
    <d v="2025-03-29T00:00:00"/>
    <x v="1"/>
    <s v="West"/>
    <s v="Desktop"/>
    <s v="Paid Search"/>
    <s v="Premium"/>
    <n v="1"/>
    <n v="0"/>
    <n v="0"/>
    <n v="0"/>
    <n v="0"/>
    <n v="1"/>
    <n v="0"/>
    <m/>
    <n v="37.700000000000003"/>
  </r>
  <r>
    <s v="USR-100700"/>
    <d v="2025-03-17T00:00:00"/>
    <x v="1"/>
    <s v="West"/>
    <s v="Desktop"/>
    <s v="Organic"/>
    <s v="Basic"/>
    <n v="1"/>
    <n v="0"/>
    <n v="0"/>
    <n v="0"/>
    <n v="0"/>
    <n v="1"/>
    <n v="0"/>
    <m/>
    <n v="60.8"/>
  </r>
  <r>
    <s v="USR-100701"/>
    <d v="2025-05-05T00:00:00"/>
    <x v="1"/>
    <s v="North"/>
    <s v="Mobile"/>
    <s v="Organic"/>
    <s v="Free"/>
    <n v="1"/>
    <n v="1"/>
    <n v="1"/>
    <n v="1"/>
    <n v="444.13"/>
    <n v="0"/>
    <n v="0"/>
    <n v="10"/>
    <n v="80.7"/>
  </r>
  <r>
    <s v="USR-100702"/>
    <d v="2025-05-04T00:00:00"/>
    <x v="1"/>
    <s v="South"/>
    <s v="Mobile"/>
    <s v="Social"/>
    <s v="Free"/>
    <n v="1"/>
    <n v="0"/>
    <n v="0"/>
    <n v="0"/>
    <n v="0"/>
    <n v="0"/>
    <n v="0"/>
    <m/>
    <n v="69.2"/>
  </r>
  <r>
    <s v="USR-100703"/>
    <d v="2025-03-25T00:00:00"/>
    <x v="1"/>
    <s v="North"/>
    <s v="Mobile"/>
    <s v="Social"/>
    <s v="Premium"/>
    <n v="0"/>
    <n v="0"/>
    <n v="0"/>
    <n v="0"/>
    <n v="0"/>
    <n v="3"/>
    <n v="0"/>
    <m/>
    <n v="55"/>
  </r>
  <r>
    <s v="USR-100704"/>
    <d v="2025-04-17T00:00:00"/>
    <x v="1"/>
    <s v="West"/>
    <s v="Mobile"/>
    <s v="Email"/>
    <s v="Free"/>
    <n v="0"/>
    <n v="0"/>
    <n v="0"/>
    <n v="0"/>
    <n v="0"/>
    <n v="1"/>
    <n v="0"/>
    <m/>
    <n v="73.599999999999994"/>
  </r>
  <r>
    <s v="USR-100705"/>
    <d v="2025-05-23T00:00:00"/>
    <x v="1"/>
    <s v="South"/>
    <s v="Mobile"/>
    <s v="Referral"/>
    <s v="Basic"/>
    <n v="1"/>
    <n v="1"/>
    <n v="1"/>
    <n v="0"/>
    <n v="0"/>
    <n v="1"/>
    <n v="0"/>
    <m/>
    <n v="47.3"/>
  </r>
  <r>
    <s v="USR-100706"/>
    <d v="2025-01-13T00:00:00"/>
    <x v="1"/>
    <s v="North"/>
    <s v="Mobile"/>
    <s v="Organic"/>
    <s v="Basic"/>
    <n v="0"/>
    <n v="0"/>
    <n v="0"/>
    <n v="0"/>
    <n v="0"/>
    <n v="0"/>
    <n v="0"/>
    <m/>
    <n v="43.6"/>
  </r>
  <r>
    <s v="USR-100707"/>
    <d v="2025-01-29T00:00:00"/>
    <x v="1"/>
    <s v="North"/>
    <s v="Desktop"/>
    <s v="Organic"/>
    <s v="Basic"/>
    <n v="1"/>
    <n v="0"/>
    <n v="0"/>
    <n v="0"/>
    <n v="0"/>
    <n v="0"/>
    <n v="0"/>
    <m/>
    <n v="60.02"/>
  </r>
  <r>
    <s v="USR-100708"/>
    <d v="2025-05-11T00:00:00"/>
    <x v="1"/>
    <s v="South"/>
    <s v="Mobile"/>
    <s v="Email"/>
    <s v="Free"/>
    <n v="0"/>
    <n v="0"/>
    <n v="0"/>
    <n v="0"/>
    <n v="0"/>
    <n v="0"/>
    <n v="0"/>
    <m/>
    <n v="55.2"/>
  </r>
  <r>
    <s v="USR-100709"/>
    <d v="2025-04-22T00:00:00"/>
    <x v="1"/>
    <s v="South"/>
    <s v="Mobile"/>
    <s v="Organic"/>
    <s v="Basic"/>
    <n v="1"/>
    <n v="0"/>
    <n v="0"/>
    <n v="0"/>
    <n v="0"/>
    <n v="0"/>
    <n v="0"/>
    <m/>
    <n v="49.4"/>
  </r>
  <r>
    <s v="USR-100710"/>
    <d v="2025-03-03T00:00:00"/>
    <x v="1"/>
    <s v="South"/>
    <s v="Mobile"/>
    <s v="Social"/>
    <s v="Free"/>
    <n v="1"/>
    <n v="1"/>
    <n v="1"/>
    <n v="0"/>
    <n v="0"/>
    <n v="1"/>
    <n v="0"/>
    <m/>
    <n v="60.1"/>
  </r>
  <r>
    <s v="USR-100711"/>
    <d v="2025-03-18T00:00:00"/>
    <x v="1"/>
    <s v="North"/>
    <s v="Mobile"/>
    <s v="Referral"/>
    <s v="Free"/>
    <n v="1"/>
    <n v="0"/>
    <n v="0"/>
    <n v="0"/>
    <n v="0"/>
    <n v="0"/>
    <n v="0"/>
    <m/>
    <n v="55.9"/>
  </r>
  <r>
    <s v="USR-100712"/>
    <d v="2025-04-05T00:00:00"/>
    <x v="1"/>
    <s v="North"/>
    <s v="Mobile"/>
    <s v="Organic"/>
    <s v="Basic"/>
    <n v="1"/>
    <n v="0"/>
    <n v="0"/>
    <n v="0"/>
    <n v="0"/>
    <n v="0"/>
    <n v="0"/>
    <m/>
    <n v="51.5"/>
  </r>
  <r>
    <s v="USR-100713"/>
    <d v="2025-04-16T00:00:00"/>
    <x v="1"/>
    <s v="East"/>
    <s v="Mobile"/>
    <s v="Organic"/>
    <s v="Free"/>
    <n v="1"/>
    <n v="1"/>
    <n v="1"/>
    <n v="1"/>
    <n v="516.66999999999996"/>
    <n v="0"/>
    <n v="0"/>
    <n v="11"/>
    <n v="57.9"/>
  </r>
  <r>
    <s v="USR-100714"/>
    <d v="2025-04-20T00:00:00"/>
    <x v="1"/>
    <s v="South"/>
    <s v="Mobile"/>
    <s v="Referral"/>
    <s v="Free"/>
    <n v="1"/>
    <n v="1"/>
    <n v="1"/>
    <n v="1"/>
    <n v="277.18"/>
    <n v="2"/>
    <n v="0"/>
    <n v="8"/>
    <n v="59.2"/>
  </r>
  <r>
    <s v="USR-100715"/>
    <d v="2025-02-15T00:00:00"/>
    <x v="1"/>
    <s v="South"/>
    <s v="Mobile"/>
    <s v="Organic"/>
    <s v="Free"/>
    <n v="0"/>
    <n v="0"/>
    <n v="0"/>
    <n v="0"/>
    <n v="0"/>
    <n v="0"/>
    <n v="0"/>
    <m/>
    <n v="64.2"/>
  </r>
  <r>
    <s v="USR-100716"/>
    <d v="2025-01-21T00:00:00"/>
    <x v="1"/>
    <s v="South"/>
    <s v="Mobile"/>
    <s v="Organic"/>
    <s v="Free"/>
    <n v="1"/>
    <n v="0"/>
    <n v="0"/>
    <n v="0"/>
    <n v="0"/>
    <n v="0"/>
    <n v="0"/>
    <m/>
    <n v="68.8"/>
  </r>
  <r>
    <s v="USR-100717"/>
    <d v="2025-05-23T00:00:00"/>
    <x v="1"/>
    <s v="North"/>
    <s v="Mobile"/>
    <s v="Paid Search"/>
    <s v="Premium"/>
    <n v="1"/>
    <n v="1"/>
    <n v="1"/>
    <n v="0"/>
    <n v="0"/>
    <n v="0"/>
    <n v="0"/>
    <m/>
    <n v="77.900000000000006"/>
  </r>
  <r>
    <s v="USR-100718"/>
    <d v="2025-01-22T00:00:00"/>
    <x v="1"/>
    <s v="West"/>
    <s v="Mobile"/>
    <s v="Paid Search"/>
    <s v="Basic"/>
    <n v="0"/>
    <n v="0"/>
    <n v="0"/>
    <n v="0"/>
    <n v="0"/>
    <n v="0"/>
    <n v="0"/>
    <m/>
    <n v="92.1"/>
  </r>
  <r>
    <s v="USR-100719"/>
    <d v="2025-04-24T00:00:00"/>
    <x v="1"/>
    <s v="West"/>
    <s v="Mobile"/>
    <s v="Paid Search"/>
    <s v="Premium"/>
    <n v="0"/>
    <n v="0"/>
    <n v="0"/>
    <n v="0"/>
    <n v="0"/>
    <n v="0"/>
    <n v="0"/>
    <m/>
    <n v="63.6"/>
  </r>
  <r>
    <s v="USR-100720"/>
    <d v="2025-01-17T00:00:00"/>
    <x v="1"/>
    <s v="West"/>
    <s v="Desktop"/>
    <s v="Email"/>
    <s v="Free"/>
    <n v="0"/>
    <n v="0"/>
    <n v="0"/>
    <n v="0"/>
    <n v="0"/>
    <n v="2"/>
    <n v="0"/>
    <m/>
    <n v="61.6"/>
  </r>
  <r>
    <s v="USR-100721"/>
    <d v="2025-01-22T00:00:00"/>
    <x v="1"/>
    <s v="East"/>
    <s v="Mobile"/>
    <s v="Referral"/>
    <s v="Basic"/>
    <n v="1"/>
    <n v="1"/>
    <n v="0"/>
    <n v="0"/>
    <n v="0"/>
    <n v="0"/>
    <n v="0"/>
    <m/>
    <n v="82.3"/>
  </r>
  <r>
    <s v="USR-100722"/>
    <d v="2025-05-04T00:00:00"/>
    <x v="1"/>
    <s v="East"/>
    <s v="Desktop"/>
    <s v="Paid Search"/>
    <s v="Free"/>
    <n v="1"/>
    <n v="0"/>
    <n v="0"/>
    <n v="0"/>
    <n v="0"/>
    <n v="0"/>
    <n v="0"/>
    <m/>
    <n v="79.3"/>
  </r>
  <r>
    <s v="USR-100723"/>
    <d v="2025-03-13T00:00:00"/>
    <x v="1"/>
    <s v="South"/>
    <s v="Mobile"/>
    <s v="UNKNOWN"/>
    <s v="Free"/>
    <n v="0"/>
    <n v="0"/>
    <n v="0"/>
    <n v="0"/>
    <n v="0"/>
    <n v="0"/>
    <n v="0"/>
    <m/>
    <n v="57.7"/>
  </r>
  <r>
    <s v="USR-100724"/>
    <d v="2025-01-02T00:00:00"/>
    <x v="1"/>
    <s v="North"/>
    <s v="Mobile"/>
    <s v="Organic"/>
    <s v="Basic"/>
    <n v="1"/>
    <n v="0"/>
    <n v="0"/>
    <n v="0"/>
    <n v="0"/>
    <n v="0"/>
    <n v="0"/>
    <m/>
    <n v="63.1"/>
  </r>
  <r>
    <s v="USR-100725"/>
    <d v="2025-01-13T00:00:00"/>
    <x v="1"/>
    <s v="East"/>
    <s v="Mobile"/>
    <s v="Paid Search"/>
    <s v="Basic"/>
    <n v="0"/>
    <n v="0"/>
    <n v="0"/>
    <n v="0"/>
    <n v="0"/>
    <n v="0"/>
    <n v="0"/>
    <m/>
    <n v="72.3"/>
  </r>
  <r>
    <s v="USR-100726"/>
    <d v="2025-02-09T00:00:00"/>
    <x v="1"/>
    <s v="East"/>
    <s v="Mobile"/>
    <s v="Social"/>
    <s v="Free"/>
    <n v="1"/>
    <n v="1"/>
    <n v="1"/>
    <n v="0"/>
    <n v="0"/>
    <n v="0"/>
    <n v="0"/>
    <m/>
    <n v="78"/>
  </r>
  <r>
    <s v="USR-100727"/>
    <d v="2025-04-09T00:00:00"/>
    <x v="1"/>
    <s v="East"/>
    <s v="Desktop"/>
    <s v="Social"/>
    <s v="Free"/>
    <n v="1"/>
    <n v="1"/>
    <n v="0"/>
    <n v="0"/>
    <n v="0"/>
    <n v="2"/>
    <n v="0"/>
    <m/>
    <n v="59.1"/>
  </r>
  <r>
    <s v="USR-100728"/>
    <d v="2025-01-02T00:00:00"/>
    <x v="1"/>
    <s v="South"/>
    <s v="Mobile"/>
    <s v="Paid Search"/>
    <s v="Free"/>
    <n v="1"/>
    <n v="1"/>
    <n v="1"/>
    <n v="1"/>
    <n v="604.09"/>
    <n v="0"/>
    <n v="0"/>
    <n v="7"/>
    <n v="47.1"/>
  </r>
  <r>
    <s v="USR-100729"/>
    <d v="2025-02-04T00:00:00"/>
    <x v="1"/>
    <s v="South"/>
    <s v="Mobile"/>
    <s v="UNKNOWN"/>
    <s v="Premium"/>
    <n v="1"/>
    <n v="0"/>
    <n v="0"/>
    <n v="0"/>
    <n v="0"/>
    <n v="0"/>
    <n v="0"/>
    <m/>
    <n v="64.900000000000006"/>
  </r>
  <r>
    <s v="USR-100730"/>
    <d v="2025-02-19T00:00:00"/>
    <x v="1"/>
    <s v="South"/>
    <s v="Tablet"/>
    <s v="Paid Search"/>
    <s v="Free"/>
    <n v="0"/>
    <n v="0"/>
    <n v="0"/>
    <n v="0"/>
    <n v="0"/>
    <n v="0"/>
    <n v="0"/>
    <m/>
    <n v="67.3"/>
  </r>
  <r>
    <s v="USR-100731"/>
    <d v="2025-04-01T00:00:00"/>
    <x v="1"/>
    <s v="East"/>
    <s v="Mobile"/>
    <s v="Paid Search"/>
    <s v="Basic"/>
    <n v="1"/>
    <n v="0"/>
    <n v="0"/>
    <n v="0"/>
    <n v="0"/>
    <n v="2"/>
    <n v="0"/>
    <m/>
    <n v="52.9"/>
  </r>
  <r>
    <s v="USR-100732"/>
    <d v="2025-01-29T00:00:00"/>
    <x v="1"/>
    <s v="North"/>
    <s v="Mobile"/>
    <s v="Referral"/>
    <s v="Free"/>
    <n v="1"/>
    <n v="1"/>
    <n v="1"/>
    <n v="1"/>
    <n v="442.37"/>
    <n v="1"/>
    <n v="0"/>
    <n v="4"/>
    <n v="69.900000000000006"/>
  </r>
  <r>
    <s v="USR-100733"/>
    <d v="2025-05-18T00:00:00"/>
    <x v="1"/>
    <s v="North"/>
    <s v="Mobile"/>
    <s v="Referral"/>
    <s v="Basic"/>
    <n v="1"/>
    <n v="1"/>
    <n v="1"/>
    <n v="0"/>
    <n v="0"/>
    <n v="0"/>
    <n v="0"/>
    <m/>
    <n v="78.900000000000006"/>
  </r>
  <r>
    <s v="USR-100734"/>
    <d v="2025-04-15T00:00:00"/>
    <x v="1"/>
    <s v="East"/>
    <s v="Desktop"/>
    <s v="Social"/>
    <s v="Premium"/>
    <n v="1"/>
    <n v="1"/>
    <n v="0"/>
    <n v="0"/>
    <n v="0"/>
    <n v="0"/>
    <n v="0"/>
    <m/>
    <n v="83.3"/>
  </r>
  <r>
    <s v="USR-100735"/>
    <d v="2025-03-28T00:00:00"/>
    <x v="1"/>
    <s v="East"/>
    <s v="Desktop"/>
    <s v="Email"/>
    <s v="Free"/>
    <n v="1"/>
    <n v="0"/>
    <n v="0"/>
    <n v="0"/>
    <n v="0"/>
    <n v="1"/>
    <n v="0"/>
    <m/>
    <n v="24.5"/>
  </r>
  <r>
    <s v="USR-100736"/>
    <d v="2025-04-01T00:00:00"/>
    <x v="1"/>
    <s v="West"/>
    <s v="Mobile"/>
    <s v="Paid Search"/>
    <s v="Basic"/>
    <n v="1"/>
    <n v="1"/>
    <n v="0"/>
    <n v="0"/>
    <n v="0"/>
    <n v="1"/>
    <n v="0"/>
    <m/>
    <n v="56.9"/>
  </r>
  <r>
    <s v="USR-100737"/>
    <d v="2025-02-11T00:00:00"/>
    <x v="1"/>
    <s v="West"/>
    <s v="Mobile"/>
    <s v="Social"/>
    <s v="Basic"/>
    <n v="1"/>
    <n v="0"/>
    <n v="0"/>
    <n v="0"/>
    <n v="0"/>
    <n v="0"/>
    <n v="0"/>
    <m/>
    <n v="69.900000000000006"/>
  </r>
  <r>
    <s v="USR-100738"/>
    <d v="2025-03-04T00:00:00"/>
    <x v="1"/>
    <s v="South"/>
    <s v="Mobile"/>
    <s v="Organic"/>
    <s v="Free"/>
    <n v="1"/>
    <n v="1"/>
    <n v="1"/>
    <n v="0"/>
    <n v="0"/>
    <n v="0"/>
    <n v="0"/>
    <m/>
    <n v="81.5"/>
  </r>
  <r>
    <s v="USR-100739"/>
    <d v="2025-01-21T00:00:00"/>
    <x v="1"/>
    <s v="North"/>
    <s v="Tablet"/>
    <s v="Social"/>
    <s v="Basic"/>
    <n v="0"/>
    <n v="0"/>
    <n v="0"/>
    <n v="0"/>
    <n v="0"/>
    <n v="2"/>
    <n v="0"/>
    <m/>
    <n v="37.9"/>
  </r>
  <r>
    <s v="USR-100740"/>
    <d v="2025-02-14T00:00:00"/>
    <x v="1"/>
    <s v="North"/>
    <s v="Mobile"/>
    <s v="Referral"/>
    <s v="Free"/>
    <n v="0"/>
    <n v="0"/>
    <n v="0"/>
    <n v="0"/>
    <n v="0"/>
    <n v="1"/>
    <n v="0"/>
    <m/>
    <n v="61.7"/>
  </r>
  <r>
    <s v="USR-100741"/>
    <d v="2025-03-30T00:00:00"/>
    <x v="1"/>
    <s v="North"/>
    <s v="Desktop"/>
    <s v="UNKNOWN"/>
    <s v="Premium"/>
    <n v="1"/>
    <n v="0"/>
    <n v="0"/>
    <n v="0"/>
    <n v="0"/>
    <n v="2"/>
    <n v="0"/>
    <m/>
    <n v="53.2"/>
  </r>
  <r>
    <s v="USR-100742"/>
    <d v="2025-01-08T00:00:00"/>
    <x v="1"/>
    <s v="North"/>
    <s v="Mobile"/>
    <s v="Referral"/>
    <s v="Free"/>
    <n v="0"/>
    <n v="0"/>
    <n v="0"/>
    <n v="0"/>
    <n v="0"/>
    <n v="0"/>
    <n v="0"/>
    <m/>
    <n v="61.9"/>
  </r>
  <r>
    <s v="USR-100743"/>
    <d v="2025-02-07T00:00:00"/>
    <x v="1"/>
    <s v="North"/>
    <s v="Mobile"/>
    <s v="Social"/>
    <s v="Free"/>
    <n v="1"/>
    <n v="1"/>
    <n v="1"/>
    <n v="0"/>
    <n v="0"/>
    <n v="0"/>
    <n v="0"/>
    <m/>
    <n v="68.900000000000006"/>
  </r>
  <r>
    <s v="USR-100744"/>
    <d v="2025-02-01T00:00:00"/>
    <x v="1"/>
    <s v="North"/>
    <s v="Tablet"/>
    <s v="Paid Search"/>
    <s v="Basic"/>
    <n v="0"/>
    <n v="0"/>
    <n v="0"/>
    <n v="0"/>
    <n v="0"/>
    <n v="0"/>
    <n v="0"/>
    <m/>
    <n v="66.3"/>
  </r>
  <r>
    <s v="USR-100745"/>
    <d v="2025-01-04T00:00:00"/>
    <x v="1"/>
    <s v="East"/>
    <s v="Mobile"/>
    <s v="Email"/>
    <s v="Free"/>
    <n v="1"/>
    <n v="1"/>
    <n v="1"/>
    <n v="0"/>
    <n v="0"/>
    <n v="0"/>
    <n v="0"/>
    <m/>
    <n v="54.6"/>
  </r>
  <r>
    <s v="USR-100746"/>
    <d v="2025-05-16T00:00:00"/>
    <x v="1"/>
    <s v="South"/>
    <s v="Desktop"/>
    <s v="Referral"/>
    <s v="Free"/>
    <n v="0"/>
    <n v="0"/>
    <n v="0"/>
    <n v="0"/>
    <n v="0"/>
    <n v="0"/>
    <n v="0"/>
    <m/>
    <n v="53.8"/>
  </r>
  <r>
    <s v="USR-100747"/>
    <d v="2025-02-28T00:00:00"/>
    <x v="1"/>
    <s v="West"/>
    <s v="Mobile"/>
    <s v="Referral"/>
    <s v="Free"/>
    <n v="1"/>
    <n v="0"/>
    <n v="0"/>
    <n v="0"/>
    <n v="0"/>
    <n v="0"/>
    <n v="0"/>
    <m/>
    <n v="59.5"/>
  </r>
  <r>
    <s v="USR-100748"/>
    <d v="2025-04-12T00:00:00"/>
    <x v="1"/>
    <s v="North"/>
    <s v="Mobile"/>
    <s v="Referral"/>
    <s v="Free"/>
    <n v="1"/>
    <n v="0"/>
    <n v="0"/>
    <n v="0"/>
    <n v="0"/>
    <n v="0"/>
    <n v="0"/>
    <m/>
    <n v="52.6"/>
  </r>
  <r>
    <s v="USR-100749"/>
    <d v="2025-03-23T00:00:00"/>
    <x v="1"/>
    <s v="South"/>
    <s v="Desktop"/>
    <s v="Organic"/>
    <s v="Free"/>
    <n v="0"/>
    <n v="0"/>
    <n v="0"/>
    <n v="0"/>
    <n v="0"/>
    <n v="0"/>
    <n v="0"/>
    <m/>
    <n v="49"/>
  </r>
  <r>
    <s v="USR-100750"/>
    <d v="2025-05-29T00:00:00"/>
    <x v="1"/>
    <s v="North"/>
    <s v="Tablet"/>
    <s v="Organic"/>
    <s v="Free"/>
    <n v="1"/>
    <n v="0"/>
    <n v="0"/>
    <n v="0"/>
    <n v="0"/>
    <n v="0"/>
    <n v="0"/>
    <m/>
    <n v="59.3"/>
  </r>
  <r>
    <s v="USR-100751"/>
    <d v="2025-05-21T00:00:00"/>
    <x v="1"/>
    <s v="South"/>
    <s v="Desktop"/>
    <s v="Organic"/>
    <s v="Basic"/>
    <n v="0"/>
    <n v="0"/>
    <n v="0"/>
    <n v="0"/>
    <n v="0"/>
    <n v="0"/>
    <n v="0"/>
    <m/>
    <n v="67.2"/>
  </r>
  <r>
    <s v="USR-100752"/>
    <d v="2025-01-05T00:00:00"/>
    <x v="1"/>
    <s v="South"/>
    <s v="Mobile"/>
    <s v="Referral"/>
    <s v="Premium"/>
    <n v="0"/>
    <n v="0"/>
    <n v="0"/>
    <n v="0"/>
    <n v="0"/>
    <n v="0"/>
    <n v="0"/>
    <m/>
    <n v="73.5"/>
  </r>
  <r>
    <s v="USR-100753"/>
    <d v="2025-03-19T00:00:00"/>
    <x v="1"/>
    <s v="East"/>
    <s v="Tablet"/>
    <s v="Organic"/>
    <s v="Free"/>
    <n v="1"/>
    <n v="0"/>
    <n v="0"/>
    <n v="0"/>
    <n v="0"/>
    <n v="0"/>
    <n v="0"/>
    <m/>
    <n v="61.2"/>
  </r>
  <r>
    <s v="USR-100754"/>
    <d v="2025-04-24T00:00:00"/>
    <x v="1"/>
    <s v="East"/>
    <s v="Mobile"/>
    <s v="Organic"/>
    <s v="Free"/>
    <n v="1"/>
    <n v="0"/>
    <n v="0"/>
    <n v="0"/>
    <n v="0"/>
    <n v="1"/>
    <n v="0"/>
    <m/>
    <n v="56.4"/>
  </r>
  <r>
    <s v="USR-100755"/>
    <d v="2025-03-10T00:00:00"/>
    <x v="1"/>
    <s v="North"/>
    <s v="Tablet"/>
    <s v="Organic"/>
    <s v="Free"/>
    <n v="0"/>
    <n v="0"/>
    <n v="0"/>
    <n v="0"/>
    <n v="0"/>
    <n v="3"/>
    <n v="0"/>
    <m/>
    <n v="72.599999999999994"/>
  </r>
  <r>
    <s v="USR-100756"/>
    <d v="2025-02-22T00:00:00"/>
    <x v="1"/>
    <s v="South"/>
    <s v="Tablet"/>
    <s v="Referral"/>
    <s v="Basic"/>
    <n v="1"/>
    <n v="0"/>
    <n v="0"/>
    <n v="0"/>
    <n v="0"/>
    <n v="0"/>
    <n v="0"/>
    <m/>
    <n v="61.7"/>
  </r>
  <r>
    <s v="USR-100757"/>
    <d v="2025-05-17T00:00:00"/>
    <x v="1"/>
    <s v="East"/>
    <s v="Mobile"/>
    <s v="Social"/>
    <s v="Free"/>
    <n v="0"/>
    <n v="0"/>
    <n v="0"/>
    <n v="0"/>
    <n v="0"/>
    <n v="1"/>
    <n v="0"/>
    <m/>
    <n v="66.900000000000006"/>
  </r>
  <r>
    <s v="USR-100758"/>
    <d v="2025-05-09T00:00:00"/>
    <x v="1"/>
    <s v="East"/>
    <s v="Tablet"/>
    <s v="Referral"/>
    <s v="Premium"/>
    <n v="1"/>
    <n v="1"/>
    <n v="1"/>
    <n v="1"/>
    <n v="1506.24"/>
    <n v="1"/>
    <n v="0"/>
    <n v="7"/>
    <n v="64.900000000000006"/>
  </r>
  <r>
    <s v="USR-100759"/>
    <d v="2025-04-26T00:00:00"/>
    <x v="1"/>
    <s v="East"/>
    <s v="Tablet"/>
    <s v="Organic"/>
    <s v="Premium"/>
    <n v="1"/>
    <n v="0"/>
    <n v="0"/>
    <n v="0"/>
    <n v="0"/>
    <n v="0"/>
    <n v="0"/>
    <m/>
    <n v="57.5"/>
  </r>
  <r>
    <s v="USR-100760"/>
    <d v="2025-03-15T00:00:00"/>
    <x v="1"/>
    <s v="West"/>
    <s v="Desktop"/>
    <s v="Social"/>
    <s v="Free"/>
    <n v="1"/>
    <n v="1"/>
    <n v="1"/>
    <n v="0"/>
    <n v="0"/>
    <n v="0"/>
    <n v="0"/>
    <m/>
    <n v="76.3"/>
  </r>
  <r>
    <s v="USR-100761"/>
    <d v="2025-04-03T00:00:00"/>
    <x v="1"/>
    <s v="North"/>
    <s v="Mobile"/>
    <s v="Paid Search"/>
    <s v="Free"/>
    <n v="0"/>
    <n v="0"/>
    <n v="0"/>
    <n v="0"/>
    <n v="0"/>
    <n v="0"/>
    <n v="0"/>
    <m/>
    <n v="47.5"/>
  </r>
  <r>
    <s v="USR-100762"/>
    <d v="2025-03-26T00:00:00"/>
    <x v="1"/>
    <s v="South"/>
    <s v="Mobile"/>
    <s v="Paid Search"/>
    <s v="Free"/>
    <n v="0"/>
    <n v="0"/>
    <n v="0"/>
    <n v="0"/>
    <n v="0"/>
    <n v="0"/>
    <n v="0"/>
    <m/>
    <n v="60.02"/>
  </r>
  <r>
    <s v="USR-100763"/>
    <d v="2025-02-05T00:00:00"/>
    <x v="1"/>
    <s v="West"/>
    <s v="Desktop"/>
    <s v="Organic"/>
    <s v="Basic"/>
    <n v="1"/>
    <n v="1"/>
    <n v="0"/>
    <n v="0"/>
    <n v="0"/>
    <n v="2"/>
    <n v="0"/>
    <m/>
    <n v="71.599999999999994"/>
  </r>
  <r>
    <s v="USR-100764"/>
    <d v="2025-05-08T00:00:00"/>
    <x v="1"/>
    <s v="South"/>
    <s v="Mobile"/>
    <s v="Social"/>
    <s v="Basic"/>
    <n v="1"/>
    <n v="1"/>
    <n v="0"/>
    <n v="0"/>
    <n v="0"/>
    <n v="0"/>
    <n v="0"/>
    <m/>
    <n v="55.8"/>
  </r>
  <r>
    <s v="USR-100765"/>
    <d v="2025-03-25T00:00:00"/>
    <x v="1"/>
    <s v="South"/>
    <s v="Desktop"/>
    <s v="Organic"/>
    <s v="Basic"/>
    <n v="0"/>
    <n v="0"/>
    <n v="0"/>
    <n v="0"/>
    <n v="0"/>
    <n v="1"/>
    <n v="0"/>
    <m/>
    <n v="60.1"/>
  </r>
  <r>
    <s v="USR-100766"/>
    <d v="2025-01-14T00:00:00"/>
    <x v="1"/>
    <s v="West"/>
    <s v="UNKNOWN"/>
    <s v="Email"/>
    <s v="Basic"/>
    <n v="1"/>
    <n v="1"/>
    <n v="1"/>
    <n v="0"/>
    <n v="0"/>
    <n v="1"/>
    <n v="0"/>
    <m/>
    <n v="59.3"/>
  </r>
  <r>
    <s v="USR-100767"/>
    <d v="2025-03-26T00:00:00"/>
    <x v="1"/>
    <s v="North"/>
    <s v="Mobile"/>
    <s v="Organic"/>
    <s v="Free"/>
    <n v="1"/>
    <n v="1"/>
    <n v="0"/>
    <n v="0"/>
    <n v="0"/>
    <n v="2"/>
    <n v="0"/>
    <m/>
    <n v="49.3"/>
  </r>
  <r>
    <s v="USR-100768"/>
    <d v="2025-01-16T00:00:00"/>
    <x v="1"/>
    <s v="East"/>
    <s v="Mobile"/>
    <s v="Referral"/>
    <s v="Free"/>
    <n v="1"/>
    <n v="0"/>
    <n v="0"/>
    <n v="0"/>
    <n v="0"/>
    <n v="0"/>
    <n v="0"/>
    <m/>
    <n v="75"/>
  </r>
  <r>
    <s v="USR-100769"/>
    <d v="2025-01-04T00:00:00"/>
    <x v="1"/>
    <s v="East"/>
    <s v="Mobile"/>
    <s v="Social"/>
    <s v="Free"/>
    <n v="1"/>
    <n v="0"/>
    <n v="0"/>
    <n v="0"/>
    <n v="0"/>
    <n v="0"/>
    <n v="0"/>
    <m/>
    <n v="70.2"/>
  </r>
  <r>
    <s v="USR-100770"/>
    <d v="2025-02-09T00:00:00"/>
    <x v="1"/>
    <s v="South"/>
    <s v="Desktop"/>
    <s v="Organic"/>
    <s v="Premium"/>
    <n v="1"/>
    <n v="1"/>
    <n v="1"/>
    <n v="0"/>
    <n v="0"/>
    <n v="0"/>
    <n v="0"/>
    <m/>
    <n v="56.6"/>
  </r>
  <r>
    <s v="USR-100771"/>
    <d v="2025-03-05T00:00:00"/>
    <x v="1"/>
    <s v="East"/>
    <s v="Desktop"/>
    <s v="Organic"/>
    <s v="Free"/>
    <n v="1"/>
    <n v="0"/>
    <n v="0"/>
    <n v="0"/>
    <n v="0"/>
    <n v="0"/>
    <n v="0"/>
    <m/>
    <n v="65.400000000000006"/>
  </r>
  <r>
    <s v="USR-100772"/>
    <d v="2025-03-10T00:00:00"/>
    <x v="1"/>
    <s v="East"/>
    <s v="Mobile"/>
    <s v="Referral"/>
    <s v="Basic"/>
    <n v="1"/>
    <n v="0"/>
    <n v="0"/>
    <n v="0"/>
    <n v="0"/>
    <n v="0"/>
    <n v="0"/>
    <m/>
    <n v="47.6"/>
  </r>
  <r>
    <s v="USR-100773"/>
    <d v="2025-02-27T00:00:00"/>
    <x v="1"/>
    <s v="East"/>
    <s v="Desktop"/>
    <s v="Paid Search"/>
    <s v="Free"/>
    <n v="1"/>
    <n v="0"/>
    <n v="0"/>
    <n v="0"/>
    <n v="0"/>
    <n v="0"/>
    <n v="0"/>
    <m/>
    <n v="56.7"/>
  </r>
  <r>
    <s v="USR-100774"/>
    <d v="2025-03-10T00:00:00"/>
    <x v="1"/>
    <s v="North"/>
    <s v="Desktop"/>
    <s v="Referral"/>
    <s v="Basic"/>
    <n v="1"/>
    <n v="1"/>
    <n v="0"/>
    <n v="0"/>
    <n v="0"/>
    <n v="0"/>
    <n v="0"/>
    <m/>
    <n v="71.400000000000006"/>
  </r>
  <r>
    <s v="USR-100775"/>
    <d v="2025-04-23T00:00:00"/>
    <x v="1"/>
    <s v="West"/>
    <s v="Mobile"/>
    <s v="Social"/>
    <s v="Free"/>
    <n v="0"/>
    <n v="0"/>
    <n v="0"/>
    <n v="0"/>
    <n v="0"/>
    <n v="2"/>
    <n v="0"/>
    <m/>
    <n v="60.5"/>
  </r>
  <r>
    <s v="USR-100776"/>
    <d v="2025-04-12T00:00:00"/>
    <x v="1"/>
    <s v="North"/>
    <s v="Desktop"/>
    <s v="Paid Search"/>
    <s v="Free"/>
    <n v="1"/>
    <n v="0"/>
    <n v="0"/>
    <n v="0"/>
    <n v="0"/>
    <n v="0"/>
    <n v="0"/>
    <m/>
    <n v="46.7"/>
  </r>
  <r>
    <s v="USR-100777"/>
    <d v="2025-01-26T00:00:00"/>
    <x v="1"/>
    <s v="East"/>
    <s v="Desktop"/>
    <s v="Referral"/>
    <s v="Free"/>
    <n v="0"/>
    <n v="0"/>
    <n v="0"/>
    <n v="0"/>
    <n v="0"/>
    <n v="0"/>
    <n v="0"/>
    <m/>
    <n v="61"/>
  </r>
  <r>
    <s v="USR-100778"/>
    <d v="2025-05-24T00:00:00"/>
    <x v="1"/>
    <s v="West"/>
    <s v="Tablet"/>
    <s v="Paid Search"/>
    <s v="Free"/>
    <n v="0"/>
    <n v="0"/>
    <n v="0"/>
    <n v="0"/>
    <n v="0"/>
    <n v="0"/>
    <n v="0"/>
    <m/>
    <n v="60.9"/>
  </r>
  <r>
    <s v="USR-100779"/>
    <d v="2025-01-08T00:00:00"/>
    <x v="1"/>
    <s v="South"/>
    <s v="Mobile"/>
    <s v="Organic"/>
    <s v="Free"/>
    <n v="1"/>
    <n v="0"/>
    <n v="0"/>
    <n v="0"/>
    <n v="0"/>
    <n v="0"/>
    <n v="0"/>
    <m/>
    <n v="67.099999999999994"/>
  </r>
  <r>
    <s v="USR-100780"/>
    <d v="2025-04-15T00:00:00"/>
    <x v="1"/>
    <s v="North"/>
    <s v="Mobile"/>
    <s v="Referral"/>
    <s v="Free"/>
    <n v="1"/>
    <n v="1"/>
    <n v="0"/>
    <n v="0"/>
    <n v="0"/>
    <n v="0"/>
    <n v="0"/>
    <m/>
    <n v="59.6"/>
  </r>
  <r>
    <s v="USR-100781"/>
    <d v="2025-01-15T00:00:00"/>
    <x v="1"/>
    <s v="South"/>
    <s v="Desktop"/>
    <s v="Paid Search"/>
    <s v="Free"/>
    <n v="1"/>
    <n v="0"/>
    <n v="0"/>
    <n v="0"/>
    <n v="0"/>
    <n v="0"/>
    <n v="0"/>
    <m/>
    <n v="83.8"/>
  </r>
  <r>
    <s v="USR-100782"/>
    <d v="2025-02-28T00:00:00"/>
    <x v="1"/>
    <s v="North"/>
    <s v="Mobile"/>
    <s v="Organic"/>
    <s v="Basic"/>
    <n v="1"/>
    <n v="1"/>
    <n v="1"/>
    <n v="0"/>
    <n v="0"/>
    <n v="0"/>
    <n v="0"/>
    <m/>
    <n v="70.8"/>
  </r>
  <r>
    <s v="USR-100783"/>
    <d v="2025-01-01T00:00:00"/>
    <x v="1"/>
    <s v="North"/>
    <s v="Tablet"/>
    <s v="Organic"/>
    <s v="Basic"/>
    <n v="0"/>
    <n v="0"/>
    <n v="0"/>
    <n v="0"/>
    <n v="0"/>
    <n v="0"/>
    <n v="0"/>
    <m/>
    <n v="65.900000000000006"/>
  </r>
  <r>
    <s v="USR-100784"/>
    <d v="2025-04-17T00:00:00"/>
    <x v="1"/>
    <s v="West"/>
    <s v="Mobile"/>
    <s v="Referral"/>
    <s v="Free"/>
    <n v="1"/>
    <n v="0"/>
    <n v="0"/>
    <n v="0"/>
    <n v="0"/>
    <n v="0"/>
    <n v="0"/>
    <m/>
    <n v="58"/>
  </r>
  <r>
    <s v="USR-100785"/>
    <d v="2025-02-19T00:00:00"/>
    <x v="1"/>
    <s v="North"/>
    <s v="Mobile"/>
    <s v="Email"/>
    <s v="Basic"/>
    <n v="1"/>
    <n v="1"/>
    <n v="0"/>
    <n v="0"/>
    <n v="0"/>
    <n v="0"/>
    <n v="0"/>
    <m/>
    <n v="80.3"/>
  </r>
  <r>
    <s v="USR-100786"/>
    <d v="2025-03-14T00:00:00"/>
    <x v="1"/>
    <s v="North"/>
    <s v="Desktop"/>
    <s v="Organic"/>
    <s v="Free"/>
    <n v="1"/>
    <n v="0"/>
    <n v="0"/>
    <n v="0"/>
    <n v="0"/>
    <n v="0"/>
    <n v="0"/>
    <m/>
    <n v="55.7"/>
  </r>
  <r>
    <s v="USR-100787"/>
    <d v="2025-04-21T00:00:00"/>
    <x v="1"/>
    <s v="North"/>
    <s v="Mobile"/>
    <s v="Organic"/>
    <s v="Free"/>
    <n v="1"/>
    <n v="1"/>
    <n v="0"/>
    <n v="0"/>
    <n v="0"/>
    <n v="0"/>
    <n v="0"/>
    <m/>
    <n v="84.9"/>
  </r>
  <r>
    <s v="USR-100788"/>
    <d v="2025-02-14T00:00:00"/>
    <x v="1"/>
    <s v="North"/>
    <s v="Mobile"/>
    <s v="Organic"/>
    <s v="Free"/>
    <n v="1"/>
    <n v="0"/>
    <n v="0"/>
    <n v="0"/>
    <n v="0"/>
    <n v="0"/>
    <n v="0"/>
    <m/>
    <n v="63.3"/>
  </r>
  <r>
    <s v="USR-100789"/>
    <d v="2025-05-30T00:00:00"/>
    <x v="1"/>
    <s v="West"/>
    <s v="Mobile"/>
    <s v="Organic"/>
    <s v="Free"/>
    <n v="0"/>
    <n v="0"/>
    <n v="0"/>
    <n v="0"/>
    <n v="0"/>
    <n v="0"/>
    <n v="0"/>
    <m/>
    <n v="53.1"/>
  </r>
  <r>
    <s v="USR-100790"/>
    <d v="2025-01-20T00:00:00"/>
    <x v="1"/>
    <s v="West"/>
    <s v="Mobile"/>
    <s v="Organic"/>
    <s v="Free"/>
    <n v="0"/>
    <n v="0"/>
    <n v="0"/>
    <n v="0"/>
    <n v="0"/>
    <n v="0"/>
    <n v="0"/>
    <m/>
    <n v="66"/>
  </r>
  <r>
    <s v="USR-100791"/>
    <d v="2025-03-17T00:00:00"/>
    <x v="1"/>
    <s v="West"/>
    <s v="Mobile"/>
    <s v="Social"/>
    <s v="Premium"/>
    <n v="0"/>
    <n v="0"/>
    <n v="0"/>
    <n v="0"/>
    <n v="0"/>
    <n v="0"/>
    <n v="0"/>
    <m/>
    <n v="54.7"/>
  </r>
  <r>
    <s v="USR-100792"/>
    <d v="2025-03-04T00:00:00"/>
    <x v="1"/>
    <s v="West"/>
    <s v="Mobile"/>
    <s v="Social"/>
    <s v="Free"/>
    <n v="1"/>
    <n v="1"/>
    <n v="0"/>
    <n v="0"/>
    <n v="0"/>
    <n v="1"/>
    <n v="0"/>
    <m/>
    <n v="41.2"/>
  </r>
  <r>
    <s v="USR-100793"/>
    <d v="2025-02-22T00:00:00"/>
    <x v="1"/>
    <s v="South"/>
    <s v="Mobile"/>
    <s v="Organic"/>
    <s v="Premium"/>
    <n v="0"/>
    <n v="0"/>
    <n v="0"/>
    <n v="0"/>
    <n v="0"/>
    <n v="0"/>
    <n v="0"/>
    <m/>
    <n v="66.7"/>
  </r>
  <r>
    <s v="USR-100794"/>
    <d v="2025-05-02T00:00:00"/>
    <x v="1"/>
    <s v="North"/>
    <s v="Mobile"/>
    <s v="Paid Search"/>
    <s v="Premium"/>
    <n v="0"/>
    <n v="0"/>
    <n v="0"/>
    <n v="0"/>
    <n v="0"/>
    <n v="0"/>
    <n v="0"/>
    <m/>
    <n v="39.4"/>
  </r>
  <r>
    <s v="USR-100795"/>
    <d v="2025-03-13T00:00:00"/>
    <x v="1"/>
    <s v="West"/>
    <s v="Desktop"/>
    <s v="Organic"/>
    <s v="Premium"/>
    <n v="0"/>
    <n v="0"/>
    <n v="0"/>
    <n v="0"/>
    <n v="0"/>
    <n v="3"/>
    <n v="0"/>
    <m/>
    <n v="67"/>
  </r>
  <r>
    <s v="USR-100796"/>
    <d v="2025-05-31T00:00:00"/>
    <x v="1"/>
    <s v="South"/>
    <s v="Mobile"/>
    <s v="Organic"/>
    <s v="Basic"/>
    <n v="1"/>
    <n v="0"/>
    <n v="0"/>
    <n v="0"/>
    <n v="0"/>
    <n v="0"/>
    <n v="0"/>
    <m/>
    <n v="50.4"/>
  </r>
  <r>
    <s v="USR-100797"/>
    <d v="2025-03-07T00:00:00"/>
    <x v="1"/>
    <s v="West"/>
    <s v="Desktop"/>
    <s v="Social"/>
    <s v="Free"/>
    <n v="1"/>
    <n v="0"/>
    <n v="0"/>
    <n v="0"/>
    <n v="0"/>
    <n v="0"/>
    <n v="0"/>
    <m/>
    <n v="53.8"/>
  </r>
  <r>
    <s v="USR-100798"/>
    <d v="2025-02-22T00:00:00"/>
    <x v="1"/>
    <s v="West"/>
    <s v="Mobile"/>
    <s v="Paid Search"/>
    <s v="Basic"/>
    <n v="0"/>
    <n v="0"/>
    <n v="0"/>
    <n v="0"/>
    <n v="0"/>
    <n v="1"/>
    <n v="0"/>
    <m/>
    <n v="82.7"/>
  </r>
  <r>
    <s v="USR-100799"/>
    <d v="2025-01-05T00:00:00"/>
    <x v="1"/>
    <s v="West"/>
    <s v="Desktop"/>
    <s v="Paid Search"/>
    <s v="Free"/>
    <n v="1"/>
    <n v="1"/>
    <n v="1"/>
    <n v="0"/>
    <n v="0"/>
    <n v="0"/>
    <n v="0"/>
    <m/>
    <n v="63.9"/>
  </r>
  <r>
    <s v="USR-100800"/>
    <d v="2025-01-21T00:00:00"/>
    <x v="1"/>
    <s v="West"/>
    <s v="Mobile"/>
    <s v="Referral"/>
    <s v="Free"/>
    <n v="1"/>
    <n v="0"/>
    <n v="0"/>
    <n v="0"/>
    <n v="0"/>
    <n v="0"/>
    <n v="0"/>
    <m/>
    <n v="61.9"/>
  </r>
  <r>
    <s v="USR-100801"/>
    <d v="2025-01-25T00:00:00"/>
    <x v="1"/>
    <s v="North"/>
    <s v="Desktop"/>
    <s v="Social"/>
    <s v="Free"/>
    <n v="1"/>
    <n v="1"/>
    <n v="1"/>
    <n v="0"/>
    <n v="0"/>
    <n v="0"/>
    <n v="0"/>
    <m/>
    <n v="75"/>
  </r>
  <r>
    <s v="USR-100802"/>
    <d v="2025-04-04T00:00:00"/>
    <x v="1"/>
    <s v="West"/>
    <s v="Mobile"/>
    <s v="Paid Search"/>
    <s v="Basic"/>
    <n v="1"/>
    <n v="1"/>
    <n v="1"/>
    <n v="0"/>
    <n v="0"/>
    <n v="0"/>
    <n v="0"/>
    <m/>
    <n v="43"/>
  </r>
  <r>
    <s v="USR-100803"/>
    <d v="2025-03-25T00:00:00"/>
    <x v="1"/>
    <s v="North"/>
    <s v="Desktop"/>
    <s v="Social"/>
    <s v="Premium"/>
    <n v="0"/>
    <n v="0"/>
    <n v="0"/>
    <n v="0"/>
    <n v="0"/>
    <n v="0"/>
    <n v="0"/>
    <m/>
    <n v="54.3"/>
  </r>
  <r>
    <s v="USR-100804"/>
    <d v="2025-03-19T00:00:00"/>
    <x v="1"/>
    <s v="West"/>
    <s v="Mobile"/>
    <s v="Social"/>
    <s v="Free"/>
    <n v="0"/>
    <n v="0"/>
    <n v="0"/>
    <n v="0"/>
    <n v="0"/>
    <n v="2"/>
    <n v="0"/>
    <m/>
    <n v="44.3"/>
  </r>
  <r>
    <s v="USR-100805"/>
    <d v="2025-04-24T00:00:00"/>
    <x v="1"/>
    <s v="West"/>
    <s v="Desktop"/>
    <s v="Organic"/>
    <s v="Free"/>
    <n v="1"/>
    <n v="1"/>
    <n v="1"/>
    <n v="1"/>
    <n v="402.88"/>
    <n v="0"/>
    <n v="0"/>
    <n v="12"/>
    <n v="76"/>
  </r>
  <r>
    <s v="USR-100806"/>
    <d v="2025-04-04T00:00:00"/>
    <x v="1"/>
    <s v="South"/>
    <s v="Tablet"/>
    <s v="Organic"/>
    <s v="Free"/>
    <n v="1"/>
    <n v="0"/>
    <n v="0"/>
    <n v="0"/>
    <n v="0"/>
    <n v="2"/>
    <n v="0"/>
    <m/>
    <n v="65.3"/>
  </r>
  <r>
    <s v="USR-100807"/>
    <d v="2025-03-28T00:00:00"/>
    <x v="1"/>
    <s v="South"/>
    <s v="Desktop"/>
    <s v="Paid Search"/>
    <s v="Premium"/>
    <n v="1"/>
    <n v="0"/>
    <n v="0"/>
    <n v="0"/>
    <n v="0"/>
    <n v="0"/>
    <n v="0"/>
    <m/>
    <n v="71.2"/>
  </r>
  <r>
    <s v="USR-100808"/>
    <d v="2025-05-15T00:00:00"/>
    <x v="1"/>
    <s v="South"/>
    <s v="Tablet"/>
    <s v="Paid Search"/>
    <s v="Free"/>
    <n v="1"/>
    <n v="0"/>
    <n v="0"/>
    <n v="0"/>
    <n v="0"/>
    <n v="0"/>
    <n v="0"/>
    <m/>
    <n v="77.900000000000006"/>
  </r>
  <r>
    <s v="USR-100809"/>
    <d v="2025-03-13T00:00:00"/>
    <x v="1"/>
    <s v="West"/>
    <s v="Mobile"/>
    <s v="Paid Search"/>
    <s v="Free"/>
    <n v="0"/>
    <n v="0"/>
    <n v="0"/>
    <n v="0"/>
    <n v="0"/>
    <n v="0"/>
    <n v="0"/>
    <m/>
    <n v="48.6"/>
  </r>
  <r>
    <s v="USR-100810"/>
    <d v="2025-03-26T00:00:00"/>
    <x v="1"/>
    <s v="North"/>
    <s v="Mobile"/>
    <s v="Social"/>
    <s v="Premium"/>
    <n v="1"/>
    <n v="0"/>
    <n v="0"/>
    <n v="0"/>
    <n v="0"/>
    <n v="0"/>
    <n v="0"/>
    <m/>
    <n v="61.9"/>
  </r>
  <r>
    <s v="USR-100811"/>
    <d v="2025-01-09T00:00:00"/>
    <x v="1"/>
    <s v="North"/>
    <s v="Mobile"/>
    <s v="Social"/>
    <s v="Basic"/>
    <n v="0"/>
    <n v="0"/>
    <n v="0"/>
    <n v="0"/>
    <n v="0"/>
    <n v="1"/>
    <n v="0"/>
    <m/>
    <n v="58.7"/>
  </r>
  <r>
    <s v="USR-100812"/>
    <d v="2025-05-06T00:00:00"/>
    <x v="1"/>
    <s v="South"/>
    <s v="Desktop"/>
    <s v="Paid Search"/>
    <s v="Free"/>
    <n v="1"/>
    <n v="0"/>
    <n v="0"/>
    <n v="0"/>
    <n v="0"/>
    <n v="0"/>
    <n v="0"/>
    <m/>
    <n v="69.599999999999994"/>
  </r>
  <r>
    <s v="USR-100813"/>
    <d v="2025-02-17T00:00:00"/>
    <x v="1"/>
    <s v="South"/>
    <s v="Mobile"/>
    <s v="Organic"/>
    <s v="Free"/>
    <n v="1"/>
    <n v="0"/>
    <n v="0"/>
    <n v="0"/>
    <n v="0"/>
    <n v="0"/>
    <n v="0"/>
    <m/>
    <n v="51.5"/>
  </r>
  <r>
    <s v="USR-100814"/>
    <d v="2025-04-05T00:00:00"/>
    <x v="1"/>
    <s v="East"/>
    <s v="Mobile"/>
    <s v="Paid Search"/>
    <s v="Free"/>
    <n v="1"/>
    <n v="1"/>
    <n v="1"/>
    <n v="1"/>
    <n v="277.69"/>
    <n v="3"/>
    <n v="0"/>
    <n v="8"/>
    <n v="46"/>
  </r>
  <r>
    <s v="USR-100815"/>
    <d v="2025-04-13T00:00:00"/>
    <x v="1"/>
    <s v="West"/>
    <s v="Tablet"/>
    <s v="Organic"/>
    <s v="Free"/>
    <n v="1"/>
    <n v="0"/>
    <n v="0"/>
    <n v="0"/>
    <n v="0"/>
    <n v="0"/>
    <n v="0"/>
    <m/>
    <n v="81.7"/>
  </r>
  <r>
    <s v="USR-100816"/>
    <d v="2025-05-20T00:00:00"/>
    <x v="1"/>
    <s v="East"/>
    <s v="Desktop"/>
    <s v="Referral"/>
    <s v="Free"/>
    <n v="1"/>
    <n v="0"/>
    <n v="0"/>
    <n v="0"/>
    <n v="0"/>
    <n v="0"/>
    <n v="0"/>
    <m/>
    <n v="48.3"/>
  </r>
  <r>
    <s v="USR-100817"/>
    <d v="2025-03-31T00:00:00"/>
    <x v="1"/>
    <s v="East"/>
    <s v="Mobile"/>
    <s v="Email"/>
    <s v="Free"/>
    <n v="1"/>
    <n v="1"/>
    <n v="0"/>
    <n v="0"/>
    <n v="0"/>
    <n v="0"/>
    <n v="0"/>
    <m/>
    <n v="85.6"/>
  </r>
  <r>
    <s v="USR-100818"/>
    <d v="2025-04-03T00:00:00"/>
    <x v="1"/>
    <s v="West"/>
    <s v="Tablet"/>
    <s v="Paid Search"/>
    <s v="Basic"/>
    <n v="1"/>
    <n v="0"/>
    <n v="0"/>
    <n v="0"/>
    <n v="0"/>
    <n v="0"/>
    <n v="0"/>
    <m/>
    <n v="53.8"/>
  </r>
  <r>
    <s v="USR-100819"/>
    <d v="2025-02-04T00:00:00"/>
    <x v="1"/>
    <s v="South"/>
    <s v="Mobile"/>
    <s v="Organic"/>
    <s v="Free"/>
    <n v="1"/>
    <n v="1"/>
    <n v="1"/>
    <n v="1"/>
    <n v="460.83"/>
    <n v="2"/>
    <n v="0"/>
    <n v="0"/>
    <n v="69.7"/>
  </r>
  <r>
    <s v="USR-100820"/>
    <d v="2025-05-19T00:00:00"/>
    <x v="1"/>
    <s v="East"/>
    <s v="Mobile"/>
    <s v="Organic"/>
    <s v="Free"/>
    <n v="1"/>
    <n v="0"/>
    <n v="0"/>
    <n v="0"/>
    <n v="0"/>
    <n v="0"/>
    <n v="0"/>
    <m/>
    <n v="74.8"/>
  </r>
  <r>
    <s v="USR-100821"/>
    <d v="2025-03-08T00:00:00"/>
    <x v="1"/>
    <s v="East"/>
    <s v="Desktop"/>
    <s v="Paid Search"/>
    <s v="Basic"/>
    <n v="0"/>
    <n v="0"/>
    <n v="0"/>
    <n v="0"/>
    <n v="0"/>
    <n v="0"/>
    <n v="0"/>
    <m/>
    <n v="87.9"/>
  </r>
  <r>
    <s v="USR-100822"/>
    <d v="2025-05-10T00:00:00"/>
    <x v="1"/>
    <s v="North"/>
    <s v="Mobile"/>
    <s v="Social"/>
    <s v="Basic"/>
    <n v="1"/>
    <n v="0"/>
    <n v="0"/>
    <n v="0"/>
    <n v="0"/>
    <n v="1"/>
    <n v="0"/>
    <m/>
    <n v="49.1"/>
  </r>
  <r>
    <s v="USR-100823"/>
    <d v="2025-01-02T00:00:00"/>
    <x v="1"/>
    <s v="East"/>
    <s v="Desktop"/>
    <s v="Social"/>
    <s v="Basic"/>
    <n v="1"/>
    <n v="0"/>
    <n v="0"/>
    <n v="0"/>
    <n v="0"/>
    <n v="2"/>
    <n v="0"/>
    <m/>
    <n v="73"/>
  </r>
  <r>
    <s v="USR-100824"/>
    <d v="2025-01-17T00:00:00"/>
    <x v="1"/>
    <s v="West"/>
    <s v="Mobile"/>
    <s v="Organic"/>
    <s v="Basic"/>
    <n v="0"/>
    <n v="0"/>
    <n v="0"/>
    <n v="0"/>
    <n v="0"/>
    <n v="0"/>
    <n v="0"/>
    <m/>
    <n v="79.5"/>
  </r>
  <r>
    <s v="USR-100825"/>
    <d v="2025-05-21T00:00:00"/>
    <x v="1"/>
    <s v="West"/>
    <s v="Mobile"/>
    <s v="Referral"/>
    <s v="Basic"/>
    <n v="1"/>
    <n v="1"/>
    <n v="1"/>
    <n v="1"/>
    <n v="782.23"/>
    <n v="1"/>
    <n v="0"/>
    <n v="6"/>
    <n v="93.2"/>
  </r>
  <r>
    <s v="USR-100826"/>
    <d v="2025-05-25T00:00:00"/>
    <x v="1"/>
    <s v="East"/>
    <s v="Desktop"/>
    <s v="Referral"/>
    <s v="Free"/>
    <n v="1"/>
    <n v="0"/>
    <n v="0"/>
    <n v="0"/>
    <n v="0"/>
    <n v="3"/>
    <n v="0"/>
    <m/>
    <n v="77.5"/>
  </r>
  <r>
    <s v="USR-100827"/>
    <d v="2025-01-05T00:00:00"/>
    <x v="1"/>
    <s v="West"/>
    <s v="Mobile"/>
    <s v="Email"/>
    <s v="Basic"/>
    <n v="1"/>
    <n v="0"/>
    <n v="0"/>
    <n v="0"/>
    <n v="0"/>
    <n v="0"/>
    <n v="0"/>
    <m/>
    <n v="61"/>
  </r>
  <r>
    <s v="USR-100828"/>
    <d v="2025-02-24T00:00:00"/>
    <x v="1"/>
    <s v="South"/>
    <s v="Desktop"/>
    <s v="Organic"/>
    <s v="Free"/>
    <n v="1"/>
    <n v="1"/>
    <n v="0"/>
    <n v="0"/>
    <n v="0"/>
    <n v="0"/>
    <n v="0"/>
    <m/>
    <n v="64.900000000000006"/>
  </r>
  <r>
    <s v="USR-100829"/>
    <d v="2025-01-21T00:00:00"/>
    <x v="1"/>
    <s v="East"/>
    <s v="Mobile"/>
    <s v="Paid Search"/>
    <s v="Basic"/>
    <n v="1"/>
    <n v="0"/>
    <n v="0"/>
    <n v="0"/>
    <n v="0"/>
    <n v="0"/>
    <n v="0"/>
    <m/>
    <n v="87.5"/>
  </r>
  <r>
    <s v="USR-100830"/>
    <d v="2025-04-24T00:00:00"/>
    <x v="1"/>
    <s v="North"/>
    <s v="Mobile"/>
    <s v="Organic"/>
    <s v="Basic"/>
    <n v="1"/>
    <n v="1"/>
    <n v="1"/>
    <n v="1"/>
    <n v="1171.99"/>
    <n v="0"/>
    <n v="0"/>
    <n v="5"/>
    <n v="80.599999999999994"/>
  </r>
  <r>
    <s v="USR-100831"/>
    <d v="2025-01-07T00:00:00"/>
    <x v="1"/>
    <s v="West"/>
    <s v="Desktop"/>
    <s v="Organic"/>
    <s v="Free"/>
    <n v="1"/>
    <n v="0"/>
    <n v="0"/>
    <n v="0"/>
    <n v="0"/>
    <n v="0"/>
    <n v="0"/>
    <m/>
    <n v="66.900000000000006"/>
  </r>
  <r>
    <s v="USR-100832"/>
    <d v="2025-05-31T00:00:00"/>
    <x v="1"/>
    <s v="South"/>
    <s v="Tablet"/>
    <s v="Organic"/>
    <s v="Basic"/>
    <n v="1"/>
    <n v="1"/>
    <n v="1"/>
    <n v="0"/>
    <n v="0"/>
    <n v="0"/>
    <n v="0"/>
    <m/>
    <n v="58.8"/>
  </r>
  <r>
    <s v="USR-100833"/>
    <d v="2025-04-02T00:00:00"/>
    <x v="1"/>
    <s v="North"/>
    <s v="Desktop"/>
    <s v="Organic"/>
    <s v="Basic"/>
    <n v="1"/>
    <n v="1"/>
    <n v="1"/>
    <n v="1"/>
    <n v="1010.4"/>
    <n v="0"/>
    <n v="0"/>
    <n v="4"/>
    <n v="42.9"/>
  </r>
  <r>
    <s v="USR-100834"/>
    <d v="2025-04-21T00:00:00"/>
    <x v="1"/>
    <s v="East"/>
    <s v="Mobile"/>
    <s v="Organic"/>
    <s v="Free"/>
    <n v="1"/>
    <n v="1"/>
    <n v="1"/>
    <n v="0"/>
    <n v="0"/>
    <n v="1"/>
    <n v="0"/>
    <m/>
    <n v="60.2"/>
  </r>
  <r>
    <s v="USR-100835"/>
    <d v="2025-05-05T00:00:00"/>
    <x v="1"/>
    <s v="East"/>
    <s v="Mobile"/>
    <s v="Paid Search"/>
    <s v="Basic"/>
    <n v="1"/>
    <n v="0"/>
    <n v="0"/>
    <n v="0"/>
    <n v="0"/>
    <n v="0"/>
    <n v="0"/>
    <m/>
    <n v="42.7"/>
  </r>
  <r>
    <s v="USR-100836"/>
    <d v="2025-01-06T00:00:00"/>
    <x v="1"/>
    <s v="North"/>
    <s v="Desktop"/>
    <s v="Social"/>
    <s v="Free"/>
    <n v="1"/>
    <n v="1"/>
    <n v="1"/>
    <n v="1"/>
    <n v="431.27"/>
    <n v="0"/>
    <n v="0"/>
    <n v="7"/>
    <n v="60.8"/>
  </r>
  <r>
    <s v="USR-100837"/>
    <d v="2025-04-24T00:00:00"/>
    <x v="1"/>
    <s v="South"/>
    <s v="Mobile"/>
    <s v="Referral"/>
    <s v="Free"/>
    <n v="1"/>
    <n v="1"/>
    <n v="1"/>
    <n v="1"/>
    <n v="428.8"/>
    <n v="0"/>
    <n v="0"/>
    <n v="9"/>
    <n v="79.3"/>
  </r>
  <r>
    <s v="USR-100838"/>
    <d v="2025-04-21T00:00:00"/>
    <x v="1"/>
    <s v="South"/>
    <s v="Mobile"/>
    <s v="Organic"/>
    <s v="Basic"/>
    <n v="1"/>
    <n v="0"/>
    <n v="0"/>
    <n v="0"/>
    <n v="0"/>
    <n v="1"/>
    <n v="0"/>
    <m/>
    <n v="88.6"/>
  </r>
  <r>
    <s v="USR-100839"/>
    <d v="2025-02-09T00:00:00"/>
    <x v="1"/>
    <s v="West"/>
    <s v="Mobile"/>
    <s v="Organic"/>
    <s v="Basic"/>
    <n v="1"/>
    <n v="1"/>
    <n v="1"/>
    <n v="0"/>
    <n v="0"/>
    <n v="0"/>
    <n v="0"/>
    <m/>
    <n v="63.1"/>
  </r>
  <r>
    <s v="USR-100840"/>
    <d v="2025-01-09T00:00:00"/>
    <x v="1"/>
    <s v="East"/>
    <s v="Mobile"/>
    <s v="Organic"/>
    <s v="Premium"/>
    <n v="1"/>
    <n v="0"/>
    <n v="0"/>
    <n v="0"/>
    <n v="0"/>
    <n v="0"/>
    <n v="0"/>
    <m/>
    <n v="39.700000000000003"/>
  </r>
  <r>
    <s v="USR-100841"/>
    <d v="2025-02-16T00:00:00"/>
    <x v="1"/>
    <s v="North"/>
    <s v="Mobile"/>
    <s v="Paid Search"/>
    <s v="Basic"/>
    <n v="0"/>
    <n v="0"/>
    <n v="0"/>
    <n v="0"/>
    <n v="0"/>
    <n v="0"/>
    <n v="0"/>
    <m/>
    <n v="67.2"/>
  </r>
  <r>
    <s v="USR-100842"/>
    <d v="2025-02-21T00:00:00"/>
    <x v="1"/>
    <s v="South"/>
    <s v="Mobile"/>
    <s v="Organic"/>
    <s v="Free"/>
    <n v="1"/>
    <n v="1"/>
    <n v="1"/>
    <n v="0"/>
    <n v="0"/>
    <n v="0"/>
    <n v="0"/>
    <m/>
    <n v="62.3"/>
  </r>
  <r>
    <s v="USR-100843"/>
    <d v="2025-02-08T00:00:00"/>
    <x v="1"/>
    <s v="South"/>
    <s v="Mobile"/>
    <s v="Organic"/>
    <s v="Premium"/>
    <n v="1"/>
    <n v="0"/>
    <n v="0"/>
    <n v="0"/>
    <n v="0"/>
    <n v="0"/>
    <n v="0"/>
    <m/>
    <n v="60.02"/>
  </r>
  <r>
    <s v="USR-100844"/>
    <d v="2025-01-22T00:00:00"/>
    <x v="1"/>
    <s v="South"/>
    <s v="Mobile"/>
    <s v="Paid Search"/>
    <s v="Premium"/>
    <n v="0"/>
    <n v="0"/>
    <n v="0"/>
    <n v="0"/>
    <n v="0"/>
    <n v="0"/>
    <n v="0"/>
    <m/>
    <n v="60.7"/>
  </r>
  <r>
    <s v="USR-100845"/>
    <d v="2025-04-01T00:00:00"/>
    <x v="1"/>
    <s v="West"/>
    <s v="Mobile"/>
    <s v="Organic"/>
    <s v="Basic"/>
    <n v="1"/>
    <n v="0"/>
    <n v="0"/>
    <n v="0"/>
    <n v="0"/>
    <n v="0"/>
    <n v="0"/>
    <m/>
    <n v="61.5"/>
  </r>
  <r>
    <s v="USR-100846"/>
    <d v="2025-01-21T00:00:00"/>
    <x v="1"/>
    <s v="North"/>
    <s v="Mobile"/>
    <s v="Paid Search"/>
    <s v="Basic"/>
    <n v="1"/>
    <n v="0"/>
    <n v="0"/>
    <n v="0"/>
    <n v="0"/>
    <n v="0"/>
    <n v="0"/>
    <m/>
    <n v="75"/>
  </r>
  <r>
    <s v="USR-100847"/>
    <d v="2025-01-02T00:00:00"/>
    <x v="1"/>
    <s v="East"/>
    <s v="Desktop"/>
    <s v="Organic"/>
    <s v="Free"/>
    <n v="1"/>
    <n v="1"/>
    <n v="0"/>
    <n v="0"/>
    <n v="0"/>
    <n v="0"/>
    <n v="0"/>
    <m/>
    <n v="51.9"/>
  </r>
  <r>
    <s v="USR-100848"/>
    <d v="2025-05-12T00:00:00"/>
    <x v="1"/>
    <s v="South"/>
    <s v="Desktop"/>
    <s v="Paid Search"/>
    <s v="Free"/>
    <n v="0"/>
    <n v="0"/>
    <n v="0"/>
    <n v="0"/>
    <n v="0"/>
    <n v="0"/>
    <n v="0"/>
    <m/>
    <n v="34.5"/>
  </r>
  <r>
    <s v="USR-100849"/>
    <d v="2025-03-05T00:00:00"/>
    <x v="1"/>
    <s v="South"/>
    <s v="Mobile"/>
    <s v="Social"/>
    <s v="Basic"/>
    <n v="0"/>
    <n v="0"/>
    <n v="0"/>
    <n v="0"/>
    <n v="0"/>
    <n v="0"/>
    <n v="0"/>
    <m/>
    <n v="54.5"/>
  </r>
  <r>
    <s v="USR-100850"/>
    <d v="2025-01-24T00:00:00"/>
    <x v="1"/>
    <s v="East"/>
    <s v="Mobile"/>
    <s v="Organic"/>
    <s v="Free"/>
    <n v="0"/>
    <n v="0"/>
    <n v="0"/>
    <n v="0"/>
    <n v="0"/>
    <n v="0"/>
    <n v="0"/>
    <m/>
    <n v="46"/>
  </r>
  <r>
    <s v="USR-100851"/>
    <d v="2025-01-31T00:00:00"/>
    <x v="1"/>
    <s v="East"/>
    <s v="Desktop"/>
    <s v="Email"/>
    <s v="Free"/>
    <n v="1"/>
    <n v="1"/>
    <n v="1"/>
    <n v="0"/>
    <n v="0"/>
    <n v="0"/>
    <n v="0"/>
    <m/>
    <n v="88.4"/>
  </r>
  <r>
    <s v="USR-100852"/>
    <d v="2025-01-24T00:00:00"/>
    <x v="1"/>
    <s v="North"/>
    <s v="Tablet"/>
    <s v="Organic"/>
    <s v="Basic"/>
    <n v="1"/>
    <n v="0"/>
    <n v="0"/>
    <n v="0"/>
    <n v="0"/>
    <n v="0"/>
    <n v="0"/>
    <m/>
    <n v="69.5"/>
  </r>
  <r>
    <s v="USR-100853"/>
    <d v="2025-02-14T00:00:00"/>
    <x v="1"/>
    <s v="North"/>
    <s v="Desktop"/>
    <s v="Referral"/>
    <s v="Basic"/>
    <n v="1"/>
    <n v="1"/>
    <n v="1"/>
    <n v="0"/>
    <n v="0"/>
    <n v="0"/>
    <n v="0"/>
    <m/>
    <n v="74.2"/>
  </r>
  <r>
    <s v="USR-100854"/>
    <d v="2025-05-27T00:00:00"/>
    <x v="1"/>
    <s v="North"/>
    <s v="Mobile"/>
    <s v="Organic"/>
    <s v="Free"/>
    <n v="1"/>
    <n v="1"/>
    <n v="1"/>
    <n v="0"/>
    <n v="0"/>
    <n v="0"/>
    <n v="0"/>
    <m/>
    <n v="72.099999999999994"/>
  </r>
  <r>
    <s v="USR-100855"/>
    <d v="2025-02-28T00:00:00"/>
    <x v="1"/>
    <s v="North"/>
    <s v="Mobile"/>
    <s v="Paid Search"/>
    <s v="Free"/>
    <n v="1"/>
    <n v="1"/>
    <n v="1"/>
    <n v="1"/>
    <n v="398.33"/>
    <n v="0"/>
    <n v="0"/>
    <n v="5"/>
    <n v="85.1"/>
  </r>
  <r>
    <s v="USR-100856"/>
    <d v="2025-05-27T00:00:00"/>
    <x v="1"/>
    <s v="North"/>
    <s v="Mobile"/>
    <s v="Organic"/>
    <s v="Basic"/>
    <n v="1"/>
    <n v="1"/>
    <n v="1"/>
    <n v="0"/>
    <n v="0"/>
    <n v="0"/>
    <n v="0"/>
    <m/>
    <n v="49.5"/>
  </r>
  <r>
    <s v="USR-100857"/>
    <d v="2025-05-17T00:00:00"/>
    <x v="1"/>
    <s v="South"/>
    <s v="Mobile"/>
    <s v="Paid Search"/>
    <s v="Premium"/>
    <n v="0"/>
    <n v="0"/>
    <n v="0"/>
    <n v="0"/>
    <n v="0"/>
    <n v="1"/>
    <n v="0"/>
    <m/>
    <n v="79"/>
  </r>
  <r>
    <s v="USR-100858"/>
    <d v="2025-01-10T00:00:00"/>
    <x v="1"/>
    <s v="West"/>
    <s v="Desktop"/>
    <s v="Social"/>
    <s v="Free"/>
    <n v="0"/>
    <n v="0"/>
    <n v="0"/>
    <n v="0"/>
    <n v="0"/>
    <n v="0"/>
    <n v="0"/>
    <m/>
    <n v="71.8"/>
  </r>
  <r>
    <s v="USR-100859"/>
    <d v="2025-04-22T00:00:00"/>
    <x v="1"/>
    <s v="North"/>
    <s v="Mobile"/>
    <s v="Email"/>
    <s v="Basic"/>
    <n v="1"/>
    <n v="1"/>
    <n v="1"/>
    <n v="1"/>
    <n v="1117.54"/>
    <n v="0"/>
    <n v="0"/>
    <n v="6"/>
    <n v="60.4"/>
  </r>
  <r>
    <s v="USR-100860"/>
    <d v="2025-03-02T00:00:00"/>
    <x v="1"/>
    <s v="South"/>
    <s v="Desktop"/>
    <s v="Organic"/>
    <s v="Basic"/>
    <n v="1"/>
    <n v="0"/>
    <n v="0"/>
    <n v="0"/>
    <n v="0"/>
    <n v="2"/>
    <n v="0"/>
    <m/>
    <n v="38.299999999999997"/>
  </r>
  <r>
    <s v="USR-100861"/>
    <d v="2025-03-23T00:00:00"/>
    <x v="1"/>
    <s v="East"/>
    <s v="Mobile"/>
    <s v="Paid Search"/>
    <s v="Free"/>
    <n v="1"/>
    <n v="1"/>
    <n v="1"/>
    <n v="0"/>
    <n v="0"/>
    <n v="0"/>
    <n v="0"/>
    <m/>
    <n v="79.599999999999994"/>
  </r>
  <r>
    <s v="USR-100862"/>
    <d v="2025-02-12T00:00:00"/>
    <x v="1"/>
    <s v="East"/>
    <s v="Mobile"/>
    <s v="Email"/>
    <s v="Free"/>
    <n v="1"/>
    <n v="1"/>
    <n v="1"/>
    <n v="0"/>
    <n v="0"/>
    <n v="0"/>
    <n v="0"/>
    <m/>
    <n v="71.900000000000006"/>
  </r>
  <r>
    <s v="USR-100863"/>
    <d v="2025-05-03T00:00:00"/>
    <x v="1"/>
    <s v="South"/>
    <s v="Mobile"/>
    <s v="Referral"/>
    <s v="Basic"/>
    <n v="1"/>
    <n v="0"/>
    <n v="0"/>
    <n v="0"/>
    <n v="0"/>
    <n v="0"/>
    <n v="0"/>
    <m/>
    <n v="54.6"/>
  </r>
  <r>
    <s v="USR-100864"/>
    <d v="2025-03-28T00:00:00"/>
    <x v="1"/>
    <s v="North"/>
    <s v="Desktop"/>
    <s v="Social"/>
    <s v="Free"/>
    <n v="1"/>
    <n v="0"/>
    <n v="0"/>
    <n v="0"/>
    <n v="0"/>
    <n v="3"/>
    <n v="0"/>
    <m/>
    <n v="49.3"/>
  </r>
  <r>
    <s v="USR-100865"/>
    <d v="2025-03-12T00:00:00"/>
    <x v="1"/>
    <s v="North"/>
    <s v="Mobile"/>
    <s v="Social"/>
    <s v="Basic"/>
    <n v="0"/>
    <n v="0"/>
    <n v="0"/>
    <n v="0"/>
    <n v="0"/>
    <n v="1"/>
    <n v="0"/>
    <m/>
    <n v="66.900000000000006"/>
  </r>
  <r>
    <s v="USR-100866"/>
    <d v="2025-04-27T00:00:00"/>
    <x v="1"/>
    <s v="East"/>
    <s v="Mobile"/>
    <s v="Paid Search"/>
    <s v="Free"/>
    <n v="1"/>
    <n v="0"/>
    <n v="0"/>
    <n v="0"/>
    <n v="0"/>
    <n v="1"/>
    <n v="0"/>
    <m/>
    <n v="77.8"/>
  </r>
  <r>
    <s v="USR-100867"/>
    <d v="2025-04-02T00:00:00"/>
    <x v="1"/>
    <s v="South"/>
    <s v="Mobile"/>
    <s v="Referral"/>
    <s v="Basic"/>
    <n v="1"/>
    <n v="0"/>
    <n v="0"/>
    <n v="0"/>
    <n v="0"/>
    <n v="0"/>
    <n v="0"/>
    <m/>
    <n v="63"/>
  </r>
  <r>
    <s v="USR-100868"/>
    <d v="2025-04-21T00:00:00"/>
    <x v="1"/>
    <s v="North"/>
    <s v="Mobile"/>
    <s v="Social"/>
    <s v="Free"/>
    <n v="0"/>
    <n v="0"/>
    <n v="0"/>
    <n v="0"/>
    <n v="0"/>
    <n v="0"/>
    <n v="0"/>
    <m/>
    <n v="79.8"/>
  </r>
  <r>
    <s v="USR-100869"/>
    <d v="2025-01-26T00:00:00"/>
    <x v="1"/>
    <s v="West"/>
    <s v="Desktop"/>
    <s v="Organic"/>
    <s v="Basic"/>
    <n v="0"/>
    <n v="0"/>
    <n v="0"/>
    <n v="0"/>
    <n v="0"/>
    <n v="0"/>
    <n v="0"/>
    <m/>
    <n v="69.900000000000006"/>
  </r>
  <r>
    <s v="USR-100870"/>
    <d v="2025-01-06T00:00:00"/>
    <x v="1"/>
    <s v="West"/>
    <s v="Mobile"/>
    <s v="Organic"/>
    <s v="Free"/>
    <n v="0"/>
    <n v="0"/>
    <n v="0"/>
    <n v="0"/>
    <n v="0"/>
    <n v="1"/>
    <n v="0"/>
    <m/>
    <n v="66.400000000000006"/>
  </r>
  <r>
    <s v="USR-100871"/>
    <d v="2025-02-07T00:00:00"/>
    <x v="1"/>
    <s v="East"/>
    <s v="Mobile"/>
    <s v="Organic"/>
    <s v="Free"/>
    <n v="1"/>
    <n v="0"/>
    <n v="0"/>
    <n v="0"/>
    <n v="0"/>
    <n v="0"/>
    <n v="0"/>
    <m/>
    <n v="27.6"/>
  </r>
  <r>
    <s v="USR-100872"/>
    <d v="2025-05-07T00:00:00"/>
    <x v="1"/>
    <s v="West"/>
    <s v="Mobile"/>
    <s v="Organic"/>
    <s v="Premium"/>
    <n v="1"/>
    <n v="0"/>
    <n v="0"/>
    <n v="0"/>
    <n v="0"/>
    <n v="1"/>
    <n v="0"/>
    <m/>
    <n v="56.5"/>
  </r>
  <r>
    <s v="USR-100873"/>
    <d v="2025-04-22T00:00:00"/>
    <x v="1"/>
    <s v="West"/>
    <s v="UNKNOWN"/>
    <s v="Social"/>
    <s v="Free"/>
    <n v="1"/>
    <n v="0"/>
    <n v="0"/>
    <n v="0"/>
    <n v="0"/>
    <n v="0"/>
    <n v="0"/>
    <m/>
    <n v="67.8"/>
  </r>
  <r>
    <s v="USR-100874"/>
    <d v="2025-05-04T00:00:00"/>
    <x v="1"/>
    <s v="West"/>
    <s v="Desktop"/>
    <s v="Social"/>
    <s v="Free"/>
    <n v="1"/>
    <n v="0"/>
    <n v="0"/>
    <n v="0"/>
    <n v="0"/>
    <n v="0"/>
    <n v="0"/>
    <m/>
    <n v="80"/>
  </r>
  <r>
    <s v="USR-100875"/>
    <d v="2025-05-16T00:00:00"/>
    <x v="1"/>
    <s v="South"/>
    <s v="Mobile"/>
    <s v="Social"/>
    <s v="Basic"/>
    <n v="1"/>
    <n v="1"/>
    <n v="1"/>
    <n v="0"/>
    <n v="0"/>
    <n v="1"/>
    <n v="0"/>
    <m/>
    <n v="80.900000000000006"/>
  </r>
  <r>
    <s v="USR-100876"/>
    <d v="2025-02-11T00:00:00"/>
    <x v="1"/>
    <s v="West"/>
    <s v="Mobile"/>
    <s v="Paid Search"/>
    <s v="Free"/>
    <n v="0"/>
    <n v="0"/>
    <n v="0"/>
    <n v="0"/>
    <n v="0"/>
    <n v="0"/>
    <n v="0"/>
    <m/>
    <n v="34.5"/>
  </r>
  <r>
    <s v="USR-100877"/>
    <d v="2025-05-09T00:00:00"/>
    <x v="1"/>
    <s v="East"/>
    <s v="Desktop"/>
    <s v="Organic"/>
    <s v="Premium"/>
    <n v="1"/>
    <n v="0"/>
    <n v="0"/>
    <n v="0"/>
    <n v="0"/>
    <n v="0"/>
    <n v="0"/>
    <m/>
    <n v="73.5"/>
  </r>
  <r>
    <s v="USR-100878"/>
    <d v="2025-02-09T00:00:00"/>
    <x v="1"/>
    <s v="South"/>
    <s v="Desktop"/>
    <s v="Paid Search"/>
    <s v="Free"/>
    <n v="1"/>
    <n v="1"/>
    <n v="0"/>
    <n v="0"/>
    <n v="0"/>
    <n v="0"/>
    <n v="0"/>
    <m/>
    <n v="70"/>
  </r>
  <r>
    <s v="USR-100879"/>
    <d v="2025-05-22T00:00:00"/>
    <x v="1"/>
    <s v="West"/>
    <s v="Mobile"/>
    <s v="Social"/>
    <s v="Basic"/>
    <n v="0"/>
    <n v="0"/>
    <n v="0"/>
    <n v="0"/>
    <n v="0"/>
    <n v="0"/>
    <n v="0"/>
    <m/>
    <n v="86.9"/>
  </r>
  <r>
    <s v="USR-100880"/>
    <d v="2025-05-24T00:00:00"/>
    <x v="1"/>
    <s v="East"/>
    <s v="Mobile"/>
    <s v="Social"/>
    <s v="Basic"/>
    <n v="0"/>
    <n v="0"/>
    <n v="0"/>
    <n v="0"/>
    <n v="0"/>
    <n v="0"/>
    <n v="0"/>
    <m/>
    <n v="66.900000000000006"/>
  </r>
  <r>
    <s v="USR-100881"/>
    <d v="2025-04-27T00:00:00"/>
    <x v="1"/>
    <s v="South"/>
    <s v="Desktop"/>
    <s v="Social"/>
    <s v="Basic"/>
    <n v="1"/>
    <n v="1"/>
    <n v="1"/>
    <n v="0"/>
    <n v="0"/>
    <n v="0"/>
    <n v="0"/>
    <m/>
    <n v="58.3"/>
  </r>
  <r>
    <s v="USR-100882"/>
    <d v="2025-03-19T00:00:00"/>
    <x v="1"/>
    <s v="East"/>
    <s v="Mobile"/>
    <s v="Paid Search"/>
    <s v="Free"/>
    <n v="1"/>
    <n v="0"/>
    <n v="0"/>
    <n v="0"/>
    <n v="0"/>
    <n v="0"/>
    <n v="0"/>
    <m/>
    <n v="45"/>
  </r>
  <r>
    <s v="USR-100883"/>
    <d v="2025-05-20T00:00:00"/>
    <x v="1"/>
    <s v="South"/>
    <s v="Mobile"/>
    <s v="Organic"/>
    <s v="Premium"/>
    <n v="0"/>
    <n v="0"/>
    <n v="0"/>
    <n v="0"/>
    <n v="0"/>
    <n v="0"/>
    <n v="0"/>
    <m/>
    <n v="60.8"/>
  </r>
  <r>
    <s v="USR-100884"/>
    <d v="2025-05-10T00:00:00"/>
    <x v="1"/>
    <s v="North"/>
    <s v="Mobile"/>
    <s v="Email"/>
    <s v="Premium"/>
    <n v="1"/>
    <n v="0"/>
    <n v="0"/>
    <n v="0"/>
    <n v="0"/>
    <n v="4"/>
    <n v="0"/>
    <m/>
    <n v="53.7"/>
  </r>
  <r>
    <s v="USR-100885"/>
    <d v="2025-03-29T00:00:00"/>
    <x v="1"/>
    <s v="East"/>
    <s v="Mobile"/>
    <s v="Social"/>
    <s v="Free"/>
    <n v="1"/>
    <n v="1"/>
    <n v="1"/>
    <n v="0"/>
    <n v="0"/>
    <n v="0"/>
    <n v="0"/>
    <m/>
    <n v="48.8"/>
  </r>
  <r>
    <s v="USR-100886"/>
    <d v="2025-04-03T00:00:00"/>
    <x v="1"/>
    <s v="West"/>
    <s v="Desktop"/>
    <s v="Referral"/>
    <s v="Basic"/>
    <n v="0"/>
    <n v="0"/>
    <n v="0"/>
    <n v="0"/>
    <n v="0"/>
    <n v="0"/>
    <n v="0"/>
    <m/>
    <n v="52.9"/>
  </r>
  <r>
    <s v="USR-100887"/>
    <d v="2025-05-30T00:00:00"/>
    <x v="1"/>
    <s v="South"/>
    <s v="Mobile"/>
    <s v="Email"/>
    <s v="Free"/>
    <n v="1"/>
    <n v="0"/>
    <n v="0"/>
    <n v="0"/>
    <n v="0"/>
    <n v="0"/>
    <n v="0"/>
    <m/>
    <n v="42.4"/>
  </r>
  <r>
    <s v="USR-100888"/>
    <d v="2025-04-06T00:00:00"/>
    <x v="1"/>
    <s v="East"/>
    <s v="Desktop"/>
    <s v="Email"/>
    <s v="Free"/>
    <n v="1"/>
    <n v="0"/>
    <n v="0"/>
    <n v="0"/>
    <n v="0"/>
    <n v="0"/>
    <n v="0"/>
    <m/>
    <n v="58.7"/>
  </r>
  <r>
    <s v="USR-100889"/>
    <d v="2025-03-14T00:00:00"/>
    <x v="1"/>
    <s v="North"/>
    <s v="Mobile"/>
    <s v="Referral"/>
    <s v="Free"/>
    <n v="1"/>
    <n v="1"/>
    <n v="1"/>
    <n v="1"/>
    <n v="2064.5500000000002"/>
    <n v="0"/>
    <n v="0"/>
    <n v="1"/>
    <n v="67.8"/>
  </r>
  <r>
    <s v="USR-100890"/>
    <d v="2025-02-24T00:00:00"/>
    <x v="1"/>
    <s v="South"/>
    <s v="Desktop"/>
    <s v="Paid Search"/>
    <s v="Basic"/>
    <n v="1"/>
    <n v="0"/>
    <n v="0"/>
    <n v="0"/>
    <n v="0"/>
    <n v="0"/>
    <n v="0"/>
    <m/>
    <n v="62.6"/>
  </r>
  <r>
    <s v="USR-100891"/>
    <d v="2025-03-04T00:00:00"/>
    <x v="1"/>
    <s v="West"/>
    <s v="Mobile"/>
    <s v="Email"/>
    <s v="Basic"/>
    <n v="1"/>
    <n v="0"/>
    <n v="0"/>
    <n v="0"/>
    <n v="0"/>
    <n v="0"/>
    <n v="0"/>
    <m/>
    <n v="82.4"/>
  </r>
  <r>
    <s v="USR-100892"/>
    <d v="2025-04-02T00:00:00"/>
    <x v="1"/>
    <s v="North"/>
    <s v="Mobile"/>
    <s v="Organic"/>
    <s v="Free"/>
    <n v="1"/>
    <n v="1"/>
    <n v="1"/>
    <n v="0"/>
    <n v="0"/>
    <n v="0"/>
    <n v="0"/>
    <m/>
    <n v="50.4"/>
  </r>
  <r>
    <s v="USR-100893"/>
    <d v="2025-05-11T00:00:00"/>
    <x v="1"/>
    <s v="North"/>
    <s v="Mobile"/>
    <s v="Email"/>
    <s v="Premium"/>
    <n v="0"/>
    <n v="0"/>
    <n v="0"/>
    <n v="0"/>
    <n v="0"/>
    <n v="0"/>
    <n v="0"/>
    <m/>
    <n v="68.400000000000006"/>
  </r>
  <r>
    <s v="USR-100894"/>
    <d v="2025-05-10T00:00:00"/>
    <x v="1"/>
    <s v="West"/>
    <s v="Tablet"/>
    <s v="Paid Search"/>
    <s v="Basic"/>
    <n v="1"/>
    <n v="1"/>
    <n v="1"/>
    <n v="0"/>
    <n v="0"/>
    <n v="0"/>
    <n v="0"/>
    <m/>
    <n v="58.8"/>
  </r>
  <r>
    <s v="USR-100895"/>
    <d v="2025-05-06T00:00:00"/>
    <x v="1"/>
    <s v="West"/>
    <s v="Mobile"/>
    <s v="Referral"/>
    <s v="Free"/>
    <n v="1"/>
    <n v="1"/>
    <n v="0"/>
    <n v="0"/>
    <n v="0"/>
    <n v="2"/>
    <n v="0"/>
    <m/>
    <n v="28.3"/>
  </r>
  <r>
    <s v="USR-100896"/>
    <d v="2025-02-11T00:00:00"/>
    <x v="1"/>
    <s v="West"/>
    <s v="Desktop"/>
    <s v="Paid Search"/>
    <s v="Free"/>
    <n v="1"/>
    <n v="1"/>
    <n v="0"/>
    <n v="0"/>
    <n v="0"/>
    <n v="0"/>
    <n v="0"/>
    <m/>
    <n v="44.1"/>
  </r>
  <r>
    <s v="USR-100897"/>
    <d v="2025-05-09T00:00:00"/>
    <x v="1"/>
    <s v="South"/>
    <s v="Mobile"/>
    <s v="Paid Search"/>
    <s v="Premium"/>
    <n v="1"/>
    <n v="1"/>
    <n v="0"/>
    <n v="0"/>
    <n v="0"/>
    <n v="0"/>
    <n v="0"/>
    <m/>
    <n v="66.7"/>
  </r>
  <r>
    <s v="USR-100898"/>
    <d v="2025-02-02T00:00:00"/>
    <x v="1"/>
    <s v="South"/>
    <s v="Mobile"/>
    <s v="UNKNOWN"/>
    <s v="Free"/>
    <n v="1"/>
    <n v="0"/>
    <n v="0"/>
    <n v="0"/>
    <n v="0"/>
    <n v="0"/>
    <n v="0"/>
    <m/>
    <n v="100"/>
  </r>
  <r>
    <s v="USR-100899"/>
    <d v="2025-04-03T00:00:00"/>
    <x v="1"/>
    <s v="South"/>
    <s v="Mobile"/>
    <s v="Social"/>
    <s v="Free"/>
    <n v="1"/>
    <n v="1"/>
    <n v="0"/>
    <n v="0"/>
    <n v="0"/>
    <n v="0"/>
    <n v="0"/>
    <m/>
    <n v="87.5"/>
  </r>
  <r>
    <s v="USR-100900"/>
    <d v="2025-02-15T00:00:00"/>
    <x v="1"/>
    <s v="North"/>
    <s v="Desktop"/>
    <s v="Organic"/>
    <s v="Basic"/>
    <n v="1"/>
    <n v="0"/>
    <n v="0"/>
    <n v="0"/>
    <n v="0"/>
    <n v="2"/>
    <n v="0"/>
    <m/>
    <n v="65.400000000000006"/>
  </r>
  <r>
    <s v="USR-100901"/>
    <d v="2025-04-18T00:00:00"/>
    <x v="1"/>
    <s v="South"/>
    <s v="Desktop"/>
    <s v="Organic"/>
    <s v="Free"/>
    <n v="1"/>
    <n v="0"/>
    <n v="0"/>
    <n v="0"/>
    <n v="0"/>
    <n v="0"/>
    <n v="0"/>
    <m/>
    <n v="22.9"/>
  </r>
  <r>
    <s v="USR-100902"/>
    <d v="2025-03-14T00:00:00"/>
    <x v="1"/>
    <s v="West"/>
    <s v="Desktop"/>
    <s v="Organic"/>
    <s v="Premium"/>
    <n v="0"/>
    <n v="0"/>
    <n v="0"/>
    <n v="0"/>
    <n v="0"/>
    <n v="0"/>
    <n v="0"/>
    <m/>
    <n v="64.599999999999994"/>
  </r>
  <r>
    <s v="USR-100903"/>
    <d v="2025-03-29T00:00:00"/>
    <x v="1"/>
    <s v="South"/>
    <s v="Mobile"/>
    <s v="Referral"/>
    <s v="Free"/>
    <n v="1"/>
    <n v="0"/>
    <n v="0"/>
    <n v="0"/>
    <n v="0"/>
    <n v="2"/>
    <n v="0"/>
    <m/>
    <n v="54.4"/>
  </r>
  <r>
    <s v="USR-100904"/>
    <d v="2025-02-13T00:00:00"/>
    <x v="1"/>
    <s v="North"/>
    <s v="Desktop"/>
    <s v="Organic"/>
    <s v="Free"/>
    <n v="1"/>
    <n v="1"/>
    <n v="1"/>
    <n v="0"/>
    <n v="0"/>
    <n v="0"/>
    <n v="0"/>
    <m/>
    <n v="56.8"/>
  </r>
  <r>
    <s v="USR-100905"/>
    <d v="2025-01-23T00:00:00"/>
    <x v="1"/>
    <s v="South"/>
    <s v="Mobile"/>
    <s v="Paid Search"/>
    <s v="Free"/>
    <n v="1"/>
    <n v="1"/>
    <n v="1"/>
    <n v="1"/>
    <n v="341.38"/>
    <n v="0"/>
    <n v="0"/>
    <n v="2"/>
    <n v="63.6"/>
  </r>
  <r>
    <s v="USR-100906"/>
    <d v="2025-02-24T00:00:00"/>
    <x v="1"/>
    <s v="East"/>
    <s v="Mobile"/>
    <s v="Social"/>
    <s v="Free"/>
    <n v="1"/>
    <n v="0"/>
    <n v="0"/>
    <n v="0"/>
    <n v="0"/>
    <n v="0"/>
    <n v="0"/>
    <m/>
    <n v="58.2"/>
  </r>
  <r>
    <s v="USR-100907"/>
    <d v="2025-02-28T00:00:00"/>
    <x v="1"/>
    <s v="West"/>
    <s v="Mobile"/>
    <s v="Paid Search"/>
    <s v="Free"/>
    <n v="1"/>
    <n v="1"/>
    <n v="0"/>
    <n v="0"/>
    <n v="0"/>
    <n v="0"/>
    <n v="0"/>
    <m/>
    <n v="54.6"/>
  </r>
  <r>
    <s v="USR-100908"/>
    <d v="2025-01-07T00:00:00"/>
    <x v="1"/>
    <s v="West"/>
    <s v="Tablet"/>
    <s v="Organic"/>
    <s v="Basic"/>
    <n v="1"/>
    <n v="0"/>
    <n v="0"/>
    <n v="0"/>
    <n v="0"/>
    <n v="0"/>
    <n v="0"/>
    <m/>
    <n v="81.900000000000006"/>
  </r>
  <r>
    <s v="USR-100909"/>
    <d v="2025-03-21T00:00:00"/>
    <x v="1"/>
    <s v="West"/>
    <s v="Desktop"/>
    <s v="Email"/>
    <s v="Free"/>
    <n v="1"/>
    <n v="0"/>
    <n v="0"/>
    <n v="0"/>
    <n v="0"/>
    <n v="3"/>
    <n v="0"/>
    <m/>
    <n v="53.3"/>
  </r>
  <r>
    <s v="USR-100910"/>
    <d v="2025-02-18T00:00:00"/>
    <x v="1"/>
    <s v="North"/>
    <s v="Desktop"/>
    <s v="Organic"/>
    <s v="Basic"/>
    <n v="0"/>
    <n v="0"/>
    <n v="0"/>
    <n v="0"/>
    <n v="0"/>
    <n v="0"/>
    <n v="0"/>
    <m/>
    <n v="54.2"/>
  </r>
  <r>
    <s v="USR-100911"/>
    <d v="2025-01-05T00:00:00"/>
    <x v="1"/>
    <s v="North"/>
    <s v="Mobile"/>
    <s v="Paid Search"/>
    <s v="Free"/>
    <n v="1"/>
    <n v="1"/>
    <n v="0"/>
    <n v="0"/>
    <n v="0"/>
    <n v="0"/>
    <n v="0"/>
    <m/>
    <n v="65.599999999999994"/>
  </r>
  <r>
    <s v="USR-100912"/>
    <d v="2025-03-11T00:00:00"/>
    <x v="1"/>
    <s v="East"/>
    <s v="Desktop"/>
    <s v="Organic"/>
    <s v="Basic"/>
    <n v="1"/>
    <n v="0"/>
    <n v="0"/>
    <n v="0"/>
    <n v="0"/>
    <n v="1"/>
    <n v="0"/>
    <m/>
    <n v="56.5"/>
  </r>
  <r>
    <s v="USR-100913"/>
    <d v="2025-01-09T00:00:00"/>
    <x v="1"/>
    <s v="North"/>
    <s v="Desktop"/>
    <s v="Organic"/>
    <s v="Basic"/>
    <n v="1"/>
    <n v="0"/>
    <n v="0"/>
    <n v="0"/>
    <n v="0"/>
    <n v="0"/>
    <n v="0"/>
    <m/>
    <n v="59.7"/>
  </r>
  <r>
    <s v="USR-100914"/>
    <d v="2025-01-08T00:00:00"/>
    <x v="1"/>
    <s v="South"/>
    <s v="Mobile"/>
    <s v="Organic"/>
    <s v="Free"/>
    <n v="1"/>
    <n v="1"/>
    <n v="1"/>
    <n v="0"/>
    <n v="0"/>
    <n v="0"/>
    <n v="0"/>
    <m/>
    <n v="72.5"/>
  </r>
  <r>
    <s v="USR-100915"/>
    <d v="2025-05-01T00:00:00"/>
    <x v="1"/>
    <s v="East"/>
    <s v="Desktop"/>
    <s v="Paid Search"/>
    <s v="Free"/>
    <n v="1"/>
    <n v="0"/>
    <n v="0"/>
    <n v="0"/>
    <n v="0"/>
    <n v="0"/>
    <n v="0"/>
    <m/>
    <n v="64.3"/>
  </r>
  <r>
    <s v="USR-100916"/>
    <d v="2025-03-03T00:00:00"/>
    <x v="1"/>
    <s v="South"/>
    <s v="Mobile"/>
    <s v="Social"/>
    <s v="Free"/>
    <n v="1"/>
    <n v="0"/>
    <n v="0"/>
    <n v="0"/>
    <n v="0"/>
    <n v="0"/>
    <n v="0"/>
    <m/>
    <n v="64.5"/>
  </r>
  <r>
    <s v="USR-100917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s v="USR-100918"/>
    <d v="2025-02-17T00:00:00"/>
    <x v="1"/>
    <s v="South"/>
    <s v="Desktop"/>
    <s v="Organic"/>
    <s v="Basic"/>
    <n v="0"/>
    <n v="0"/>
    <n v="0"/>
    <n v="0"/>
    <n v="0"/>
    <n v="0"/>
    <n v="0"/>
    <m/>
    <n v="58.4"/>
  </r>
  <r>
    <s v="USR-100919"/>
    <d v="2025-05-21T00:00:00"/>
    <x v="1"/>
    <s v="East"/>
    <s v="Mobile"/>
    <s v="Organic"/>
    <s v="Basic"/>
    <n v="1"/>
    <n v="0"/>
    <n v="0"/>
    <n v="0"/>
    <n v="0"/>
    <n v="0"/>
    <n v="0"/>
    <m/>
    <n v="56.6"/>
  </r>
  <r>
    <s v="USR-100920"/>
    <d v="2025-01-30T00:00:00"/>
    <x v="1"/>
    <s v="South"/>
    <s v="Mobile"/>
    <s v="Organic"/>
    <s v="Free"/>
    <n v="1"/>
    <n v="0"/>
    <n v="0"/>
    <n v="0"/>
    <n v="0"/>
    <n v="0"/>
    <n v="0"/>
    <m/>
    <n v="61.8"/>
  </r>
  <r>
    <s v="USR-100921"/>
    <d v="2025-03-20T00:00:00"/>
    <x v="1"/>
    <s v="West"/>
    <s v="Mobile"/>
    <s v="Email"/>
    <s v="Free"/>
    <n v="1"/>
    <n v="1"/>
    <n v="1"/>
    <n v="1"/>
    <n v="513.52"/>
    <n v="0"/>
    <n v="0"/>
    <n v="8"/>
    <n v="43.4"/>
  </r>
  <r>
    <s v="USR-100922"/>
    <d v="2025-04-10T00:00:00"/>
    <x v="1"/>
    <s v="West"/>
    <s v="Tablet"/>
    <s v="Paid Search"/>
    <s v="Free"/>
    <n v="0"/>
    <n v="0"/>
    <n v="0"/>
    <n v="0"/>
    <n v="0"/>
    <n v="0"/>
    <n v="0"/>
    <m/>
    <n v="43"/>
  </r>
  <r>
    <s v="USR-100923"/>
    <d v="2025-03-07T00:00:00"/>
    <x v="1"/>
    <s v="North"/>
    <s v="Desktop"/>
    <s v="Organic"/>
    <s v="Free"/>
    <n v="1"/>
    <n v="1"/>
    <n v="1"/>
    <n v="0"/>
    <n v="0"/>
    <n v="0"/>
    <n v="0"/>
    <m/>
    <n v="51.1"/>
  </r>
  <r>
    <s v="USR-100924"/>
    <d v="2025-03-12T00:00:00"/>
    <x v="1"/>
    <s v="West"/>
    <s v="Mobile"/>
    <s v="Email"/>
    <s v="Basic"/>
    <n v="1"/>
    <n v="0"/>
    <n v="0"/>
    <n v="0"/>
    <n v="0"/>
    <n v="0"/>
    <n v="0"/>
    <m/>
    <n v="48.8"/>
  </r>
  <r>
    <s v="USR-100925"/>
    <d v="2025-02-24T00:00:00"/>
    <x v="1"/>
    <s v="East"/>
    <s v="Mobile"/>
    <s v="Referral"/>
    <s v="Free"/>
    <n v="0"/>
    <n v="0"/>
    <n v="0"/>
    <n v="0"/>
    <n v="0"/>
    <n v="0"/>
    <n v="0"/>
    <m/>
    <n v="73.2"/>
  </r>
  <r>
    <s v="USR-100926"/>
    <d v="2025-01-15T00:00:00"/>
    <x v="1"/>
    <s v="East"/>
    <s v="Mobile"/>
    <s v="Referral"/>
    <s v="Free"/>
    <n v="1"/>
    <n v="1"/>
    <n v="1"/>
    <n v="0"/>
    <n v="0"/>
    <n v="0"/>
    <n v="0"/>
    <m/>
    <n v="80"/>
  </r>
  <r>
    <s v="USR-100927"/>
    <d v="2025-01-07T00:00:00"/>
    <x v="1"/>
    <s v="North"/>
    <s v="Desktop"/>
    <s v="Paid Search"/>
    <s v="Free"/>
    <n v="1"/>
    <n v="0"/>
    <n v="0"/>
    <n v="0"/>
    <n v="0"/>
    <n v="0"/>
    <n v="0"/>
    <m/>
    <n v="52.3"/>
  </r>
  <r>
    <s v="USR-100928"/>
    <d v="2025-03-02T00:00:00"/>
    <x v="1"/>
    <s v="North"/>
    <s v="Desktop"/>
    <s v="Organic"/>
    <s v="Free"/>
    <n v="0"/>
    <n v="0"/>
    <n v="0"/>
    <n v="0"/>
    <n v="0"/>
    <n v="0"/>
    <n v="0"/>
    <m/>
    <n v="49.1"/>
  </r>
  <r>
    <s v="USR-100929"/>
    <d v="2025-01-05T00:00:00"/>
    <x v="1"/>
    <s v="South"/>
    <s v="Desktop"/>
    <s v="Referral"/>
    <s v="Basic"/>
    <n v="0"/>
    <n v="0"/>
    <n v="0"/>
    <n v="0"/>
    <n v="0"/>
    <n v="0"/>
    <n v="0"/>
    <m/>
    <n v="45.3"/>
  </r>
  <r>
    <s v="USR-100930"/>
    <d v="2025-03-03T00:00:00"/>
    <x v="1"/>
    <s v="South"/>
    <s v="Mobile"/>
    <s v="Organic"/>
    <s v="Free"/>
    <n v="1"/>
    <n v="1"/>
    <n v="0"/>
    <n v="0"/>
    <n v="0"/>
    <n v="0"/>
    <n v="0"/>
    <m/>
    <n v="49.1"/>
  </r>
  <r>
    <s v="USR-100931"/>
    <d v="2025-03-31T00:00:00"/>
    <x v="1"/>
    <s v="East"/>
    <s v="Desktop"/>
    <s v="Referral"/>
    <s v="Free"/>
    <n v="1"/>
    <n v="1"/>
    <n v="1"/>
    <n v="1"/>
    <n v="476.44"/>
    <n v="0"/>
    <n v="0"/>
    <n v="3"/>
    <n v="88.6"/>
  </r>
  <r>
    <s v="USR-100932"/>
    <d v="2025-01-14T00:00:00"/>
    <x v="1"/>
    <s v="East"/>
    <s v="Desktop"/>
    <s v="Paid Search"/>
    <s v="Premium"/>
    <n v="0"/>
    <n v="0"/>
    <n v="0"/>
    <n v="0"/>
    <n v="0"/>
    <n v="1"/>
    <n v="0"/>
    <m/>
    <n v="54.4"/>
  </r>
  <r>
    <s v="USR-100933"/>
    <d v="2025-01-15T00:00:00"/>
    <x v="1"/>
    <s v="West"/>
    <s v="Desktop"/>
    <s v="Paid Search"/>
    <s v="Premium"/>
    <n v="1"/>
    <n v="0"/>
    <n v="0"/>
    <n v="0"/>
    <n v="0"/>
    <n v="0"/>
    <n v="0"/>
    <m/>
    <n v="72.900000000000006"/>
  </r>
  <r>
    <s v="USR-100934"/>
    <d v="2025-04-25T00:00:00"/>
    <x v="1"/>
    <s v="West"/>
    <s v="Desktop"/>
    <s v="Organic"/>
    <s v="Free"/>
    <n v="1"/>
    <n v="0"/>
    <n v="0"/>
    <n v="0"/>
    <n v="0"/>
    <n v="0"/>
    <n v="0"/>
    <m/>
    <n v="53.2"/>
  </r>
  <r>
    <s v="USR-100935"/>
    <d v="2025-03-21T00:00:00"/>
    <x v="1"/>
    <s v="East"/>
    <s v="Mobile"/>
    <s v="Organic"/>
    <s v="Basic"/>
    <n v="1"/>
    <n v="1"/>
    <n v="0"/>
    <n v="0"/>
    <n v="0"/>
    <n v="0"/>
    <n v="0"/>
    <m/>
    <n v="48.7"/>
  </r>
  <r>
    <s v="USR-100936"/>
    <d v="2025-04-26T00:00:00"/>
    <x v="1"/>
    <s v="South"/>
    <s v="Mobile"/>
    <s v="Paid Search"/>
    <s v="Basic"/>
    <n v="1"/>
    <n v="1"/>
    <n v="1"/>
    <n v="0"/>
    <n v="0"/>
    <n v="0"/>
    <n v="0"/>
    <m/>
    <n v="59.9"/>
  </r>
  <r>
    <s v="USR-100937"/>
    <d v="2025-05-21T00:00:00"/>
    <x v="1"/>
    <s v="South"/>
    <s v="Desktop"/>
    <s v="UNKNOWN"/>
    <s v="Basic"/>
    <n v="0"/>
    <n v="0"/>
    <n v="0"/>
    <n v="0"/>
    <n v="0"/>
    <n v="0"/>
    <n v="0"/>
    <m/>
    <n v="82"/>
  </r>
  <r>
    <s v="USR-100938"/>
    <d v="2025-04-18T00:00:00"/>
    <x v="1"/>
    <s v="East"/>
    <s v="Mobile"/>
    <s v="Paid Search"/>
    <s v="Free"/>
    <n v="0"/>
    <n v="0"/>
    <n v="0"/>
    <n v="0"/>
    <n v="0"/>
    <n v="0"/>
    <n v="0"/>
    <m/>
    <n v="72.099999999999994"/>
  </r>
  <r>
    <s v="USR-100939"/>
    <d v="2025-01-29T00:00:00"/>
    <x v="1"/>
    <s v="North"/>
    <s v="Desktop"/>
    <s v="Email"/>
    <s v="Premium"/>
    <n v="1"/>
    <n v="1"/>
    <n v="0"/>
    <n v="0"/>
    <n v="0"/>
    <n v="0"/>
    <n v="0"/>
    <m/>
    <n v="68.3"/>
  </r>
  <r>
    <s v="USR-100940"/>
    <d v="2025-05-28T00:00:00"/>
    <x v="1"/>
    <s v="West"/>
    <s v="Mobile"/>
    <s v="Organic"/>
    <s v="Premium"/>
    <n v="0"/>
    <n v="0"/>
    <n v="0"/>
    <n v="0"/>
    <n v="0"/>
    <n v="0"/>
    <n v="0"/>
    <m/>
    <n v="100"/>
  </r>
  <r>
    <s v="USR-100941"/>
    <d v="2025-01-15T00:00:00"/>
    <x v="1"/>
    <s v="East"/>
    <s v="Mobile"/>
    <s v="Email"/>
    <s v="Free"/>
    <n v="1"/>
    <n v="1"/>
    <n v="1"/>
    <n v="0"/>
    <n v="0"/>
    <n v="2"/>
    <n v="0"/>
    <m/>
    <n v="76.5"/>
  </r>
  <r>
    <s v="USR-100942"/>
    <d v="2025-01-03T00:00:00"/>
    <x v="1"/>
    <s v="South"/>
    <s v="Mobile"/>
    <s v="Organic"/>
    <s v="Basic"/>
    <n v="1"/>
    <n v="1"/>
    <n v="0"/>
    <n v="0"/>
    <n v="0"/>
    <n v="0"/>
    <n v="0"/>
    <m/>
    <n v="62"/>
  </r>
  <r>
    <s v="USR-100943"/>
    <d v="2025-02-04T00:00:00"/>
    <x v="1"/>
    <s v="South"/>
    <s v="Mobile"/>
    <s v="Paid Search"/>
    <s v="Free"/>
    <n v="1"/>
    <n v="1"/>
    <n v="1"/>
    <n v="1"/>
    <n v="324.68"/>
    <n v="1"/>
    <n v="0"/>
    <n v="7"/>
    <n v="50.1"/>
  </r>
  <r>
    <s v="USR-100944"/>
    <d v="2025-02-22T00:00:00"/>
    <x v="1"/>
    <s v="South"/>
    <s v="Mobile"/>
    <s v="Referral"/>
    <s v="Premium"/>
    <n v="1"/>
    <n v="0"/>
    <n v="0"/>
    <n v="0"/>
    <n v="0"/>
    <n v="0"/>
    <n v="0"/>
    <m/>
    <n v="62.1"/>
  </r>
  <r>
    <s v="USR-100945"/>
    <d v="2025-05-06T00:00:00"/>
    <x v="1"/>
    <s v="West"/>
    <s v="Mobile"/>
    <s v="Organic"/>
    <s v="Basic"/>
    <n v="1"/>
    <n v="0"/>
    <n v="0"/>
    <n v="0"/>
    <n v="0"/>
    <n v="0"/>
    <n v="0"/>
    <m/>
    <n v="49.7"/>
  </r>
  <r>
    <s v="USR-100946"/>
    <d v="2025-01-31T00:00:00"/>
    <x v="1"/>
    <s v="South"/>
    <s v="Mobile"/>
    <s v="Organic"/>
    <s v="Free"/>
    <n v="1"/>
    <n v="0"/>
    <n v="0"/>
    <n v="0"/>
    <n v="0"/>
    <n v="3"/>
    <n v="0"/>
    <m/>
    <n v="71.099999999999994"/>
  </r>
  <r>
    <s v="USR-100947"/>
    <d v="2025-02-18T00:00:00"/>
    <x v="1"/>
    <s v="North"/>
    <s v="Mobile"/>
    <s v="Social"/>
    <s v="Basic"/>
    <n v="0"/>
    <n v="0"/>
    <n v="0"/>
    <n v="0"/>
    <n v="0"/>
    <n v="0"/>
    <n v="0"/>
    <m/>
    <n v="70.8"/>
  </r>
  <r>
    <s v="USR-100948"/>
    <d v="2025-04-23T00:00:00"/>
    <x v="1"/>
    <s v="East"/>
    <s v="Mobile"/>
    <s v="Paid Search"/>
    <s v="Free"/>
    <n v="1"/>
    <n v="1"/>
    <n v="1"/>
    <n v="1"/>
    <n v="301.98"/>
    <n v="0"/>
    <n v="0"/>
    <n v="10"/>
    <n v="52.2"/>
  </r>
  <r>
    <s v="USR-100949"/>
    <d v="2025-02-06T00:00:00"/>
    <x v="1"/>
    <s v="North"/>
    <s v="Mobile"/>
    <s v="Organic"/>
    <s v="Free"/>
    <n v="1"/>
    <n v="1"/>
    <n v="1"/>
    <n v="0"/>
    <n v="0"/>
    <n v="0"/>
    <n v="0"/>
    <m/>
    <n v="73"/>
  </r>
  <r>
    <s v="USR-100950"/>
    <d v="2025-04-26T00:00:00"/>
    <x v="1"/>
    <s v="South"/>
    <s v="Desktop"/>
    <s v="Paid Search"/>
    <s v="Free"/>
    <n v="0"/>
    <n v="0"/>
    <n v="0"/>
    <n v="0"/>
    <n v="0"/>
    <n v="0"/>
    <n v="0"/>
    <m/>
    <n v="78.2"/>
  </r>
  <r>
    <s v="USR-100951"/>
    <d v="2025-03-30T00:00:00"/>
    <x v="1"/>
    <s v="West"/>
    <s v="Desktop"/>
    <s v="Paid Search"/>
    <s v="Basic"/>
    <n v="1"/>
    <n v="0"/>
    <n v="0"/>
    <n v="0"/>
    <n v="0"/>
    <n v="0"/>
    <n v="0"/>
    <m/>
    <n v="68.8"/>
  </r>
  <r>
    <s v="USR-100952"/>
    <d v="2025-04-13T00:00:00"/>
    <x v="1"/>
    <s v="West"/>
    <s v="Mobile"/>
    <s v="UNKNOWN"/>
    <s v="Premium"/>
    <n v="1"/>
    <n v="0"/>
    <n v="0"/>
    <n v="0"/>
    <n v="0"/>
    <n v="0"/>
    <n v="0"/>
    <m/>
    <n v="57.1"/>
  </r>
  <r>
    <s v="USR-100953"/>
    <d v="2025-04-04T00:00:00"/>
    <x v="1"/>
    <s v="East"/>
    <s v="Desktop"/>
    <s v="Organic"/>
    <s v="Premium"/>
    <n v="0"/>
    <n v="0"/>
    <n v="0"/>
    <n v="0"/>
    <n v="0"/>
    <n v="1"/>
    <n v="0"/>
    <m/>
    <n v="74.599999999999994"/>
  </r>
  <r>
    <s v="USR-100954"/>
    <d v="2025-04-03T00:00:00"/>
    <x v="1"/>
    <s v="North"/>
    <s v="Desktop"/>
    <s v="Referral"/>
    <s v="Free"/>
    <n v="1"/>
    <n v="0"/>
    <n v="0"/>
    <n v="0"/>
    <n v="0"/>
    <n v="1"/>
    <n v="0"/>
    <m/>
    <n v="64.099999999999994"/>
  </r>
  <r>
    <s v="USR-100955"/>
    <d v="2025-03-14T00:00:00"/>
    <x v="1"/>
    <s v="West"/>
    <s v="Mobile"/>
    <s v="Paid Search"/>
    <s v="Premium"/>
    <n v="1"/>
    <n v="0"/>
    <n v="0"/>
    <n v="0"/>
    <n v="0"/>
    <n v="0"/>
    <n v="0"/>
    <m/>
    <n v="67.3"/>
  </r>
  <r>
    <s v="USR-100956"/>
    <d v="2025-01-14T00:00:00"/>
    <x v="1"/>
    <s v="West"/>
    <s v="Mobile"/>
    <s v="Referral"/>
    <s v="Free"/>
    <n v="0"/>
    <n v="0"/>
    <n v="0"/>
    <n v="0"/>
    <n v="0"/>
    <n v="2"/>
    <n v="0"/>
    <m/>
    <n v="41"/>
  </r>
  <r>
    <s v="USR-100957"/>
    <d v="2025-05-05T00:00:00"/>
    <x v="1"/>
    <s v="West"/>
    <s v="Mobile"/>
    <s v="Paid Search"/>
    <s v="Free"/>
    <n v="0"/>
    <n v="0"/>
    <n v="0"/>
    <n v="0"/>
    <n v="0"/>
    <n v="0"/>
    <n v="0"/>
    <m/>
    <n v="48.1"/>
  </r>
  <r>
    <s v="USR-100958"/>
    <d v="2025-05-02T00:00:00"/>
    <x v="1"/>
    <s v="West"/>
    <s v="Desktop"/>
    <s v="Social"/>
    <s v="Free"/>
    <n v="0"/>
    <n v="0"/>
    <n v="0"/>
    <n v="0"/>
    <n v="0"/>
    <n v="1"/>
    <n v="0"/>
    <m/>
    <n v="60.8"/>
  </r>
  <r>
    <s v="USR-100959"/>
    <d v="2025-05-21T00:00:00"/>
    <x v="1"/>
    <s v="East"/>
    <s v="Mobile"/>
    <s v="Organic"/>
    <s v="Free"/>
    <n v="1"/>
    <n v="0"/>
    <n v="0"/>
    <n v="0"/>
    <n v="0"/>
    <n v="0"/>
    <n v="0"/>
    <m/>
    <n v="63.1"/>
  </r>
  <r>
    <s v="USR-100960"/>
    <d v="2025-05-16T00:00:00"/>
    <x v="1"/>
    <s v="North"/>
    <s v="Mobile"/>
    <s v="Referral"/>
    <s v="Premium"/>
    <n v="1"/>
    <n v="0"/>
    <n v="0"/>
    <n v="0"/>
    <n v="0"/>
    <n v="2"/>
    <n v="0"/>
    <m/>
    <n v="49.7"/>
  </r>
  <r>
    <s v="USR-100961"/>
    <d v="2025-05-24T00:00:00"/>
    <x v="1"/>
    <s v="East"/>
    <s v="Desktop"/>
    <s v="Organic"/>
    <s v="Premium"/>
    <n v="1"/>
    <n v="1"/>
    <n v="1"/>
    <n v="0"/>
    <n v="0"/>
    <n v="1"/>
    <n v="0"/>
    <m/>
    <n v="83.4"/>
  </r>
  <r>
    <s v="USR-100962"/>
    <d v="2025-03-18T00:00:00"/>
    <x v="1"/>
    <s v="East"/>
    <s v="Mobile"/>
    <s v="Organic"/>
    <s v="Basic"/>
    <n v="1"/>
    <n v="0"/>
    <n v="0"/>
    <n v="0"/>
    <n v="0"/>
    <n v="0"/>
    <n v="0"/>
    <m/>
    <n v="75.900000000000006"/>
  </r>
  <r>
    <s v="USR-100963"/>
    <d v="2025-01-11T00:00:00"/>
    <x v="1"/>
    <s v="East"/>
    <s v="Desktop"/>
    <s v="Paid Search"/>
    <s v="Free"/>
    <n v="0"/>
    <n v="0"/>
    <n v="0"/>
    <n v="0"/>
    <n v="0"/>
    <n v="1"/>
    <n v="0"/>
    <m/>
    <n v="71.8"/>
  </r>
  <r>
    <s v="USR-100964"/>
    <d v="2025-02-09T00:00:00"/>
    <x v="1"/>
    <s v="South"/>
    <s v="Mobile"/>
    <s v="Organic"/>
    <s v="Basic"/>
    <n v="0"/>
    <n v="0"/>
    <n v="0"/>
    <n v="0"/>
    <n v="0"/>
    <n v="0"/>
    <n v="0"/>
    <m/>
    <n v="37.9"/>
  </r>
  <r>
    <s v="USR-100965"/>
    <d v="2025-03-01T00:00:00"/>
    <x v="1"/>
    <s v="North"/>
    <s v="Desktop"/>
    <s v="Social"/>
    <s v="Free"/>
    <n v="1"/>
    <n v="0"/>
    <n v="0"/>
    <n v="0"/>
    <n v="0"/>
    <n v="0"/>
    <n v="0"/>
    <m/>
    <n v="59.8"/>
  </r>
  <r>
    <s v="USR-100966"/>
    <d v="2025-05-07T00:00:00"/>
    <x v="1"/>
    <s v="North"/>
    <s v="Mobile"/>
    <s v="Organic"/>
    <s v="Basic"/>
    <n v="0"/>
    <n v="0"/>
    <n v="0"/>
    <n v="0"/>
    <n v="0"/>
    <n v="0"/>
    <n v="0"/>
    <m/>
    <n v="66.900000000000006"/>
  </r>
  <r>
    <s v="USR-100967"/>
    <d v="2025-02-19T00:00:00"/>
    <x v="1"/>
    <s v="South"/>
    <s v="Desktop"/>
    <s v="UNKNOWN"/>
    <s v="Free"/>
    <n v="1"/>
    <n v="0"/>
    <n v="0"/>
    <n v="0"/>
    <n v="0"/>
    <n v="0"/>
    <n v="0"/>
    <m/>
    <n v="59"/>
  </r>
  <r>
    <s v="USR-100968"/>
    <d v="2025-02-26T00:00:00"/>
    <x v="1"/>
    <s v="West"/>
    <s v="Mobile"/>
    <s v="Organic"/>
    <s v="Premium"/>
    <n v="1"/>
    <n v="0"/>
    <n v="0"/>
    <n v="0"/>
    <n v="0"/>
    <n v="0"/>
    <n v="0"/>
    <m/>
    <n v="80.099999999999994"/>
  </r>
  <r>
    <s v="USR-100969"/>
    <d v="2025-03-23T00:00:00"/>
    <x v="1"/>
    <s v="South"/>
    <s v="Mobile"/>
    <s v="Social"/>
    <s v="Free"/>
    <n v="0"/>
    <n v="0"/>
    <n v="0"/>
    <n v="0"/>
    <n v="0"/>
    <n v="0"/>
    <n v="0"/>
    <m/>
    <n v="64.3"/>
  </r>
  <r>
    <s v="USR-100970"/>
    <d v="2025-04-25T00:00:00"/>
    <x v="1"/>
    <s v="South"/>
    <s v="Desktop"/>
    <s v="Social"/>
    <s v="Free"/>
    <n v="0"/>
    <n v="0"/>
    <n v="0"/>
    <n v="0"/>
    <n v="0"/>
    <n v="1"/>
    <n v="0"/>
    <m/>
    <n v="57.4"/>
  </r>
  <r>
    <s v="USR-100971"/>
    <d v="2025-05-10T00:00:00"/>
    <x v="1"/>
    <s v="North"/>
    <s v="Desktop"/>
    <s v="Social"/>
    <s v="Free"/>
    <n v="1"/>
    <n v="1"/>
    <n v="1"/>
    <n v="0"/>
    <n v="0"/>
    <n v="0"/>
    <n v="0"/>
    <m/>
    <n v="83.6"/>
  </r>
  <r>
    <s v="USR-100972"/>
    <d v="2025-04-22T00:00:00"/>
    <x v="1"/>
    <s v="East"/>
    <s v="Mobile"/>
    <s v="Paid Search"/>
    <s v="Premium"/>
    <n v="0"/>
    <n v="0"/>
    <n v="0"/>
    <n v="0"/>
    <n v="0"/>
    <n v="0"/>
    <n v="0"/>
    <m/>
    <n v="45.8"/>
  </r>
  <r>
    <s v="USR-100973"/>
    <d v="2025-02-18T00:00:00"/>
    <x v="1"/>
    <s v="West"/>
    <s v="Mobile"/>
    <s v="Referral"/>
    <s v="Basic"/>
    <n v="1"/>
    <n v="1"/>
    <n v="1"/>
    <n v="0"/>
    <n v="0"/>
    <n v="0"/>
    <n v="0"/>
    <m/>
    <n v="64.3"/>
  </r>
  <r>
    <s v="USR-100974"/>
    <d v="2025-01-26T00:00:00"/>
    <x v="1"/>
    <s v="South"/>
    <s v="Mobile"/>
    <s v="Paid Search"/>
    <s v="Premium"/>
    <n v="1"/>
    <n v="1"/>
    <n v="1"/>
    <n v="0"/>
    <n v="0"/>
    <n v="0"/>
    <n v="0"/>
    <m/>
    <n v="80.5"/>
  </r>
  <r>
    <s v="USR-100975"/>
    <d v="2025-04-28T00:00:00"/>
    <x v="1"/>
    <s v="North"/>
    <s v="Mobile"/>
    <s v="Organic"/>
    <s v="Free"/>
    <n v="1"/>
    <n v="0"/>
    <n v="0"/>
    <n v="0"/>
    <n v="0"/>
    <n v="0"/>
    <n v="0"/>
    <m/>
    <n v="46.3"/>
  </r>
  <r>
    <s v="USR-100976"/>
    <d v="2025-04-02T00:00:00"/>
    <x v="1"/>
    <s v="South"/>
    <s v="Desktop"/>
    <s v="Email"/>
    <s v="Basic"/>
    <n v="1"/>
    <n v="0"/>
    <n v="0"/>
    <n v="0"/>
    <n v="0"/>
    <n v="0"/>
    <n v="0"/>
    <m/>
    <n v="71.599999999999994"/>
  </r>
  <r>
    <s v="USR-100977"/>
    <d v="2025-04-12T00:00:00"/>
    <x v="1"/>
    <s v="South"/>
    <s v="Desktop"/>
    <s v="Email"/>
    <s v="Premium"/>
    <n v="1"/>
    <n v="1"/>
    <n v="0"/>
    <n v="0"/>
    <n v="0"/>
    <n v="0"/>
    <n v="0"/>
    <m/>
    <n v="57.8"/>
  </r>
  <r>
    <s v="USR-100978"/>
    <d v="2025-01-03T00:00:00"/>
    <x v="1"/>
    <s v="West"/>
    <s v="Desktop"/>
    <s v="Email"/>
    <s v="Basic"/>
    <n v="1"/>
    <n v="1"/>
    <n v="1"/>
    <n v="0"/>
    <n v="0"/>
    <n v="1"/>
    <n v="0"/>
    <m/>
    <n v="57.8"/>
  </r>
  <r>
    <s v="USR-100979"/>
    <d v="2025-05-08T00:00:00"/>
    <x v="1"/>
    <s v="North"/>
    <s v="Mobile"/>
    <s v="Paid Search"/>
    <s v="Free"/>
    <n v="1"/>
    <n v="0"/>
    <n v="0"/>
    <n v="0"/>
    <n v="0"/>
    <n v="0"/>
    <n v="0"/>
    <m/>
    <n v="38.299999999999997"/>
  </r>
  <r>
    <s v="USR-100980"/>
    <d v="2025-02-20T00:00:00"/>
    <x v="1"/>
    <s v="North"/>
    <s v="Mobile"/>
    <s v="Referral"/>
    <s v="Premium"/>
    <n v="1"/>
    <n v="0"/>
    <n v="0"/>
    <n v="0"/>
    <n v="0"/>
    <n v="1"/>
    <n v="0"/>
    <m/>
    <n v="66.099999999999994"/>
  </r>
  <r>
    <s v="USR-100981"/>
    <d v="2025-03-17T00:00:00"/>
    <x v="1"/>
    <s v="North"/>
    <s v="Desktop"/>
    <s v="Paid Search"/>
    <s v="Premium"/>
    <n v="1"/>
    <n v="0"/>
    <n v="0"/>
    <n v="0"/>
    <n v="0"/>
    <n v="0"/>
    <n v="0"/>
    <m/>
    <n v="66.5"/>
  </r>
  <r>
    <s v="USR-100982"/>
    <d v="2025-04-10T00:00:00"/>
    <x v="1"/>
    <s v="South"/>
    <s v="Desktop"/>
    <s v="Email"/>
    <s v="Free"/>
    <n v="1"/>
    <n v="0"/>
    <n v="0"/>
    <n v="0"/>
    <n v="0"/>
    <n v="3"/>
    <n v="0"/>
    <m/>
    <n v="51.5"/>
  </r>
  <r>
    <s v="USR-100983"/>
    <d v="2025-05-08T00:00:00"/>
    <x v="1"/>
    <s v="North"/>
    <s v="Desktop"/>
    <s v="Referral"/>
    <s v="Free"/>
    <n v="1"/>
    <n v="0"/>
    <n v="0"/>
    <n v="0"/>
    <n v="0"/>
    <n v="0"/>
    <n v="0"/>
    <m/>
    <n v="59.9"/>
  </r>
  <r>
    <s v="USR-100984"/>
    <d v="2025-04-19T00:00:00"/>
    <x v="1"/>
    <s v="West"/>
    <s v="Mobile"/>
    <s v="Paid Search"/>
    <s v="Basic"/>
    <n v="1"/>
    <n v="0"/>
    <n v="0"/>
    <n v="0"/>
    <n v="0"/>
    <n v="0"/>
    <n v="0"/>
    <m/>
    <n v="58.8"/>
  </r>
  <r>
    <s v="USR-100985"/>
    <d v="2025-01-01T00:00:00"/>
    <x v="1"/>
    <s v="South"/>
    <s v="Tablet"/>
    <s v="Paid Search"/>
    <s v="Basic"/>
    <n v="1"/>
    <n v="0"/>
    <n v="0"/>
    <n v="0"/>
    <n v="0"/>
    <n v="0"/>
    <n v="0"/>
    <m/>
    <n v="69.599999999999994"/>
  </r>
  <r>
    <s v="USR-100986"/>
    <d v="2025-03-10T00:00:00"/>
    <x v="1"/>
    <s v="East"/>
    <s v="Mobile"/>
    <s v="Paid Search"/>
    <s v="Free"/>
    <n v="1"/>
    <n v="0"/>
    <n v="0"/>
    <n v="0"/>
    <n v="0"/>
    <n v="0"/>
    <n v="0"/>
    <m/>
    <n v="77.5"/>
  </r>
  <r>
    <s v="USR-100987"/>
    <d v="2025-03-10T00:00:00"/>
    <x v="1"/>
    <s v="East"/>
    <s v="Tablet"/>
    <s v="Social"/>
    <s v="Premium"/>
    <n v="0"/>
    <n v="0"/>
    <n v="0"/>
    <n v="0"/>
    <n v="0"/>
    <n v="2"/>
    <n v="0"/>
    <m/>
    <n v="57.5"/>
  </r>
  <r>
    <s v="USR-100988"/>
    <d v="2025-04-19T00:00:00"/>
    <x v="1"/>
    <s v="West"/>
    <s v="Tablet"/>
    <s v="Email"/>
    <s v="Basic"/>
    <n v="1"/>
    <n v="0"/>
    <n v="0"/>
    <n v="0"/>
    <n v="0"/>
    <n v="0"/>
    <n v="0"/>
    <m/>
    <n v="64.2"/>
  </r>
  <r>
    <s v="USR-100989"/>
    <d v="2025-04-11T00:00:00"/>
    <x v="1"/>
    <s v="West"/>
    <s v="Desktop"/>
    <s v="Organic"/>
    <s v="Free"/>
    <n v="0"/>
    <n v="0"/>
    <n v="0"/>
    <n v="0"/>
    <n v="0"/>
    <n v="0"/>
    <n v="0"/>
    <m/>
    <n v="60"/>
  </r>
  <r>
    <s v="USR-100990"/>
    <d v="2025-04-10T00:00:00"/>
    <x v="1"/>
    <s v="East"/>
    <s v="Mobile"/>
    <s v="Organic"/>
    <s v="Basic"/>
    <n v="1"/>
    <n v="0"/>
    <n v="0"/>
    <n v="0"/>
    <n v="0"/>
    <n v="1"/>
    <n v="0"/>
    <m/>
    <n v="43.7"/>
  </r>
  <r>
    <s v="USR-100991"/>
    <d v="2025-01-13T00:00:00"/>
    <x v="1"/>
    <s v="West"/>
    <s v="Desktop"/>
    <s v="Social"/>
    <s v="Free"/>
    <n v="1"/>
    <n v="0"/>
    <n v="0"/>
    <n v="0"/>
    <n v="0"/>
    <n v="0"/>
    <n v="0"/>
    <m/>
    <n v="64.900000000000006"/>
  </r>
  <r>
    <s v="USR-100992"/>
    <d v="2025-03-28T00:00:00"/>
    <x v="1"/>
    <s v="South"/>
    <s v="Desktop"/>
    <s v="Organic"/>
    <s v="Free"/>
    <n v="1"/>
    <n v="1"/>
    <n v="0"/>
    <n v="0"/>
    <n v="0"/>
    <n v="0"/>
    <n v="0"/>
    <m/>
    <n v="45.5"/>
  </r>
  <r>
    <s v="USR-100993"/>
    <d v="2025-01-29T00:00:00"/>
    <x v="1"/>
    <s v="East"/>
    <s v="Mobile"/>
    <s v="Paid Search"/>
    <s v="Free"/>
    <n v="1"/>
    <n v="1"/>
    <n v="1"/>
    <n v="1"/>
    <n v="1772.97"/>
    <n v="0"/>
    <n v="0"/>
    <n v="8"/>
    <n v="61.2"/>
  </r>
  <r>
    <s v="USR-100994"/>
    <d v="2025-03-27T00:00:00"/>
    <x v="1"/>
    <s v="South"/>
    <s v="Mobile"/>
    <s v="Referral"/>
    <s v="Free"/>
    <n v="0"/>
    <n v="0"/>
    <n v="0"/>
    <n v="0"/>
    <n v="0"/>
    <n v="0"/>
    <n v="0"/>
    <m/>
    <n v="87.8"/>
  </r>
  <r>
    <s v="USR-100995"/>
    <d v="2025-03-20T00:00:00"/>
    <x v="1"/>
    <s v="East"/>
    <s v="Tablet"/>
    <s v="Social"/>
    <s v="Free"/>
    <n v="0"/>
    <n v="0"/>
    <n v="0"/>
    <n v="0"/>
    <n v="0"/>
    <n v="0"/>
    <n v="0"/>
    <m/>
    <n v="86.4"/>
  </r>
  <r>
    <s v="USR-100996"/>
    <d v="2025-01-09T00:00:00"/>
    <x v="1"/>
    <s v="North"/>
    <s v="Mobile"/>
    <s v="Paid Search"/>
    <s v="Basic"/>
    <n v="0"/>
    <n v="0"/>
    <n v="0"/>
    <n v="0"/>
    <n v="0"/>
    <n v="1"/>
    <n v="0"/>
    <m/>
    <n v="71.400000000000006"/>
  </r>
  <r>
    <s v="USR-100997"/>
    <d v="2025-04-25T00:00:00"/>
    <x v="1"/>
    <s v="West"/>
    <s v="Mobile"/>
    <s v="Social"/>
    <s v="Free"/>
    <n v="1"/>
    <n v="1"/>
    <n v="1"/>
    <n v="1"/>
    <n v="218.66"/>
    <n v="0"/>
    <n v="1"/>
    <n v="8"/>
    <n v="72.2"/>
  </r>
  <r>
    <s v="USR-100998"/>
    <d v="2025-04-11T00:00:00"/>
    <x v="1"/>
    <s v="South"/>
    <s v="Desktop"/>
    <s v="Social"/>
    <s v="Free"/>
    <n v="1"/>
    <n v="0"/>
    <n v="0"/>
    <n v="0"/>
    <n v="0"/>
    <n v="0"/>
    <n v="0"/>
    <m/>
    <n v="51.9"/>
  </r>
  <r>
    <s v="USR-100999"/>
    <d v="2025-02-05T00:00:00"/>
    <x v="1"/>
    <s v="East"/>
    <s v="Mobile"/>
    <s v="Social"/>
    <s v="Basic"/>
    <n v="1"/>
    <n v="1"/>
    <n v="1"/>
    <n v="0"/>
    <n v="0"/>
    <n v="0"/>
    <n v="0"/>
    <m/>
    <n v="70.3"/>
  </r>
  <r>
    <s v="USR-101000"/>
    <d v="2025-03-28T00:00:00"/>
    <x v="1"/>
    <s v="South"/>
    <s v="Mobile"/>
    <s v="Social"/>
    <s v="Premium"/>
    <n v="1"/>
    <n v="0"/>
    <n v="0"/>
    <n v="0"/>
    <n v="0"/>
    <n v="1"/>
    <n v="0"/>
    <m/>
    <n v="49.2"/>
  </r>
  <r>
    <s v="USR-101001"/>
    <d v="2025-05-14T00:00:00"/>
    <x v="1"/>
    <s v="South"/>
    <s v="Mobile"/>
    <s v="Referral"/>
    <s v="Free"/>
    <n v="0"/>
    <n v="0"/>
    <n v="0"/>
    <n v="0"/>
    <n v="0"/>
    <n v="0"/>
    <n v="0"/>
    <m/>
    <n v="52.2"/>
  </r>
  <r>
    <s v="USR-101002"/>
    <d v="2025-03-10T00:00:00"/>
    <x v="1"/>
    <s v="East"/>
    <s v="Mobile"/>
    <s v="Paid Search"/>
    <s v="Basic"/>
    <n v="0"/>
    <n v="0"/>
    <n v="0"/>
    <n v="0"/>
    <n v="0"/>
    <n v="1"/>
    <n v="0"/>
    <m/>
    <n v="62.6"/>
  </r>
  <r>
    <s v="USR-101003"/>
    <d v="2025-04-09T00:00:00"/>
    <x v="1"/>
    <s v="East"/>
    <s v="Desktop"/>
    <s v="Paid Search"/>
    <s v="Free"/>
    <n v="1"/>
    <n v="1"/>
    <n v="0"/>
    <n v="0"/>
    <n v="0"/>
    <n v="0"/>
    <n v="0"/>
    <m/>
    <n v="100"/>
  </r>
  <r>
    <s v="USR-101004"/>
    <d v="2025-02-13T00:00:00"/>
    <x v="1"/>
    <s v="North"/>
    <s v="Mobile"/>
    <s v="Referral"/>
    <s v="Basic"/>
    <n v="1"/>
    <n v="1"/>
    <n v="1"/>
    <n v="0"/>
    <n v="0"/>
    <n v="2"/>
    <n v="0"/>
    <m/>
    <n v="45.9"/>
  </r>
  <r>
    <s v="USR-101005"/>
    <d v="2025-05-03T00:00:00"/>
    <x v="1"/>
    <s v="East"/>
    <s v="Mobile"/>
    <s v="Email"/>
    <s v="Free"/>
    <n v="1"/>
    <n v="1"/>
    <n v="1"/>
    <n v="0"/>
    <n v="0"/>
    <n v="0"/>
    <n v="0"/>
    <m/>
    <n v="80.7"/>
  </r>
  <r>
    <s v="USR-101006"/>
    <d v="2025-04-16T00:00:00"/>
    <x v="1"/>
    <s v="South"/>
    <s v="Desktop"/>
    <s v="Referral"/>
    <s v="Premium"/>
    <n v="1"/>
    <n v="0"/>
    <n v="0"/>
    <n v="0"/>
    <n v="0"/>
    <n v="0"/>
    <n v="0"/>
    <m/>
    <n v="51.9"/>
  </r>
  <r>
    <s v="USR-101007"/>
    <d v="2025-04-30T00:00:00"/>
    <x v="1"/>
    <s v="North"/>
    <s v="Mobile"/>
    <s v="Paid Search"/>
    <s v="Premium"/>
    <n v="1"/>
    <n v="0"/>
    <n v="0"/>
    <n v="0"/>
    <n v="0"/>
    <n v="0"/>
    <n v="0"/>
    <m/>
    <n v="68.900000000000006"/>
  </r>
  <r>
    <s v="USR-101008"/>
    <d v="2025-02-18T00:00:00"/>
    <x v="1"/>
    <s v="West"/>
    <s v="Desktop"/>
    <s v="Organic"/>
    <s v="Free"/>
    <n v="1"/>
    <n v="0"/>
    <n v="0"/>
    <n v="0"/>
    <n v="0"/>
    <n v="0"/>
    <n v="0"/>
    <m/>
    <n v="66"/>
  </r>
  <r>
    <s v="USR-101009"/>
    <d v="2025-05-22T00:00:00"/>
    <x v="1"/>
    <s v="West"/>
    <s v="Desktop"/>
    <s v="Referral"/>
    <s v="Basic"/>
    <n v="0"/>
    <n v="0"/>
    <n v="0"/>
    <n v="0"/>
    <n v="0"/>
    <n v="0"/>
    <n v="0"/>
    <m/>
    <n v="63.1"/>
  </r>
  <r>
    <s v="USR-101010"/>
    <d v="2025-05-21T00:00:00"/>
    <x v="1"/>
    <s v="South"/>
    <s v="Desktop"/>
    <s v="Organic"/>
    <s v="Free"/>
    <n v="0"/>
    <n v="0"/>
    <n v="0"/>
    <n v="0"/>
    <n v="0"/>
    <n v="0"/>
    <n v="0"/>
    <m/>
    <n v="56"/>
  </r>
  <r>
    <s v="USR-101011"/>
    <d v="2025-04-10T00:00:00"/>
    <x v="1"/>
    <s v="East"/>
    <s v="Desktop"/>
    <s v="Organic"/>
    <s v="Free"/>
    <n v="1"/>
    <n v="0"/>
    <n v="0"/>
    <n v="0"/>
    <n v="0"/>
    <n v="1"/>
    <n v="0"/>
    <m/>
    <n v="65.7"/>
  </r>
  <r>
    <s v="USR-101012"/>
    <d v="2025-01-07T00:00:00"/>
    <x v="1"/>
    <s v="North"/>
    <s v="Desktop"/>
    <s v="Organic"/>
    <s v="Premium"/>
    <n v="1"/>
    <n v="1"/>
    <n v="1"/>
    <n v="1"/>
    <n v="1938.31"/>
    <n v="1"/>
    <n v="0"/>
    <n v="9"/>
    <n v="60.9"/>
  </r>
  <r>
    <s v="USR-101013"/>
    <d v="2025-02-03T00:00:00"/>
    <x v="1"/>
    <s v="South"/>
    <s v="Desktop"/>
    <s v="Social"/>
    <s v="Free"/>
    <n v="0"/>
    <n v="0"/>
    <n v="0"/>
    <n v="0"/>
    <n v="0"/>
    <n v="0"/>
    <n v="0"/>
    <m/>
    <n v="45.5"/>
  </r>
  <r>
    <s v="USR-101014"/>
    <d v="2025-05-18T00:00:00"/>
    <x v="1"/>
    <s v="North"/>
    <s v="Mobile"/>
    <s v="Paid Search"/>
    <s v="Free"/>
    <n v="1"/>
    <n v="0"/>
    <n v="0"/>
    <n v="0"/>
    <n v="0"/>
    <n v="0"/>
    <n v="0"/>
    <m/>
    <n v="50"/>
  </r>
  <r>
    <s v="USR-101015"/>
    <d v="2025-01-31T00:00:00"/>
    <x v="1"/>
    <s v="North"/>
    <s v="Mobile"/>
    <s v="Referral"/>
    <s v="Free"/>
    <n v="1"/>
    <n v="0"/>
    <n v="0"/>
    <n v="0"/>
    <n v="0"/>
    <n v="0"/>
    <n v="0"/>
    <m/>
    <n v="72.099999999999994"/>
  </r>
  <r>
    <s v="USR-101016"/>
    <d v="2025-01-16T00:00:00"/>
    <x v="1"/>
    <s v="South"/>
    <s v="Desktop"/>
    <s v="Organic"/>
    <s v="Basic"/>
    <n v="1"/>
    <n v="0"/>
    <n v="0"/>
    <n v="0"/>
    <n v="0"/>
    <n v="0"/>
    <n v="0"/>
    <m/>
    <n v="76.3"/>
  </r>
  <r>
    <s v="USR-101017"/>
    <d v="2025-05-14T00:00:00"/>
    <x v="1"/>
    <s v="East"/>
    <s v="Mobile"/>
    <s v="Paid Search"/>
    <s v="Basic"/>
    <n v="1"/>
    <n v="1"/>
    <n v="0"/>
    <n v="0"/>
    <n v="0"/>
    <n v="1"/>
    <n v="0"/>
    <m/>
    <n v="54.8"/>
  </r>
  <r>
    <s v="USR-101018"/>
    <d v="2025-04-01T00:00:00"/>
    <x v="1"/>
    <s v="South"/>
    <s v="Mobile"/>
    <s v="UNKNOWN"/>
    <s v="Basic"/>
    <n v="1"/>
    <n v="0"/>
    <n v="0"/>
    <n v="0"/>
    <n v="0"/>
    <n v="0"/>
    <n v="0"/>
    <m/>
    <n v="63.6"/>
  </r>
  <r>
    <s v="USR-101019"/>
    <d v="2025-04-23T00:00:00"/>
    <x v="1"/>
    <s v="South"/>
    <s v="Mobile"/>
    <s v="Organic"/>
    <s v="Free"/>
    <n v="1"/>
    <n v="0"/>
    <n v="0"/>
    <n v="0"/>
    <n v="0"/>
    <n v="0"/>
    <n v="0"/>
    <m/>
    <n v="68.8"/>
  </r>
  <r>
    <s v="USR-101020"/>
    <d v="2025-03-02T00:00:00"/>
    <x v="1"/>
    <s v="South"/>
    <s v="Desktop"/>
    <s v="Paid Search"/>
    <s v="Basic"/>
    <n v="1"/>
    <n v="0"/>
    <n v="0"/>
    <n v="0"/>
    <n v="0"/>
    <n v="0"/>
    <n v="0"/>
    <m/>
    <n v="63.2"/>
  </r>
  <r>
    <s v="USR-101021"/>
    <d v="2025-01-02T00:00:00"/>
    <x v="1"/>
    <s v="East"/>
    <s v="Mobile"/>
    <s v="Paid Search"/>
    <s v="Basic"/>
    <n v="0"/>
    <n v="0"/>
    <n v="0"/>
    <n v="0"/>
    <n v="0"/>
    <n v="0"/>
    <n v="0"/>
    <m/>
    <n v="45"/>
  </r>
  <r>
    <s v="USR-101022"/>
    <d v="2025-05-04T00:00:00"/>
    <x v="1"/>
    <s v="South"/>
    <s v="Mobile"/>
    <s v="Organic"/>
    <s v="Free"/>
    <n v="1"/>
    <n v="0"/>
    <n v="0"/>
    <n v="0"/>
    <n v="0"/>
    <n v="0"/>
    <n v="0"/>
    <m/>
    <n v="77.400000000000006"/>
  </r>
  <r>
    <s v="USR-101023"/>
    <d v="2025-01-16T00:00:00"/>
    <x v="1"/>
    <s v="East"/>
    <s v="Desktop"/>
    <s v="Paid Search"/>
    <s v="Basic"/>
    <n v="0"/>
    <n v="0"/>
    <n v="0"/>
    <n v="0"/>
    <n v="0"/>
    <n v="0"/>
    <n v="0"/>
    <m/>
    <n v="53.1"/>
  </r>
  <r>
    <s v="USR-101024"/>
    <d v="2025-02-11T00:00:00"/>
    <x v="1"/>
    <s v="West"/>
    <s v="Tablet"/>
    <s v="Paid Search"/>
    <s v="Premium"/>
    <n v="0"/>
    <n v="0"/>
    <n v="0"/>
    <n v="0"/>
    <n v="0"/>
    <n v="0"/>
    <n v="0"/>
    <m/>
    <n v="74"/>
  </r>
  <r>
    <s v="USR-101025"/>
    <d v="2025-04-03T00:00:00"/>
    <x v="1"/>
    <s v="North"/>
    <s v="Mobile"/>
    <s v="Social"/>
    <s v="Premium"/>
    <n v="1"/>
    <n v="1"/>
    <n v="1"/>
    <n v="1"/>
    <n v="1906.23"/>
    <n v="0"/>
    <n v="0"/>
    <n v="4"/>
    <n v="84.6"/>
  </r>
  <r>
    <s v="USR-101026"/>
    <d v="2025-03-26T00:00:00"/>
    <x v="1"/>
    <s v="East"/>
    <s v="Mobile"/>
    <s v="Referral"/>
    <s v="Free"/>
    <n v="1"/>
    <n v="0"/>
    <n v="0"/>
    <n v="0"/>
    <n v="0"/>
    <n v="0"/>
    <n v="0"/>
    <m/>
    <n v="57"/>
  </r>
  <r>
    <s v="USR-101027"/>
    <d v="2025-05-16T00:00:00"/>
    <x v="1"/>
    <s v="South"/>
    <s v="Mobile"/>
    <s v="Email"/>
    <s v="Premium"/>
    <n v="0"/>
    <n v="0"/>
    <n v="0"/>
    <n v="0"/>
    <n v="0"/>
    <n v="0"/>
    <n v="0"/>
    <m/>
    <n v="46.3"/>
  </r>
  <r>
    <s v="USR-101028"/>
    <d v="2025-04-20T00:00:00"/>
    <x v="1"/>
    <s v="West"/>
    <s v="Mobile"/>
    <s v="Social"/>
    <s v="Free"/>
    <n v="0"/>
    <n v="0"/>
    <n v="0"/>
    <n v="0"/>
    <n v="0"/>
    <n v="1"/>
    <n v="0"/>
    <m/>
    <n v="64.400000000000006"/>
  </r>
  <r>
    <s v="USR-101029"/>
    <d v="2025-04-15T00:00:00"/>
    <x v="1"/>
    <s v="West"/>
    <s v="Mobile"/>
    <s v="Paid Search"/>
    <s v="Free"/>
    <n v="1"/>
    <n v="0"/>
    <n v="0"/>
    <n v="0"/>
    <n v="0"/>
    <n v="2"/>
    <n v="0"/>
    <m/>
    <n v="61.9"/>
  </r>
  <r>
    <s v="USR-101030"/>
    <d v="2025-01-24T00:00:00"/>
    <x v="1"/>
    <s v="North"/>
    <s v="Mobile"/>
    <s v="Organic"/>
    <s v="Premium"/>
    <n v="1"/>
    <n v="1"/>
    <n v="1"/>
    <n v="0"/>
    <n v="0"/>
    <n v="0"/>
    <n v="0"/>
    <m/>
    <n v="93.7"/>
  </r>
  <r>
    <s v="USR-101031"/>
    <d v="2025-04-11T00:00:00"/>
    <x v="1"/>
    <s v="South"/>
    <s v="Mobile"/>
    <s v="Referral"/>
    <s v="Basic"/>
    <n v="0"/>
    <n v="0"/>
    <n v="0"/>
    <n v="0"/>
    <n v="0"/>
    <n v="0"/>
    <n v="0"/>
    <m/>
    <n v="61.6"/>
  </r>
  <r>
    <s v="USR-101032"/>
    <d v="2025-05-19T00:00:00"/>
    <x v="1"/>
    <s v="North"/>
    <s v="Mobile"/>
    <s v="Paid Search"/>
    <s v="Free"/>
    <n v="1"/>
    <n v="0"/>
    <n v="0"/>
    <n v="0"/>
    <n v="0"/>
    <n v="0"/>
    <n v="0"/>
    <m/>
    <n v="72.2"/>
  </r>
  <r>
    <s v="USR-101033"/>
    <d v="2025-01-14T00:00:00"/>
    <x v="1"/>
    <s v="North"/>
    <s v="Mobile"/>
    <s v="Organic"/>
    <s v="Basic"/>
    <n v="0"/>
    <n v="0"/>
    <n v="0"/>
    <n v="0"/>
    <n v="0"/>
    <n v="0"/>
    <n v="0"/>
    <m/>
    <n v="69.5"/>
  </r>
  <r>
    <s v="USR-101034"/>
    <d v="2025-02-28T00:00:00"/>
    <x v="1"/>
    <s v="East"/>
    <s v="Desktop"/>
    <s v="Organic"/>
    <s v="Basic"/>
    <n v="0"/>
    <n v="0"/>
    <n v="0"/>
    <n v="0"/>
    <n v="0"/>
    <n v="0"/>
    <n v="0"/>
    <m/>
    <n v="59.7"/>
  </r>
  <r>
    <s v="USR-101035"/>
    <d v="2025-05-18T00:00:00"/>
    <x v="1"/>
    <s v="East"/>
    <s v="Tablet"/>
    <s v="Paid Search"/>
    <s v="Basic"/>
    <n v="1"/>
    <n v="0"/>
    <n v="0"/>
    <n v="0"/>
    <n v="0"/>
    <n v="0"/>
    <n v="0"/>
    <m/>
    <n v="73.900000000000006"/>
  </r>
  <r>
    <s v="USR-101036"/>
    <d v="2025-01-04T00:00:00"/>
    <x v="1"/>
    <s v="North"/>
    <s v="Mobile"/>
    <s v="Social"/>
    <s v="Free"/>
    <n v="0"/>
    <n v="0"/>
    <n v="0"/>
    <n v="0"/>
    <n v="0"/>
    <n v="0"/>
    <n v="0"/>
    <m/>
    <n v="41.5"/>
  </r>
  <r>
    <s v="USR-101037"/>
    <d v="2025-01-16T00:00:00"/>
    <x v="1"/>
    <s v="West"/>
    <s v="Mobile"/>
    <s v="Social"/>
    <s v="Premium"/>
    <n v="1"/>
    <n v="0"/>
    <n v="0"/>
    <n v="0"/>
    <n v="0"/>
    <n v="0"/>
    <n v="0"/>
    <m/>
    <n v="82.8"/>
  </r>
  <r>
    <s v="USR-101038"/>
    <d v="2025-03-14T00:00:00"/>
    <x v="1"/>
    <s v="West"/>
    <s v="Mobile"/>
    <s v="Social"/>
    <s v="Premium"/>
    <n v="1"/>
    <n v="0"/>
    <n v="0"/>
    <n v="0"/>
    <n v="0"/>
    <n v="3"/>
    <n v="0"/>
    <m/>
    <n v="70.2"/>
  </r>
  <r>
    <s v="USR-101039"/>
    <d v="2025-01-23T00:00:00"/>
    <x v="1"/>
    <s v="East"/>
    <s v="Mobile"/>
    <s v="Paid Search"/>
    <s v="Basic"/>
    <n v="1"/>
    <n v="0"/>
    <n v="0"/>
    <n v="0"/>
    <n v="0"/>
    <n v="1"/>
    <n v="0"/>
    <m/>
    <n v="69.400000000000006"/>
  </r>
  <r>
    <s v="USR-101040"/>
    <d v="2025-02-03T00:00:00"/>
    <x v="1"/>
    <s v="North"/>
    <s v="Desktop"/>
    <s v="Organic"/>
    <s v="Basic"/>
    <n v="1"/>
    <n v="0"/>
    <n v="0"/>
    <n v="0"/>
    <n v="0"/>
    <n v="0"/>
    <n v="0"/>
    <m/>
    <n v="60.4"/>
  </r>
  <r>
    <s v="USR-101041"/>
    <d v="2025-05-16T00:00:00"/>
    <x v="1"/>
    <s v="East"/>
    <s v="Mobile"/>
    <s v="Referral"/>
    <s v="Free"/>
    <n v="1"/>
    <n v="0"/>
    <n v="0"/>
    <n v="0"/>
    <n v="0"/>
    <n v="0"/>
    <n v="0"/>
    <m/>
    <n v="45.7"/>
  </r>
  <r>
    <s v="USR-101042"/>
    <d v="2025-01-11T00:00:00"/>
    <x v="1"/>
    <s v="West"/>
    <s v="Mobile"/>
    <s v="Organic"/>
    <s v="Basic"/>
    <n v="0"/>
    <n v="0"/>
    <n v="0"/>
    <n v="0"/>
    <n v="0"/>
    <n v="1"/>
    <n v="0"/>
    <m/>
    <n v="42.2"/>
  </r>
  <r>
    <s v="USR-101043"/>
    <d v="2025-05-25T00:00:00"/>
    <x v="1"/>
    <s v="North"/>
    <s v="Desktop"/>
    <s v="Organic"/>
    <s v="Free"/>
    <n v="0"/>
    <n v="0"/>
    <n v="0"/>
    <n v="0"/>
    <n v="0"/>
    <n v="2"/>
    <n v="0"/>
    <m/>
    <n v="61.9"/>
  </r>
  <r>
    <s v="USR-101044"/>
    <d v="2025-05-08T00:00:00"/>
    <x v="1"/>
    <s v="East"/>
    <s v="Mobile"/>
    <s v="Paid Search"/>
    <s v="Premium"/>
    <n v="0"/>
    <n v="0"/>
    <n v="0"/>
    <n v="0"/>
    <n v="0"/>
    <n v="0"/>
    <n v="0"/>
    <m/>
    <n v="44.9"/>
  </r>
  <r>
    <s v="USR-101045"/>
    <d v="2025-02-26T00:00:00"/>
    <x v="1"/>
    <s v="East"/>
    <s v="Desktop"/>
    <s v="UNKNOWN"/>
    <s v="Basic"/>
    <n v="1"/>
    <n v="0"/>
    <n v="0"/>
    <n v="0"/>
    <n v="0"/>
    <n v="0"/>
    <n v="0"/>
    <m/>
    <n v="68"/>
  </r>
  <r>
    <s v="USR-101046"/>
    <d v="2025-03-30T00:00:00"/>
    <x v="1"/>
    <s v="North"/>
    <s v="Mobile"/>
    <s v="Paid Search"/>
    <s v="Free"/>
    <n v="1"/>
    <n v="0"/>
    <n v="0"/>
    <n v="0"/>
    <n v="0"/>
    <n v="0"/>
    <n v="0"/>
    <m/>
    <n v="61"/>
  </r>
  <r>
    <s v="USR-101047"/>
    <d v="2025-04-13T00:00:00"/>
    <x v="1"/>
    <s v="West"/>
    <s v="Mobile"/>
    <s v="Organic"/>
    <s v="Basic"/>
    <n v="1"/>
    <n v="0"/>
    <n v="0"/>
    <n v="0"/>
    <n v="0"/>
    <n v="0"/>
    <n v="0"/>
    <m/>
    <n v="55"/>
  </r>
  <r>
    <s v="USR-101048"/>
    <d v="2025-02-20T00:00:00"/>
    <x v="1"/>
    <s v="East"/>
    <s v="UNKNOWN"/>
    <s v="Paid Search"/>
    <s v="Basic"/>
    <n v="1"/>
    <n v="0"/>
    <n v="0"/>
    <n v="0"/>
    <n v="0"/>
    <n v="0"/>
    <n v="0"/>
    <m/>
    <n v="63.1"/>
  </r>
  <r>
    <s v="USR-101049"/>
    <d v="2025-04-19T00:00:00"/>
    <x v="1"/>
    <s v="West"/>
    <s v="Desktop"/>
    <s v="Social"/>
    <s v="Free"/>
    <n v="1"/>
    <n v="0"/>
    <n v="0"/>
    <n v="0"/>
    <n v="0"/>
    <n v="0"/>
    <n v="0"/>
    <m/>
    <n v="75.8"/>
  </r>
  <r>
    <s v="USR-101050"/>
    <d v="2025-03-22T00:00:00"/>
    <x v="1"/>
    <s v="South"/>
    <s v="Mobile"/>
    <s v="Paid Search"/>
    <s v="Free"/>
    <n v="1"/>
    <n v="1"/>
    <n v="0"/>
    <n v="0"/>
    <n v="0"/>
    <n v="1"/>
    <n v="0"/>
    <m/>
    <n v="43.8"/>
  </r>
  <r>
    <s v="USR-101051"/>
    <d v="2025-02-28T00:00:00"/>
    <x v="1"/>
    <s v="North"/>
    <s v="Mobile"/>
    <s v="Email"/>
    <s v="Basic"/>
    <n v="1"/>
    <n v="1"/>
    <n v="0"/>
    <n v="0"/>
    <n v="0"/>
    <n v="0"/>
    <n v="0"/>
    <m/>
    <n v="46.8"/>
  </r>
  <r>
    <s v="USR-101052"/>
    <d v="2025-05-24T00:00:00"/>
    <x v="1"/>
    <s v="East"/>
    <s v="Mobile"/>
    <s v="Social"/>
    <s v="Free"/>
    <n v="1"/>
    <n v="1"/>
    <n v="1"/>
    <n v="0"/>
    <n v="0"/>
    <n v="0"/>
    <n v="0"/>
    <m/>
    <n v="97.4"/>
  </r>
  <r>
    <s v="USR-101053"/>
    <d v="2025-02-03T00:00:00"/>
    <x v="1"/>
    <s v="North"/>
    <s v="Desktop"/>
    <s v="Email"/>
    <s v="Free"/>
    <n v="1"/>
    <n v="1"/>
    <n v="1"/>
    <n v="1"/>
    <n v="268.95999999999998"/>
    <n v="0"/>
    <n v="0"/>
    <n v="14"/>
    <n v="81"/>
  </r>
  <r>
    <s v="USR-101054"/>
    <d v="2025-01-27T00:00:00"/>
    <x v="1"/>
    <s v="South"/>
    <s v="Mobile"/>
    <s v="Organic"/>
    <s v="Free"/>
    <n v="1"/>
    <n v="0"/>
    <n v="0"/>
    <n v="0"/>
    <n v="0"/>
    <n v="1"/>
    <n v="0"/>
    <m/>
    <n v="58.9"/>
  </r>
  <r>
    <s v="USR-101055"/>
    <d v="2025-04-17T00:00:00"/>
    <x v="1"/>
    <s v="East"/>
    <s v="Mobile"/>
    <s v="Organic"/>
    <s v="Free"/>
    <n v="1"/>
    <n v="0"/>
    <n v="0"/>
    <n v="0"/>
    <n v="0"/>
    <n v="0"/>
    <n v="0"/>
    <m/>
    <n v="51.9"/>
  </r>
  <r>
    <s v="USR-101056"/>
    <d v="2025-02-06T00:00:00"/>
    <x v="1"/>
    <s v="West"/>
    <s v="Mobile"/>
    <s v="Social"/>
    <s v="Free"/>
    <n v="1"/>
    <n v="1"/>
    <n v="0"/>
    <n v="0"/>
    <n v="0"/>
    <n v="0"/>
    <n v="0"/>
    <m/>
    <n v="61.7"/>
  </r>
  <r>
    <s v="USR-101057"/>
    <d v="2025-04-20T00:00:00"/>
    <x v="1"/>
    <s v="South"/>
    <s v="Mobile"/>
    <s v="Paid Search"/>
    <s v="Free"/>
    <n v="1"/>
    <n v="0"/>
    <n v="0"/>
    <n v="0"/>
    <n v="0"/>
    <n v="0"/>
    <n v="0"/>
    <m/>
    <n v="44.7"/>
  </r>
  <r>
    <s v="USR-101058"/>
    <d v="2025-05-06T00:00:00"/>
    <x v="1"/>
    <s v="North"/>
    <s v="Mobile"/>
    <s v="Paid Search"/>
    <s v="Basic"/>
    <n v="0"/>
    <n v="0"/>
    <n v="0"/>
    <n v="0"/>
    <n v="0"/>
    <n v="0"/>
    <n v="0"/>
    <m/>
    <n v="63.2"/>
  </r>
  <r>
    <s v="USR-101059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s v="USR-101060"/>
    <d v="2025-03-02T00:00:00"/>
    <x v="1"/>
    <s v="South"/>
    <s v="Mobile"/>
    <s v="Paid Search"/>
    <s v="Premium"/>
    <n v="1"/>
    <n v="1"/>
    <n v="0"/>
    <n v="0"/>
    <n v="0"/>
    <n v="1"/>
    <n v="0"/>
    <m/>
    <n v="83.1"/>
  </r>
  <r>
    <s v="USR-101061"/>
    <d v="2025-04-09T00:00:00"/>
    <x v="1"/>
    <s v="West"/>
    <s v="Mobile"/>
    <s v="Social"/>
    <s v="Free"/>
    <n v="0"/>
    <n v="0"/>
    <n v="0"/>
    <n v="0"/>
    <n v="0"/>
    <n v="0"/>
    <n v="0"/>
    <m/>
    <n v="50.3"/>
  </r>
  <r>
    <s v="USR-101062"/>
    <d v="2025-01-26T00:00:00"/>
    <x v="1"/>
    <s v="East"/>
    <s v="Mobile"/>
    <s v="Paid Search"/>
    <s v="Free"/>
    <n v="1"/>
    <n v="1"/>
    <n v="1"/>
    <n v="1"/>
    <n v="437.09"/>
    <n v="2"/>
    <n v="1"/>
    <n v="1"/>
    <n v="58.2"/>
  </r>
  <r>
    <s v="USR-101063"/>
    <d v="2025-02-25T00:00:00"/>
    <x v="1"/>
    <s v="South"/>
    <s v="Mobile"/>
    <s v="Paid Search"/>
    <s v="Basic"/>
    <n v="1"/>
    <n v="1"/>
    <n v="1"/>
    <n v="0"/>
    <n v="0"/>
    <n v="0"/>
    <n v="0"/>
    <m/>
    <n v="53.2"/>
  </r>
  <r>
    <s v="USR-101064"/>
    <d v="2025-01-07T00:00:00"/>
    <x v="1"/>
    <s v="East"/>
    <s v="Mobile"/>
    <s v="Organic"/>
    <s v="Premium"/>
    <n v="0"/>
    <n v="0"/>
    <n v="0"/>
    <n v="0"/>
    <n v="0"/>
    <n v="0"/>
    <n v="0"/>
    <m/>
    <n v="36.4"/>
  </r>
  <r>
    <s v="USR-101065"/>
    <d v="2025-03-08T00:00:00"/>
    <x v="1"/>
    <s v="South"/>
    <s v="Mobile"/>
    <s v="Social"/>
    <s v="Basic"/>
    <n v="1"/>
    <n v="1"/>
    <n v="1"/>
    <n v="0"/>
    <n v="0"/>
    <n v="0"/>
    <n v="0"/>
    <m/>
    <n v="72.7"/>
  </r>
  <r>
    <s v="USR-101066"/>
    <d v="2025-05-22T00:00:00"/>
    <x v="1"/>
    <s v="East"/>
    <s v="Mobile"/>
    <s v="Referral"/>
    <s v="Free"/>
    <n v="1"/>
    <n v="0"/>
    <n v="0"/>
    <n v="0"/>
    <n v="0"/>
    <n v="1"/>
    <n v="0"/>
    <m/>
    <n v="86.7"/>
  </r>
  <r>
    <s v="USR-101067"/>
    <d v="2025-04-18T00:00:00"/>
    <x v="1"/>
    <s v="East"/>
    <s v="Mobile"/>
    <s v="Paid Search"/>
    <s v="Premium"/>
    <n v="1"/>
    <n v="0"/>
    <n v="0"/>
    <n v="0"/>
    <n v="0"/>
    <n v="0"/>
    <n v="0"/>
    <m/>
    <n v="48.2"/>
  </r>
  <r>
    <s v="USR-101068"/>
    <d v="2025-02-24T00:00:00"/>
    <x v="1"/>
    <s v="West"/>
    <s v="Mobile"/>
    <s v="Referral"/>
    <s v="Basic"/>
    <n v="0"/>
    <n v="0"/>
    <n v="0"/>
    <n v="0"/>
    <n v="0"/>
    <n v="1"/>
    <n v="0"/>
    <m/>
    <n v="57.6"/>
  </r>
  <r>
    <s v="USR-101069"/>
    <d v="2025-02-11T00:00:00"/>
    <x v="1"/>
    <s v="North"/>
    <s v="Mobile"/>
    <s v="Organic"/>
    <s v="Free"/>
    <n v="1"/>
    <n v="1"/>
    <n v="1"/>
    <n v="0"/>
    <n v="0"/>
    <n v="0"/>
    <n v="0"/>
    <m/>
    <n v="75.7"/>
  </r>
  <r>
    <s v="USR-101070"/>
    <d v="2025-03-11T00:00:00"/>
    <x v="1"/>
    <s v="West"/>
    <s v="Desktop"/>
    <s v="Paid Search"/>
    <s v="Free"/>
    <n v="1"/>
    <n v="0"/>
    <n v="0"/>
    <n v="0"/>
    <n v="0"/>
    <n v="2"/>
    <n v="0"/>
    <m/>
    <n v="48.6"/>
  </r>
  <r>
    <s v="USR-101071"/>
    <d v="2025-04-11T00:00:00"/>
    <x v="1"/>
    <s v="East"/>
    <s v="Tablet"/>
    <s v="Referral"/>
    <s v="Free"/>
    <n v="1"/>
    <n v="1"/>
    <n v="1"/>
    <n v="0"/>
    <n v="0"/>
    <n v="0"/>
    <n v="0"/>
    <m/>
    <n v="72"/>
  </r>
  <r>
    <s v="USR-101072"/>
    <d v="2025-03-11T00:00:00"/>
    <x v="1"/>
    <s v="North"/>
    <s v="Mobile"/>
    <s v="Organic"/>
    <s v="Free"/>
    <n v="0"/>
    <n v="0"/>
    <n v="0"/>
    <n v="0"/>
    <n v="0"/>
    <n v="0"/>
    <n v="0"/>
    <m/>
    <n v="72.2"/>
  </r>
  <r>
    <s v="USR-101073"/>
    <d v="2025-05-22T00:00:00"/>
    <x v="1"/>
    <s v="East"/>
    <s v="Mobile"/>
    <s v="Referral"/>
    <s v="Free"/>
    <n v="1"/>
    <n v="0"/>
    <n v="0"/>
    <n v="0"/>
    <n v="0"/>
    <n v="1"/>
    <n v="0"/>
    <m/>
    <n v="60.02"/>
  </r>
  <r>
    <s v="USR-101074"/>
    <d v="2025-02-22T00:00:00"/>
    <x v="1"/>
    <s v="South"/>
    <s v="Desktop"/>
    <s v="Organic"/>
    <s v="Free"/>
    <n v="1"/>
    <n v="1"/>
    <n v="1"/>
    <n v="1"/>
    <n v="331.53"/>
    <n v="2"/>
    <n v="0"/>
    <n v="4"/>
    <n v="56.8"/>
  </r>
  <r>
    <s v="USR-101075"/>
    <d v="2025-01-13T00:00:00"/>
    <x v="1"/>
    <s v="East"/>
    <s v="Mobile"/>
    <s v="Paid Search"/>
    <s v="Basic"/>
    <n v="1"/>
    <n v="0"/>
    <n v="0"/>
    <n v="0"/>
    <n v="0"/>
    <n v="0"/>
    <n v="0"/>
    <m/>
    <n v="62.5"/>
  </r>
  <r>
    <s v="USR-101076"/>
    <d v="2025-05-19T00:00:00"/>
    <x v="1"/>
    <s v="South"/>
    <s v="Mobile"/>
    <s v="Organic"/>
    <s v="Free"/>
    <n v="1"/>
    <n v="0"/>
    <n v="0"/>
    <n v="0"/>
    <n v="0"/>
    <n v="0"/>
    <n v="0"/>
    <m/>
    <n v="63.4"/>
  </r>
  <r>
    <s v="USR-101077"/>
    <d v="2025-03-08T00:00:00"/>
    <x v="1"/>
    <s v="North"/>
    <s v="Tablet"/>
    <s v="Organic"/>
    <s v="Basic"/>
    <n v="1"/>
    <n v="1"/>
    <n v="1"/>
    <n v="1"/>
    <n v="774.78"/>
    <n v="0"/>
    <n v="0"/>
    <n v="3"/>
    <n v="46.8"/>
  </r>
  <r>
    <s v="USR-101078"/>
    <d v="2025-04-20T00:00:00"/>
    <x v="1"/>
    <s v="South"/>
    <s v="Mobile"/>
    <s v="Organic"/>
    <s v="Free"/>
    <n v="1"/>
    <n v="1"/>
    <n v="1"/>
    <n v="1"/>
    <n v="422.02"/>
    <n v="0"/>
    <n v="0"/>
    <n v="8"/>
    <n v="86.5"/>
  </r>
  <r>
    <s v="USR-101079"/>
    <d v="2025-05-08T00:00:00"/>
    <x v="1"/>
    <s v="West"/>
    <s v="Mobile"/>
    <s v="Email"/>
    <s v="Basic"/>
    <n v="0"/>
    <n v="0"/>
    <n v="0"/>
    <n v="0"/>
    <n v="0"/>
    <n v="1"/>
    <n v="0"/>
    <m/>
    <n v="75.099999999999994"/>
  </r>
  <r>
    <s v="USR-101080"/>
    <d v="2025-05-10T00:00:00"/>
    <x v="1"/>
    <s v="South"/>
    <s v="Mobile"/>
    <s v="Organic"/>
    <s v="Basic"/>
    <n v="1"/>
    <n v="0"/>
    <n v="0"/>
    <n v="0"/>
    <n v="0"/>
    <n v="0"/>
    <n v="0"/>
    <m/>
    <n v="64.5"/>
  </r>
  <r>
    <s v="USR-101081"/>
    <d v="2025-03-28T00:00:00"/>
    <x v="1"/>
    <s v="East"/>
    <s v="Mobile"/>
    <s v="Organic"/>
    <s v="Free"/>
    <n v="1"/>
    <n v="0"/>
    <n v="0"/>
    <n v="0"/>
    <n v="0"/>
    <n v="0"/>
    <n v="0"/>
    <m/>
    <n v="54.2"/>
  </r>
  <r>
    <s v="USR-101082"/>
    <d v="2025-04-30T00:00:00"/>
    <x v="1"/>
    <s v="East"/>
    <s v="Mobile"/>
    <s v="Paid Search"/>
    <s v="Premium"/>
    <n v="1"/>
    <n v="1"/>
    <n v="1"/>
    <n v="0"/>
    <n v="0"/>
    <n v="0"/>
    <n v="0"/>
    <m/>
    <n v="84.1"/>
  </r>
  <r>
    <s v="USR-101083"/>
    <d v="2025-02-08T00:00:00"/>
    <x v="1"/>
    <s v="North"/>
    <s v="Mobile"/>
    <s v="Organic"/>
    <s v="Basic"/>
    <n v="0"/>
    <n v="0"/>
    <n v="0"/>
    <n v="0"/>
    <n v="0"/>
    <n v="1"/>
    <n v="0"/>
    <m/>
    <n v="49.1"/>
  </r>
  <r>
    <s v="USR-101084"/>
    <d v="2025-03-07T00:00:00"/>
    <x v="1"/>
    <s v="South"/>
    <s v="Mobile"/>
    <s v="Referral"/>
    <s v="Premium"/>
    <n v="0"/>
    <n v="0"/>
    <n v="0"/>
    <n v="0"/>
    <n v="0"/>
    <n v="0"/>
    <n v="0"/>
    <m/>
    <n v="92.7"/>
  </r>
  <r>
    <s v="USR-101085"/>
    <d v="2025-05-21T00:00:00"/>
    <x v="1"/>
    <s v="South"/>
    <s v="Mobile"/>
    <s v="Social"/>
    <s v="Basic"/>
    <n v="1"/>
    <n v="1"/>
    <n v="1"/>
    <n v="0"/>
    <n v="0"/>
    <n v="1"/>
    <n v="0"/>
    <m/>
    <n v="58.7"/>
  </r>
  <r>
    <s v="USR-101086"/>
    <d v="2025-04-12T00:00:00"/>
    <x v="1"/>
    <s v="South"/>
    <s v="Mobile"/>
    <s v="Social"/>
    <s v="Free"/>
    <n v="1"/>
    <n v="1"/>
    <n v="1"/>
    <n v="0"/>
    <n v="0"/>
    <n v="0"/>
    <n v="0"/>
    <m/>
    <n v="59.3"/>
  </r>
  <r>
    <s v="USR-101087"/>
    <d v="2025-02-02T00:00:00"/>
    <x v="1"/>
    <s v="South"/>
    <s v="Mobile"/>
    <s v="Paid Search"/>
    <s v="Free"/>
    <n v="1"/>
    <n v="0"/>
    <n v="0"/>
    <n v="0"/>
    <n v="0"/>
    <n v="0"/>
    <n v="0"/>
    <m/>
    <n v="62"/>
  </r>
  <r>
    <s v="USR-101088"/>
    <d v="2025-04-22T00:00:00"/>
    <x v="1"/>
    <s v="North"/>
    <s v="Tablet"/>
    <s v="Referral"/>
    <s v="Free"/>
    <n v="1"/>
    <n v="1"/>
    <n v="1"/>
    <n v="0"/>
    <n v="0"/>
    <n v="1"/>
    <n v="0"/>
    <m/>
    <n v="60.3"/>
  </r>
  <r>
    <s v="USR-101089"/>
    <d v="2025-02-08T00:00:00"/>
    <x v="1"/>
    <s v="North"/>
    <s v="Mobile"/>
    <s v="Social"/>
    <s v="Basic"/>
    <n v="1"/>
    <n v="0"/>
    <n v="0"/>
    <n v="0"/>
    <n v="0"/>
    <n v="0"/>
    <n v="0"/>
    <m/>
    <n v="70.5"/>
  </r>
  <r>
    <s v="USR-101090"/>
    <d v="2025-01-24T00:00:00"/>
    <x v="1"/>
    <s v="South"/>
    <s v="Desktop"/>
    <s v="Email"/>
    <s v="Free"/>
    <n v="1"/>
    <n v="0"/>
    <n v="0"/>
    <n v="0"/>
    <n v="0"/>
    <n v="0"/>
    <n v="0"/>
    <m/>
    <n v="36.799999999999997"/>
  </r>
  <r>
    <s v="USR-101091"/>
    <d v="2025-05-12T00:00:00"/>
    <x v="1"/>
    <s v="South"/>
    <s v="Mobile"/>
    <s v="Paid Search"/>
    <s v="Basic"/>
    <n v="0"/>
    <n v="0"/>
    <n v="0"/>
    <n v="0"/>
    <n v="0"/>
    <n v="1"/>
    <n v="0"/>
    <m/>
    <n v="73.2"/>
  </r>
  <r>
    <s v="USR-101092"/>
    <d v="2025-03-30T00:00:00"/>
    <x v="1"/>
    <s v="North"/>
    <s v="Mobile"/>
    <s v="Organic"/>
    <s v="Basic"/>
    <n v="0"/>
    <n v="0"/>
    <n v="0"/>
    <n v="0"/>
    <n v="0"/>
    <n v="0"/>
    <n v="0"/>
    <m/>
    <n v="70.099999999999994"/>
  </r>
  <r>
    <s v="USR-101093"/>
    <d v="2025-01-02T00:00:00"/>
    <x v="1"/>
    <s v="South"/>
    <s v="Desktop"/>
    <s v="Paid Search"/>
    <s v="Basic"/>
    <n v="1"/>
    <n v="0"/>
    <n v="0"/>
    <n v="0"/>
    <n v="0"/>
    <n v="0"/>
    <n v="0"/>
    <m/>
    <n v="76.400000000000006"/>
  </r>
  <r>
    <s v="USR-101094"/>
    <d v="2025-03-21T00:00:00"/>
    <x v="1"/>
    <s v="South"/>
    <s v="Tablet"/>
    <s v="Email"/>
    <s v="Basic"/>
    <n v="0"/>
    <n v="0"/>
    <n v="0"/>
    <n v="0"/>
    <n v="0"/>
    <n v="0"/>
    <n v="0"/>
    <m/>
    <n v="46.4"/>
  </r>
  <r>
    <s v="USR-101095"/>
    <d v="2025-01-25T00:00:00"/>
    <x v="1"/>
    <s v="West"/>
    <s v="Mobile"/>
    <s v="Organic"/>
    <s v="Free"/>
    <n v="1"/>
    <n v="1"/>
    <n v="1"/>
    <n v="0"/>
    <n v="0"/>
    <n v="1"/>
    <n v="0"/>
    <m/>
    <n v="81.3"/>
  </r>
  <r>
    <s v="USR-101096"/>
    <d v="2025-01-12T00:00:00"/>
    <x v="1"/>
    <s v="South"/>
    <s v="Tablet"/>
    <s v="Social"/>
    <s v="Free"/>
    <n v="1"/>
    <n v="1"/>
    <n v="1"/>
    <n v="0"/>
    <n v="0"/>
    <n v="0"/>
    <n v="0"/>
    <m/>
    <n v="55.3"/>
  </r>
  <r>
    <s v="USR-101097"/>
    <d v="2025-03-18T00:00:00"/>
    <x v="1"/>
    <s v="East"/>
    <s v="Desktop"/>
    <s v="Referral"/>
    <s v="Free"/>
    <n v="1"/>
    <n v="0"/>
    <n v="0"/>
    <n v="0"/>
    <n v="0"/>
    <n v="0"/>
    <n v="0"/>
    <m/>
    <n v="44.7"/>
  </r>
  <r>
    <s v="USR-101098"/>
    <d v="2025-03-26T00:00:00"/>
    <x v="1"/>
    <s v="East"/>
    <s v="Mobile"/>
    <s v="Paid Search"/>
    <s v="Basic"/>
    <n v="1"/>
    <n v="0"/>
    <n v="0"/>
    <n v="0"/>
    <n v="0"/>
    <n v="0"/>
    <n v="0"/>
    <m/>
    <n v="67.2"/>
  </r>
  <r>
    <s v="USR-101099"/>
    <d v="2025-04-19T00:00:00"/>
    <x v="1"/>
    <s v="North"/>
    <s v="Mobile"/>
    <s v="Paid Search"/>
    <s v="Basic"/>
    <n v="1"/>
    <n v="0"/>
    <n v="0"/>
    <n v="0"/>
    <n v="0"/>
    <n v="0"/>
    <n v="0"/>
    <m/>
    <n v="60.02"/>
  </r>
  <r>
    <s v="USR-101100"/>
    <d v="2025-04-17T00:00:00"/>
    <x v="1"/>
    <s v="East"/>
    <s v="Mobile"/>
    <s v="Organic"/>
    <s v="Premium"/>
    <n v="1"/>
    <n v="1"/>
    <n v="1"/>
    <n v="0"/>
    <n v="0"/>
    <n v="1"/>
    <n v="0"/>
    <m/>
    <n v="70.8"/>
  </r>
  <r>
    <s v="USR-101101"/>
    <d v="2025-05-26T00:00:00"/>
    <x v="1"/>
    <s v="South"/>
    <s v="Mobile"/>
    <s v="Paid Search"/>
    <s v="Free"/>
    <n v="1"/>
    <n v="0"/>
    <n v="0"/>
    <n v="0"/>
    <n v="0"/>
    <n v="0"/>
    <n v="0"/>
    <m/>
    <n v="71.3"/>
  </r>
  <r>
    <s v="USR-101102"/>
    <d v="2025-04-14T00:00:00"/>
    <x v="1"/>
    <s v="North"/>
    <s v="Mobile"/>
    <s v="Social"/>
    <s v="Premium"/>
    <n v="1"/>
    <n v="1"/>
    <n v="1"/>
    <n v="0"/>
    <n v="0"/>
    <n v="0"/>
    <n v="0"/>
    <m/>
    <n v="69.400000000000006"/>
  </r>
  <r>
    <s v="USR-101103"/>
    <d v="2025-01-23T00:00:00"/>
    <x v="1"/>
    <s v="South"/>
    <s v="Mobile"/>
    <s v="Organic"/>
    <s v="Basic"/>
    <n v="1"/>
    <n v="1"/>
    <n v="0"/>
    <n v="0"/>
    <n v="0"/>
    <n v="0"/>
    <n v="0"/>
    <m/>
    <n v="58.9"/>
  </r>
  <r>
    <s v="USR-101104"/>
    <d v="2025-01-06T00:00:00"/>
    <x v="1"/>
    <s v="East"/>
    <s v="Mobile"/>
    <s v="Referral"/>
    <s v="Free"/>
    <n v="0"/>
    <n v="0"/>
    <n v="0"/>
    <n v="0"/>
    <n v="0"/>
    <n v="0"/>
    <n v="0"/>
    <m/>
    <n v="70.7"/>
  </r>
  <r>
    <s v="USR-101105"/>
    <d v="2025-05-31T00:00:00"/>
    <x v="1"/>
    <s v="West"/>
    <s v="Mobile"/>
    <s v="Email"/>
    <s v="Basic"/>
    <n v="1"/>
    <n v="0"/>
    <n v="0"/>
    <n v="0"/>
    <n v="0"/>
    <n v="0"/>
    <n v="0"/>
    <m/>
    <n v="60.5"/>
  </r>
  <r>
    <s v="USR-101106"/>
    <d v="2025-05-19T00:00:00"/>
    <x v="1"/>
    <s v="North"/>
    <s v="Mobile"/>
    <s v="Organic"/>
    <s v="Basic"/>
    <n v="1"/>
    <n v="1"/>
    <n v="1"/>
    <n v="0"/>
    <n v="0"/>
    <n v="0"/>
    <n v="0"/>
    <m/>
    <n v="77.3"/>
  </r>
  <r>
    <s v="USR-101107"/>
    <d v="2025-02-25T00:00:00"/>
    <x v="1"/>
    <s v="North"/>
    <s v="Mobile"/>
    <s v="Organic"/>
    <s v="Free"/>
    <n v="0"/>
    <n v="0"/>
    <n v="0"/>
    <n v="0"/>
    <n v="0"/>
    <n v="1"/>
    <n v="0"/>
    <m/>
    <n v="39.5"/>
  </r>
  <r>
    <s v="USR-101108"/>
    <d v="2025-01-10T00:00:00"/>
    <x v="1"/>
    <s v="South"/>
    <s v="Tablet"/>
    <s v="Organic"/>
    <s v="Basic"/>
    <n v="1"/>
    <n v="0"/>
    <n v="0"/>
    <n v="0"/>
    <n v="0"/>
    <n v="0"/>
    <n v="0"/>
    <m/>
    <n v="68.099999999999994"/>
  </r>
  <r>
    <s v="USR-101109"/>
    <d v="2025-05-13T00:00:00"/>
    <x v="1"/>
    <s v="North"/>
    <s v="Tablet"/>
    <s v="Paid Search"/>
    <s v="Free"/>
    <n v="0"/>
    <n v="0"/>
    <n v="0"/>
    <n v="0"/>
    <n v="0"/>
    <n v="0"/>
    <n v="0"/>
    <m/>
    <n v="80.3"/>
  </r>
  <r>
    <s v="USR-101110"/>
    <d v="2025-04-27T00:00:00"/>
    <x v="1"/>
    <s v="West"/>
    <s v="Desktop"/>
    <s v="Organic"/>
    <s v="Premium"/>
    <n v="1"/>
    <n v="0"/>
    <n v="0"/>
    <n v="0"/>
    <n v="0"/>
    <n v="0"/>
    <n v="0"/>
    <m/>
    <n v="77.7"/>
  </r>
  <r>
    <s v="USR-101111"/>
    <d v="2025-04-03T00:00:00"/>
    <x v="1"/>
    <s v="South"/>
    <s v="Mobile"/>
    <s v="Organic"/>
    <s v="Free"/>
    <n v="1"/>
    <n v="0"/>
    <n v="0"/>
    <n v="0"/>
    <n v="0"/>
    <n v="1"/>
    <n v="0"/>
    <m/>
    <n v="66.2"/>
  </r>
  <r>
    <s v="USR-101112"/>
    <d v="2025-03-26T00:00:00"/>
    <x v="1"/>
    <s v="South"/>
    <s v="Mobile"/>
    <s v="Organic"/>
    <s v="Free"/>
    <n v="1"/>
    <n v="1"/>
    <n v="1"/>
    <n v="0"/>
    <n v="0"/>
    <n v="1"/>
    <n v="0"/>
    <m/>
    <n v="43.9"/>
  </r>
  <r>
    <s v="USR-101113"/>
    <d v="2025-01-31T00:00:00"/>
    <x v="1"/>
    <s v="South"/>
    <s v="Mobile"/>
    <s v="Organic"/>
    <s v="Basic"/>
    <n v="1"/>
    <n v="1"/>
    <n v="1"/>
    <n v="0"/>
    <n v="0"/>
    <n v="2"/>
    <n v="0"/>
    <m/>
    <n v="59.1"/>
  </r>
  <r>
    <s v="USR-101114"/>
    <d v="2025-01-25T00:00:00"/>
    <x v="1"/>
    <s v="South"/>
    <s v="Mobile"/>
    <s v="Social"/>
    <s v="Free"/>
    <n v="1"/>
    <n v="1"/>
    <n v="1"/>
    <n v="1"/>
    <n v="416.94"/>
    <n v="1"/>
    <n v="0"/>
    <n v="11"/>
    <n v="67"/>
  </r>
  <r>
    <s v="USR-101115"/>
    <d v="2025-02-06T00:00:00"/>
    <x v="1"/>
    <s v="West"/>
    <s v="Mobile"/>
    <s v="Referral"/>
    <s v="Basic"/>
    <n v="1"/>
    <n v="0"/>
    <n v="0"/>
    <n v="0"/>
    <n v="0"/>
    <n v="0"/>
    <n v="0"/>
    <m/>
    <n v="47.9"/>
  </r>
  <r>
    <s v="USR-101116"/>
    <d v="2025-03-10T00:00:00"/>
    <x v="1"/>
    <s v="East"/>
    <s v="Mobile"/>
    <s v="Paid Search"/>
    <s v="Free"/>
    <n v="1"/>
    <n v="1"/>
    <n v="0"/>
    <n v="0"/>
    <n v="0"/>
    <n v="0"/>
    <n v="0"/>
    <m/>
    <n v="41.5"/>
  </r>
  <r>
    <s v="USR-101117"/>
    <d v="2025-01-26T00:00:00"/>
    <x v="1"/>
    <s v="West"/>
    <s v="Mobile"/>
    <s v="Organic"/>
    <s v="Basic"/>
    <n v="1"/>
    <n v="1"/>
    <n v="1"/>
    <n v="0"/>
    <n v="0"/>
    <n v="3"/>
    <n v="0"/>
    <m/>
    <n v="30.6"/>
  </r>
  <r>
    <s v="USR-101118"/>
    <d v="2025-01-01T00:00:00"/>
    <x v="1"/>
    <s v="East"/>
    <s v="Mobile"/>
    <s v="Paid Search"/>
    <s v="Free"/>
    <n v="1"/>
    <n v="1"/>
    <n v="0"/>
    <n v="0"/>
    <n v="0"/>
    <n v="0"/>
    <n v="0"/>
    <m/>
    <n v="91.5"/>
  </r>
  <r>
    <s v="USR-101119"/>
    <d v="2025-04-28T00:00:00"/>
    <x v="1"/>
    <s v="North"/>
    <s v="Desktop"/>
    <s v="Social"/>
    <s v="Basic"/>
    <n v="1"/>
    <n v="0"/>
    <n v="0"/>
    <n v="0"/>
    <n v="0"/>
    <n v="0"/>
    <n v="0"/>
    <m/>
    <n v="80.8"/>
  </r>
  <r>
    <s v="USR-101120"/>
    <d v="2025-04-04T00:00:00"/>
    <x v="1"/>
    <s v="North"/>
    <s v="Mobile"/>
    <s v="Organic"/>
    <s v="Premium"/>
    <n v="1"/>
    <n v="0"/>
    <n v="0"/>
    <n v="0"/>
    <n v="0"/>
    <n v="0"/>
    <n v="0"/>
    <m/>
    <n v="68.099999999999994"/>
  </r>
  <r>
    <s v="USR-101121"/>
    <d v="2025-03-02T00:00:00"/>
    <x v="1"/>
    <s v="East"/>
    <s v="Mobile"/>
    <s v="Paid Search"/>
    <s v="Free"/>
    <n v="1"/>
    <n v="0"/>
    <n v="0"/>
    <n v="0"/>
    <n v="0"/>
    <n v="0"/>
    <n v="0"/>
    <m/>
    <n v="80.3"/>
  </r>
  <r>
    <s v="USR-101122"/>
    <d v="2025-03-19T00:00:00"/>
    <x v="1"/>
    <s v="South"/>
    <s v="Tablet"/>
    <s v="Organic"/>
    <s v="Basic"/>
    <n v="1"/>
    <n v="0"/>
    <n v="0"/>
    <n v="0"/>
    <n v="0"/>
    <n v="0"/>
    <n v="0"/>
    <m/>
    <n v="44.4"/>
  </r>
  <r>
    <s v="USR-101123"/>
    <d v="2025-01-20T00:00:00"/>
    <x v="1"/>
    <s v="South"/>
    <s v="Desktop"/>
    <s v="Organic"/>
    <s v="Basic"/>
    <n v="0"/>
    <n v="0"/>
    <n v="0"/>
    <n v="0"/>
    <n v="0"/>
    <n v="0"/>
    <n v="0"/>
    <m/>
    <n v="51.9"/>
  </r>
  <r>
    <s v="USR-101124"/>
    <d v="2025-04-03T00:00:00"/>
    <x v="1"/>
    <s v="East"/>
    <s v="Mobile"/>
    <s v="Paid Search"/>
    <s v="Free"/>
    <n v="1"/>
    <n v="1"/>
    <n v="0"/>
    <n v="0"/>
    <n v="0"/>
    <n v="0"/>
    <n v="0"/>
    <m/>
    <n v="49.8"/>
  </r>
  <r>
    <s v="USR-101125"/>
    <d v="2025-01-11T00:00:00"/>
    <x v="1"/>
    <s v="East"/>
    <s v="Desktop"/>
    <s v="Social"/>
    <s v="Free"/>
    <n v="1"/>
    <n v="1"/>
    <n v="1"/>
    <n v="0"/>
    <n v="0"/>
    <n v="3"/>
    <n v="0"/>
    <m/>
    <n v="62.1"/>
  </r>
  <r>
    <s v="USR-101126"/>
    <d v="2025-02-02T00:00:00"/>
    <x v="1"/>
    <s v="West"/>
    <s v="Desktop"/>
    <s v="Social"/>
    <s v="Basic"/>
    <n v="1"/>
    <n v="0"/>
    <n v="0"/>
    <n v="0"/>
    <n v="0"/>
    <n v="0"/>
    <n v="0"/>
    <m/>
    <n v="91.3"/>
  </r>
  <r>
    <s v="USR-101127"/>
    <d v="2025-04-01T00:00:00"/>
    <x v="1"/>
    <s v="South"/>
    <s v="Mobile"/>
    <s v="Organic"/>
    <s v="Basic"/>
    <n v="1"/>
    <n v="0"/>
    <n v="0"/>
    <n v="0"/>
    <n v="0"/>
    <n v="0"/>
    <n v="0"/>
    <m/>
    <n v="66.400000000000006"/>
  </r>
  <r>
    <s v="USR-101128"/>
    <d v="2025-05-22T00:00:00"/>
    <x v="1"/>
    <s v="East"/>
    <s v="Mobile"/>
    <s v="Organic"/>
    <s v="Basic"/>
    <n v="1"/>
    <n v="0"/>
    <n v="0"/>
    <n v="0"/>
    <n v="0"/>
    <n v="0"/>
    <n v="0"/>
    <m/>
    <n v="41.5"/>
  </r>
  <r>
    <s v="USR-101129"/>
    <d v="2025-02-20T00:00:00"/>
    <x v="1"/>
    <s v="West"/>
    <s v="Mobile"/>
    <s v="Organic"/>
    <s v="Basic"/>
    <n v="0"/>
    <n v="0"/>
    <n v="0"/>
    <n v="0"/>
    <n v="0"/>
    <n v="0"/>
    <n v="0"/>
    <m/>
    <n v="77.099999999999994"/>
  </r>
  <r>
    <s v="USR-101130"/>
    <d v="2025-03-21T00:00:00"/>
    <x v="1"/>
    <s v="West"/>
    <s v="Mobile"/>
    <s v="Organic"/>
    <s v="Free"/>
    <n v="1"/>
    <n v="0"/>
    <n v="0"/>
    <n v="0"/>
    <n v="0"/>
    <n v="0"/>
    <n v="0"/>
    <m/>
    <n v="63.2"/>
  </r>
  <r>
    <s v="USR-101131"/>
    <d v="2025-05-01T00:00:00"/>
    <x v="1"/>
    <s v="West"/>
    <s v="Desktop"/>
    <s v="Referral"/>
    <s v="Free"/>
    <n v="1"/>
    <n v="1"/>
    <n v="1"/>
    <n v="0"/>
    <n v="0"/>
    <n v="3"/>
    <n v="0"/>
    <m/>
    <n v="75.7"/>
  </r>
  <r>
    <s v="USR-101132"/>
    <d v="2025-01-06T00:00:00"/>
    <x v="1"/>
    <s v="West"/>
    <s v="Mobile"/>
    <s v="Paid Search"/>
    <s v="Basic"/>
    <n v="0"/>
    <n v="0"/>
    <n v="0"/>
    <n v="0"/>
    <n v="0"/>
    <n v="0"/>
    <n v="0"/>
    <m/>
    <n v="62.9"/>
  </r>
  <r>
    <s v="USR-101133"/>
    <d v="2025-04-12T00:00:00"/>
    <x v="1"/>
    <s v="North"/>
    <s v="Desktop"/>
    <s v="Paid Search"/>
    <s v="Premium"/>
    <n v="1"/>
    <n v="0"/>
    <n v="0"/>
    <n v="0"/>
    <n v="0"/>
    <n v="3"/>
    <n v="0"/>
    <m/>
    <n v="64.599999999999994"/>
  </r>
  <r>
    <s v="USR-101134"/>
    <d v="2025-04-18T00:00:00"/>
    <x v="1"/>
    <s v="North"/>
    <s v="Mobile"/>
    <s v="UNKNOWN"/>
    <s v="Basic"/>
    <n v="1"/>
    <n v="0"/>
    <n v="0"/>
    <n v="0"/>
    <n v="0"/>
    <n v="0"/>
    <n v="0"/>
    <m/>
    <n v="76.599999999999994"/>
  </r>
  <r>
    <s v="USR-101135"/>
    <d v="2025-03-24T00:00:00"/>
    <x v="1"/>
    <s v="East"/>
    <s v="Mobile"/>
    <s v="Social"/>
    <s v="Basic"/>
    <n v="1"/>
    <n v="0"/>
    <n v="0"/>
    <n v="0"/>
    <n v="0"/>
    <n v="0"/>
    <n v="0"/>
    <m/>
    <n v="74.8"/>
  </r>
  <r>
    <s v="USR-101136"/>
    <d v="2025-03-18T00:00:00"/>
    <x v="1"/>
    <s v="East"/>
    <s v="Desktop"/>
    <s v="Email"/>
    <s v="Premium"/>
    <n v="1"/>
    <n v="0"/>
    <n v="0"/>
    <n v="0"/>
    <n v="0"/>
    <n v="2"/>
    <n v="0"/>
    <m/>
    <n v="38.1"/>
  </r>
  <r>
    <s v="USR-101137"/>
    <d v="2025-04-30T00:00:00"/>
    <x v="1"/>
    <s v="South"/>
    <s v="Tablet"/>
    <s v="Paid Search"/>
    <s v="Basic"/>
    <n v="1"/>
    <n v="1"/>
    <n v="0"/>
    <n v="0"/>
    <n v="0"/>
    <n v="0"/>
    <n v="0"/>
    <m/>
    <n v="60.2"/>
  </r>
  <r>
    <s v="USR-101138"/>
    <d v="2025-01-25T00:00:00"/>
    <x v="1"/>
    <s v="West"/>
    <s v="Mobile"/>
    <s v="Email"/>
    <s v="Free"/>
    <n v="1"/>
    <n v="1"/>
    <n v="0"/>
    <n v="0"/>
    <n v="0"/>
    <n v="0"/>
    <n v="0"/>
    <m/>
    <n v="73.5"/>
  </r>
  <r>
    <s v="USR-101139"/>
    <d v="2025-04-10T00:00:00"/>
    <x v="1"/>
    <s v="South"/>
    <s v="Mobile"/>
    <s v="Organic"/>
    <s v="Free"/>
    <n v="1"/>
    <n v="0"/>
    <n v="0"/>
    <n v="0"/>
    <n v="0"/>
    <n v="0"/>
    <n v="0"/>
    <m/>
    <n v="70.900000000000006"/>
  </r>
  <r>
    <s v="USR-101140"/>
    <d v="2025-01-10T00:00:00"/>
    <x v="1"/>
    <s v="West"/>
    <s v="Mobile"/>
    <s v="Social"/>
    <s v="Free"/>
    <n v="1"/>
    <n v="0"/>
    <n v="0"/>
    <n v="0"/>
    <n v="0"/>
    <n v="0"/>
    <n v="0"/>
    <m/>
    <n v="63.7"/>
  </r>
  <r>
    <s v="USR-101141"/>
    <d v="2025-02-11T00:00:00"/>
    <x v="1"/>
    <s v="South"/>
    <s v="Mobile"/>
    <s v="Paid Search"/>
    <s v="Free"/>
    <n v="1"/>
    <n v="0"/>
    <n v="0"/>
    <n v="0"/>
    <n v="0"/>
    <n v="0"/>
    <n v="0"/>
    <m/>
    <n v="86.5"/>
  </r>
  <r>
    <s v="USR-101142"/>
    <d v="2025-05-01T00:00:00"/>
    <x v="1"/>
    <s v="East"/>
    <s v="Mobile"/>
    <s v="Social"/>
    <s v="Basic"/>
    <n v="1"/>
    <n v="1"/>
    <n v="1"/>
    <n v="1"/>
    <n v="921.72"/>
    <n v="3"/>
    <n v="0"/>
    <n v="7"/>
    <n v="74.599999999999994"/>
  </r>
  <r>
    <s v="USR-101143"/>
    <d v="2025-01-18T00:00:00"/>
    <x v="1"/>
    <s v="East"/>
    <s v="Mobile"/>
    <s v="Organic"/>
    <s v="Free"/>
    <n v="1"/>
    <n v="0"/>
    <n v="0"/>
    <n v="0"/>
    <n v="0"/>
    <n v="0"/>
    <n v="0"/>
    <m/>
    <n v="46.6"/>
  </r>
  <r>
    <s v="USR-101144"/>
    <d v="2025-01-02T00:00:00"/>
    <x v="1"/>
    <s v="North"/>
    <s v="Mobile"/>
    <s v="Paid Search"/>
    <s v="Free"/>
    <n v="0"/>
    <n v="0"/>
    <n v="0"/>
    <n v="0"/>
    <n v="0"/>
    <n v="0"/>
    <n v="0"/>
    <m/>
    <n v="61.2"/>
  </r>
  <r>
    <s v="USR-101145"/>
    <d v="2025-05-11T00:00:00"/>
    <x v="1"/>
    <s v="West"/>
    <s v="Mobile"/>
    <s v="Organic"/>
    <s v="Free"/>
    <n v="1"/>
    <n v="1"/>
    <n v="1"/>
    <n v="1"/>
    <n v="290.39"/>
    <n v="0"/>
    <n v="0"/>
    <n v="4"/>
    <n v="54.4"/>
  </r>
  <r>
    <s v="USR-101146"/>
    <d v="2025-03-22T00:00:00"/>
    <x v="1"/>
    <s v="North"/>
    <s v="Mobile"/>
    <s v="Referral"/>
    <s v="Free"/>
    <n v="1"/>
    <n v="1"/>
    <n v="1"/>
    <n v="0"/>
    <n v="0"/>
    <n v="0"/>
    <n v="0"/>
    <m/>
    <n v="72"/>
  </r>
  <r>
    <s v="USR-101147"/>
    <d v="2025-05-02T00:00:00"/>
    <x v="1"/>
    <s v="South"/>
    <s v="Mobile"/>
    <s v="Social"/>
    <s v="Premium"/>
    <n v="1"/>
    <n v="1"/>
    <n v="1"/>
    <n v="1"/>
    <n v="1858.85"/>
    <n v="0"/>
    <n v="0"/>
    <n v="8"/>
    <n v="88.6"/>
  </r>
  <r>
    <s v="USR-101148"/>
    <d v="2025-05-26T00:00:00"/>
    <x v="1"/>
    <s v="East"/>
    <s v="Desktop"/>
    <s v="UNKNOWN"/>
    <s v="Basic"/>
    <n v="1"/>
    <n v="0"/>
    <n v="0"/>
    <n v="0"/>
    <n v="0"/>
    <n v="0"/>
    <n v="0"/>
    <m/>
    <n v="77.599999999999994"/>
  </r>
  <r>
    <s v="USR-101149"/>
    <d v="2025-03-13T00:00:00"/>
    <x v="1"/>
    <s v="South"/>
    <s v="Mobile"/>
    <s v="Organic"/>
    <s v="Basic"/>
    <n v="1"/>
    <n v="0"/>
    <n v="0"/>
    <n v="0"/>
    <n v="0"/>
    <n v="1"/>
    <n v="0"/>
    <m/>
    <n v="44.3"/>
  </r>
  <r>
    <s v="USR-101150"/>
    <d v="2025-05-17T00:00:00"/>
    <x v="1"/>
    <s v="South"/>
    <s v="Desktop"/>
    <s v="Paid Search"/>
    <s v="Free"/>
    <n v="1"/>
    <n v="1"/>
    <n v="0"/>
    <n v="0"/>
    <n v="0"/>
    <n v="0"/>
    <n v="0"/>
    <m/>
    <n v="49"/>
  </r>
  <r>
    <s v="USR-101151"/>
    <d v="2025-03-13T00:00:00"/>
    <x v="1"/>
    <s v="North"/>
    <s v="Desktop"/>
    <s v="Referral"/>
    <s v="Premium"/>
    <n v="1"/>
    <n v="0"/>
    <n v="0"/>
    <n v="0"/>
    <n v="0"/>
    <n v="0"/>
    <n v="0"/>
    <m/>
    <n v="53.9"/>
  </r>
  <r>
    <s v="USR-101152"/>
    <d v="2025-02-11T00:00:00"/>
    <x v="1"/>
    <s v="East"/>
    <s v="Desktop"/>
    <s v="Organic"/>
    <s v="Basic"/>
    <n v="1"/>
    <n v="0"/>
    <n v="0"/>
    <n v="0"/>
    <n v="0"/>
    <n v="1"/>
    <n v="0"/>
    <m/>
    <n v="69"/>
  </r>
  <r>
    <s v="USR-101153"/>
    <d v="2025-03-01T00:00:00"/>
    <x v="1"/>
    <s v="West"/>
    <s v="Mobile"/>
    <s v="Social"/>
    <s v="Free"/>
    <n v="0"/>
    <n v="0"/>
    <n v="0"/>
    <n v="0"/>
    <n v="0"/>
    <n v="0"/>
    <n v="0"/>
    <m/>
    <n v="37.4"/>
  </r>
  <r>
    <s v="USR-101154"/>
    <d v="2025-04-15T00:00:00"/>
    <x v="1"/>
    <s v="West"/>
    <s v="Mobile"/>
    <s v="Organic"/>
    <s v="Basic"/>
    <n v="0"/>
    <n v="0"/>
    <n v="0"/>
    <n v="0"/>
    <n v="0"/>
    <n v="0"/>
    <n v="0"/>
    <m/>
    <n v="59"/>
  </r>
  <r>
    <s v="USR-101155"/>
    <d v="2025-02-02T00:00:00"/>
    <x v="1"/>
    <s v="East"/>
    <s v="Mobile"/>
    <s v="Organic"/>
    <s v="Premium"/>
    <n v="1"/>
    <n v="0"/>
    <n v="0"/>
    <n v="0"/>
    <n v="0"/>
    <n v="0"/>
    <n v="0"/>
    <m/>
    <n v="60.8"/>
  </r>
  <r>
    <s v="USR-101156"/>
    <d v="2025-05-19T00:00:00"/>
    <x v="1"/>
    <s v="South"/>
    <s v="Mobile"/>
    <s v="Email"/>
    <s v="Free"/>
    <n v="1"/>
    <n v="0"/>
    <n v="0"/>
    <n v="0"/>
    <n v="0"/>
    <n v="0"/>
    <n v="0"/>
    <m/>
    <n v="57.5"/>
  </r>
  <r>
    <s v="USR-101157"/>
    <d v="2025-01-05T00:00:00"/>
    <x v="1"/>
    <s v="West"/>
    <s v="Mobile"/>
    <s v="Referral"/>
    <s v="Free"/>
    <n v="0"/>
    <n v="0"/>
    <n v="0"/>
    <n v="0"/>
    <n v="0"/>
    <n v="0"/>
    <n v="0"/>
    <m/>
    <n v="84.2"/>
  </r>
  <r>
    <s v="USR-101158"/>
    <d v="2025-03-08T00:00:00"/>
    <x v="1"/>
    <s v="South"/>
    <s v="Mobile"/>
    <s v="Paid Search"/>
    <s v="Free"/>
    <n v="1"/>
    <n v="1"/>
    <n v="0"/>
    <n v="0"/>
    <n v="0"/>
    <n v="0"/>
    <n v="0"/>
    <m/>
    <n v="27.4"/>
  </r>
  <r>
    <s v="USR-101159"/>
    <d v="2025-03-12T00:00:00"/>
    <x v="1"/>
    <s v="West"/>
    <s v="Mobile"/>
    <s v="Email"/>
    <s v="Basic"/>
    <n v="1"/>
    <n v="0"/>
    <n v="0"/>
    <n v="0"/>
    <n v="0"/>
    <n v="1"/>
    <n v="0"/>
    <m/>
    <n v="67.599999999999994"/>
  </r>
  <r>
    <s v="USR-101160"/>
    <d v="2025-01-24T00:00:00"/>
    <x v="1"/>
    <s v="West"/>
    <s v="Mobile"/>
    <s v="Organic"/>
    <s v="Free"/>
    <n v="0"/>
    <n v="0"/>
    <n v="0"/>
    <n v="0"/>
    <n v="0"/>
    <n v="0"/>
    <n v="0"/>
    <m/>
    <n v="68.400000000000006"/>
  </r>
  <r>
    <s v="USR-101161"/>
    <d v="2025-05-22T00:00:00"/>
    <x v="1"/>
    <s v="South"/>
    <s v="Mobile"/>
    <s v="Paid Search"/>
    <s v="Basic"/>
    <n v="1"/>
    <n v="1"/>
    <n v="1"/>
    <n v="0"/>
    <n v="0"/>
    <n v="0"/>
    <n v="0"/>
    <m/>
    <n v="66.5"/>
  </r>
  <r>
    <s v="USR-101162"/>
    <d v="2025-03-27T00:00:00"/>
    <x v="1"/>
    <s v="South"/>
    <s v="Mobile"/>
    <s v="Paid Search"/>
    <s v="Free"/>
    <n v="1"/>
    <n v="0"/>
    <n v="0"/>
    <n v="0"/>
    <n v="0"/>
    <n v="0"/>
    <n v="0"/>
    <m/>
    <n v="38.200000000000003"/>
  </r>
  <r>
    <s v="USR-101163"/>
    <d v="2025-01-02T00:00:00"/>
    <x v="1"/>
    <s v="West"/>
    <s v="Mobile"/>
    <s v="Social"/>
    <s v="Free"/>
    <n v="0"/>
    <n v="0"/>
    <n v="0"/>
    <n v="0"/>
    <n v="0"/>
    <n v="1"/>
    <n v="0"/>
    <m/>
    <n v="66.7"/>
  </r>
  <r>
    <s v="USR-101164"/>
    <d v="2025-02-24T00:00:00"/>
    <x v="1"/>
    <s v="North"/>
    <s v="Mobile"/>
    <s v="Paid Search"/>
    <s v="Free"/>
    <n v="0"/>
    <n v="0"/>
    <n v="0"/>
    <n v="0"/>
    <n v="0"/>
    <n v="1"/>
    <n v="0"/>
    <m/>
    <n v="73.7"/>
  </r>
  <r>
    <s v="USR-101165"/>
    <d v="2025-03-01T00:00:00"/>
    <x v="1"/>
    <s v="West"/>
    <s v="Desktop"/>
    <s v="Organic"/>
    <s v="Basic"/>
    <n v="1"/>
    <n v="1"/>
    <n v="1"/>
    <n v="0"/>
    <n v="0"/>
    <n v="0"/>
    <n v="0"/>
    <m/>
    <n v="63.9"/>
  </r>
  <r>
    <s v="USR-101166"/>
    <d v="2025-03-26T00:00:00"/>
    <x v="1"/>
    <s v="South"/>
    <s v="Tablet"/>
    <s v="Organic"/>
    <s v="Basic"/>
    <n v="1"/>
    <n v="0"/>
    <n v="0"/>
    <n v="0"/>
    <n v="0"/>
    <n v="1"/>
    <n v="0"/>
    <m/>
    <n v="82.6"/>
  </r>
  <r>
    <s v="USR-101167"/>
    <d v="2025-05-25T00:00:00"/>
    <x v="1"/>
    <s v="East"/>
    <s v="Mobile"/>
    <s v="Paid Search"/>
    <s v="Free"/>
    <n v="0"/>
    <n v="0"/>
    <n v="0"/>
    <n v="0"/>
    <n v="0"/>
    <n v="1"/>
    <n v="0"/>
    <m/>
    <n v="58.3"/>
  </r>
  <r>
    <s v="USR-101168"/>
    <d v="2025-02-25T00:00:00"/>
    <x v="1"/>
    <s v="West"/>
    <s v="Mobile"/>
    <s v="Referral"/>
    <s v="Premium"/>
    <n v="1"/>
    <n v="1"/>
    <n v="1"/>
    <n v="1"/>
    <n v="1547.06"/>
    <n v="0"/>
    <n v="1"/>
    <n v="2"/>
    <n v="72.900000000000006"/>
  </r>
  <r>
    <s v="USR-101169"/>
    <d v="2025-03-23T00:00:00"/>
    <x v="1"/>
    <s v="South"/>
    <s v="Mobile"/>
    <s v="Social"/>
    <s v="Free"/>
    <n v="1"/>
    <n v="1"/>
    <n v="1"/>
    <n v="0"/>
    <n v="0"/>
    <n v="2"/>
    <n v="0"/>
    <m/>
    <n v="53.5"/>
  </r>
  <r>
    <s v="USR-101170"/>
    <d v="2025-04-21T00:00:00"/>
    <x v="1"/>
    <s v="West"/>
    <s v="Mobile"/>
    <s v="Referral"/>
    <s v="Free"/>
    <n v="1"/>
    <n v="0"/>
    <n v="0"/>
    <n v="0"/>
    <n v="0"/>
    <n v="0"/>
    <n v="0"/>
    <m/>
    <n v="54.8"/>
  </r>
  <r>
    <s v="USR-101171"/>
    <d v="2025-05-21T00:00:00"/>
    <x v="1"/>
    <s v="North"/>
    <s v="Mobile"/>
    <s v="Organic"/>
    <s v="Premium"/>
    <n v="1"/>
    <n v="0"/>
    <n v="0"/>
    <n v="0"/>
    <n v="0"/>
    <n v="0"/>
    <n v="0"/>
    <m/>
    <n v="69.5"/>
  </r>
  <r>
    <s v="USR-101172"/>
    <d v="2025-04-25T00:00:00"/>
    <x v="1"/>
    <s v="North"/>
    <s v="Desktop"/>
    <s v="Social"/>
    <s v="Free"/>
    <n v="1"/>
    <n v="0"/>
    <n v="0"/>
    <n v="0"/>
    <n v="0"/>
    <n v="1"/>
    <n v="0"/>
    <m/>
    <n v="71.3"/>
  </r>
  <r>
    <s v="USR-101173"/>
    <d v="2025-05-23T00:00:00"/>
    <x v="1"/>
    <s v="West"/>
    <s v="Mobile"/>
    <s v="Referral"/>
    <s v="Basic"/>
    <n v="1"/>
    <n v="0"/>
    <n v="0"/>
    <n v="0"/>
    <n v="0"/>
    <n v="1"/>
    <n v="0"/>
    <m/>
    <n v="57.5"/>
  </r>
  <r>
    <s v="USR-101174"/>
    <d v="2025-03-18T00:00:00"/>
    <x v="1"/>
    <s v="South"/>
    <s v="Mobile"/>
    <s v="Email"/>
    <s v="Free"/>
    <n v="1"/>
    <n v="0"/>
    <n v="0"/>
    <n v="0"/>
    <n v="0"/>
    <n v="4"/>
    <n v="0"/>
    <m/>
    <n v="50.9"/>
  </r>
  <r>
    <s v="USR-101175"/>
    <d v="2025-01-03T00:00:00"/>
    <x v="1"/>
    <s v="South"/>
    <s v="Tablet"/>
    <s v="Organic"/>
    <s v="Free"/>
    <n v="1"/>
    <n v="1"/>
    <n v="1"/>
    <n v="0"/>
    <n v="0"/>
    <n v="0"/>
    <n v="0"/>
    <m/>
    <n v="69.3"/>
  </r>
  <r>
    <s v="USR-101176"/>
    <d v="2025-02-08T00:00:00"/>
    <x v="1"/>
    <s v="West"/>
    <s v="Desktop"/>
    <s v="Organic"/>
    <s v="Free"/>
    <n v="1"/>
    <n v="0"/>
    <n v="0"/>
    <n v="0"/>
    <n v="0"/>
    <n v="0"/>
    <n v="0"/>
    <m/>
    <n v="50.1"/>
  </r>
  <r>
    <s v="USR-101177"/>
    <d v="2025-02-04T00:00:00"/>
    <x v="1"/>
    <s v="East"/>
    <s v="UNKNOWN"/>
    <s v="Paid Search"/>
    <s v="Basic"/>
    <n v="0"/>
    <n v="0"/>
    <n v="0"/>
    <n v="0"/>
    <n v="0"/>
    <n v="0"/>
    <n v="0"/>
    <m/>
    <n v="69.7"/>
  </r>
  <r>
    <s v="USR-101178"/>
    <d v="2025-01-16T00:00:00"/>
    <x v="1"/>
    <s v="North"/>
    <s v="Mobile"/>
    <s v="Paid Search"/>
    <s v="Free"/>
    <n v="0"/>
    <n v="0"/>
    <n v="0"/>
    <n v="0"/>
    <n v="0"/>
    <n v="0"/>
    <n v="0"/>
    <m/>
    <n v="63.5"/>
  </r>
  <r>
    <s v="USR-101179"/>
    <d v="2025-04-04T00:00:00"/>
    <x v="1"/>
    <s v="West"/>
    <s v="Desktop"/>
    <s v="Paid Search"/>
    <s v="Free"/>
    <n v="1"/>
    <n v="1"/>
    <n v="1"/>
    <n v="1"/>
    <n v="265.58999999999997"/>
    <n v="1"/>
    <n v="0"/>
    <n v="8"/>
    <n v="80.400000000000006"/>
  </r>
  <r>
    <s v="USR-101180"/>
    <d v="2025-01-23T00:00:00"/>
    <x v="1"/>
    <s v="North"/>
    <s v="Desktop"/>
    <s v="Paid Search"/>
    <s v="Free"/>
    <n v="0"/>
    <n v="0"/>
    <n v="0"/>
    <n v="0"/>
    <n v="0"/>
    <n v="0"/>
    <n v="0"/>
    <m/>
    <n v="58.9"/>
  </r>
  <r>
    <s v="USR-101181"/>
    <d v="2025-03-22T00:00:00"/>
    <x v="1"/>
    <s v="South"/>
    <s v="Desktop"/>
    <s v="Paid Search"/>
    <s v="Free"/>
    <n v="1"/>
    <n v="0"/>
    <n v="0"/>
    <n v="0"/>
    <n v="0"/>
    <n v="0"/>
    <n v="0"/>
    <m/>
    <n v="56.8"/>
  </r>
  <r>
    <s v="USR-101182"/>
    <d v="2025-02-02T00:00:00"/>
    <x v="1"/>
    <s v="East"/>
    <s v="Tablet"/>
    <s v="Social"/>
    <s v="Premium"/>
    <n v="0"/>
    <n v="0"/>
    <n v="0"/>
    <n v="0"/>
    <n v="0"/>
    <n v="0"/>
    <n v="0"/>
    <m/>
    <n v="73.900000000000006"/>
  </r>
  <r>
    <s v="USR-101183"/>
    <d v="2025-01-31T00:00:00"/>
    <x v="1"/>
    <s v="North"/>
    <s v="Desktop"/>
    <s v="Paid Search"/>
    <s v="Free"/>
    <n v="0"/>
    <n v="0"/>
    <n v="0"/>
    <n v="0"/>
    <n v="0"/>
    <n v="0"/>
    <n v="0"/>
    <m/>
    <n v="76.3"/>
  </r>
  <r>
    <s v="USR-101184"/>
    <d v="2025-05-27T00:00:00"/>
    <x v="1"/>
    <s v="West"/>
    <s v="Mobile"/>
    <s v="Organic"/>
    <s v="Basic"/>
    <n v="1"/>
    <n v="0"/>
    <n v="0"/>
    <n v="0"/>
    <n v="0"/>
    <n v="0"/>
    <n v="0"/>
    <m/>
    <n v="56.9"/>
  </r>
  <r>
    <s v="USR-101185"/>
    <d v="2025-05-07T00:00:00"/>
    <x v="1"/>
    <s v="North"/>
    <s v="Mobile"/>
    <s v="Organic"/>
    <s v="Premium"/>
    <n v="1"/>
    <n v="0"/>
    <n v="0"/>
    <n v="0"/>
    <n v="0"/>
    <n v="2"/>
    <n v="0"/>
    <m/>
    <n v="49.4"/>
  </r>
  <r>
    <s v="USR-101186"/>
    <d v="2025-05-08T00:00:00"/>
    <x v="1"/>
    <s v="North"/>
    <s v="Desktop"/>
    <s v="Paid Search"/>
    <s v="Basic"/>
    <n v="1"/>
    <n v="0"/>
    <n v="0"/>
    <n v="0"/>
    <n v="0"/>
    <n v="0"/>
    <n v="0"/>
    <m/>
    <n v="86.7"/>
  </r>
  <r>
    <s v="USR-101187"/>
    <d v="2025-01-15T00:00:00"/>
    <x v="1"/>
    <s v="West"/>
    <s v="Desktop"/>
    <s v="Email"/>
    <s v="Free"/>
    <n v="1"/>
    <n v="0"/>
    <n v="0"/>
    <n v="0"/>
    <n v="0"/>
    <n v="3"/>
    <n v="0"/>
    <m/>
    <n v="69"/>
  </r>
  <r>
    <s v="USR-101188"/>
    <d v="2025-01-18T00:00:00"/>
    <x v="1"/>
    <s v="North"/>
    <s v="Mobile"/>
    <s v="Paid Search"/>
    <s v="Free"/>
    <n v="0"/>
    <n v="0"/>
    <n v="0"/>
    <n v="0"/>
    <n v="0"/>
    <n v="0"/>
    <n v="0"/>
    <m/>
    <n v="84.5"/>
  </r>
  <r>
    <s v="USR-101189"/>
    <d v="2025-04-16T00:00:00"/>
    <x v="1"/>
    <s v="East"/>
    <s v="UNKNOWN"/>
    <s v="Referral"/>
    <s v="Free"/>
    <n v="1"/>
    <n v="0"/>
    <n v="0"/>
    <n v="0"/>
    <n v="0"/>
    <n v="0"/>
    <n v="0"/>
    <m/>
    <n v="66.3"/>
  </r>
  <r>
    <s v="USR-101190"/>
    <d v="2025-02-16T00:00:00"/>
    <x v="1"/>
    <s v="East"/>
    <s v="Desktop"/>
    <s v="Paid Search"/>
    <s v="Free"/>
    <n v="0"/>
    <n v="0"/>
    <n v="0"/>
    <n v="0"/>
    <n v="0"/>
    <n v="0"/>
    <n v="0"/>
    <m/>
    <n v="52.2"/>
  </r>
  <r>
    <s v="USR-101191"/>
    <d v="2025-04-17T00:00:00"/>
    <x v="1"/>
    <s v="South"/>
    <s v="Desktop"/>
    <s v="Referral"/>
    <s v="Premium"/>
    <n v="1"/>
    <n v="1"/>
    <n v="1"/>
    <n v="0"/>
    <n v="0"/>
    <n v="0"/>
    <n v="0"/>
    <m/>
    <n v="81.2"/>
  </r>
  <r>
    <s v="USR-101192"/>
    <d v="2025-04-30T00:00:00"/>
    <x v="1"/>
    <s v="South"/>
    <s v="Mobile"/>
    <s v="Organic"/>
    <s v="Basic"/>
    <n v="0"/>
    <n v="0"/>
    <n v="0"/>
    <n v="0"/>
    <n v="0"/>
    <n v="0"/>
    <n v="0"/>
    <m/>
    <n v="53.9"/>
  </r>
  <r>
    <s v="USR-101193"/>
    <d v="2025-01-29T00:00:00"/>
    <x v="1"/>
    <s v="West"/>
    <s v="Mobile"/>
    <s v="Social"/>
    <s v="Premium"/>
    <n v="0"/>
    <n v="0"/>
    <n v="0"/>
    <n v="0"/>
    <n v="0"/>
    <n v="0"/>
    <n v="0"/>
    <m/>
    <n v="39.1"/>
  </r>
  <r>
    <s v="USR-101194"/>
    <d v="2025-01-11T00:00:00"/>
    <x v="1"/>
    <s v="North"/>
    <s v="Mobile"/>
    <s v="Social"/>
    <s v="Basic"/>
    <n v="0"/>
    <n v="0"/>
    <n v="0"/>
    <n v="0"/>
    <n v="0"/>
    <n v="0"/>
    <n v="0"/>
    <m/>
    <n v="57.3"/>
  </r>
  <r>
    <s v="USR-101195"/>
    <d v="2025-04-08T00:00:00"/>
    <x v="1"/>
    <s v="East"/>
    <s v="Desktop"/>
    <s v="Paid Search"/>
    <s v="Premium"/>
    <n v="1"/>
    <n v="0"/>
    <n v="0"/>
    <n v="0"/>
    <n v="0"/>
    <n v="1"/>
    <n v="0"/>
    <m/>
    <n v="65.900000000000006"/>
  </r>
  <r>
    <s v="USR-101196"/>
    <d v="2025-02-22T00:00:00"/>
    <x v="1"/>
    <s v="North"/>
    <s v="UNKNOWN"/>
    <s v="Social"/>
    <s v="Free"/>
    <n v="1"/>
    <n v="0"/>
    <n v="0"/>
    <n v="0"/>
    <n v="0"/>
    <n v="1"/>
    <n v="0"/>
    <m/>
    <n v="34.200000000000003"/>
  </r>
  <r>
    <s v="USR-101197"/>
    <d v="2025-03-23T00:00:00"/>
    <x v="1"/>
    <s v="South"/>
    <s v="Mobile"/>
    <s v="Organic"/>
    <s v="Free"/>
    <n v="0"/>
    <n v="0"/>
    <n v="0"/>
    <n v="0"/>
    <n v="0"/>
    <n v="0"/>
    <n v="0"/>
    <m/>
    <n v="47.2"/>
  </r>
  <r>
    <s v="USR-101198"/>
    <d v="2025-05-23T00:00:00"/>
    <x v="1"/>
    <s v="South"/>
    <s v="Tablet"/>
    <s v="Paid Search"/>
    <s v="Free"/>
    <n v="1"/>
    <n v="0"/>
    <n v="0"/>
    <n v="0"/>
    <n v="0"/>
    <n v="1"/>
    <n v="0"/>
    <m/>
    <n v="55"/>
  </r>
  <r>
    <s v="USR-101199"/>
    <d v="2025-04-27T00:00:00"/>
    <x v="1"/>
    <s v="West"/>
    <s v="Mobile"/>
    <s v="Referral"/>
    <s v="Basic"/>
    <n v="1"/>
    <n v="1"/>
    <n v="1"/>
    <n v="0"/>
    <n v="0"/>
    <n v="0"/>
    <n v="0"/>
    <m/>
    <n v="76.400000000000006"/>
  </r>
  <r>
    <s v="USR-101200"/>
    <d v="2025-05-26T00:00:00"/>
    <x v="1"/>
    <s v="North"/>
    <s v="Mobile"/>
    <s v="Referral"/>
    <s v="Free"/>
    <n v="1"/>
    <n v="0"/>
    <n v="0"/>
    <n v="0"/>
    <n v="0"/>
    <n v="0"/>
    <n v="0"/>
    <m/>
    <n v="70.8"/>
  </r>
  <r>
    <s v="USR-101201"/>
    <d v="2025-03-06T00:00:00"/>
    <x v="1"/>
    <s v="East"/>
    <s v="Mobile"/>
    <s v="Paid Search"/>
    <s v="Basic"/>
    <n v="1"/>
    <n v="1"/>
    <n v="0"/>
    <n v="0"/>
    <n v="0"/>
    <n v="1"/>
    <n v="0"/>
    <m/>
    <n v="58"/>
  </r>
  <r>
    <s v="USR-101202"/>
    <d v="2025-04-03T00:00:00"/>
    <x v="1"/>
    <s v="West"/>
    <s v="Mobile"/>
    <s v="Organic"/>
    <s v="Basic"/>
    <n v="1"/>
    <n v="1"/>
    <n v="1"/>
    <n v="0"/>
    <n v="0"/>
    <n v="1"/>
    <n v="0"/>
    <m/>
    <n v="70.8"/>
  </r>
  <r>
    <s v="USR-101203"/>
    <d v="2025-02-01T00:00:00"/>
    <x v="1"/>
    <s v="East"/>
    <s v="Desktop"/>
    <s v="Paid Search"/>
    <s v="Free"/>
    <n v="1"/>
    <n v="0"/>
    <n v="0"/>
    <n v="0"/>
    <n v="0"/>
    <n v="3"/>
    <n v="0"/>
    <m/>
    <n v="60"/>
  </r>
  <r>
    <s v="USR-101204"/>
    <d v="2025-05-01T00:00:00"/>
    <x v="1"/>
    <s v="West"/>
    <s v="Mobile"/>
    <s v="Referral"/>
    <s v="Premium"/>
    <n v="1"/>
    <n v="1"/>
    <n v="1"/>
    <n v="0"/>
    <n v="0"/>
    <n v="3"/>
    <n v="0"/>
    <m/>
    <n v="58.1"/>
  </r>
  <r>
    <s v="USR-101205"/>
    <d v="2025-04-13T00:00:00"/>
    <x v="1"/>
    <s v="North"/>
    <s v="Mobile"/>
    <s v="Social"/>
    <s v="Premium"/>
    <n v="0"/>
    <n v="0"/>
    <n v="0"/>
    <n v="0"/>
    <n v="0"/>
    <n v="0"/>
    <n v="0"/>
    <m/>
    <n v="59.7"/>
  </r>
  <r>
    <s v="USR-101206"/>
    <d v="2025-01-25T00:00:00"/>
    <x v="1"/>
    <s v="East"/>
    <s v="Mobile"/>
    <s v="Social"/>
    <s v="Free"/>
    <n v="0"/>
    <n v="0"/>
    <n v="0"/>
    <n v="0"/>
    <n v="0"/>
    <n v="0"/>
    <n v="0"/>
    <m/>
    <n v="47.7"/>
  </r>
  <r>
    <s v="USR-101207"/>
    <d v="2025-03-17T00:00:00"/>
    <x v="1"/>
    <s v="North"/>
    <s v="Mobile"/>
    <s v="Organic"/>
    <s v="Free"/>
    <n v="0"/>
    <n v="0"/>
    <n v="0"/>
    <n v="0"/>
    <n v="0"/>
    <n v="0"/>
    <n v="0"/>
    <m/>
    <n v="59.1"/>
  </r>
  <r>
    <s v="USR-101208"/>
    <d v="2025-02-21T00:00:00"/>
    <x v="1"/>
    <s v="West"/>
    <s v="Desktop"/>
    <s v="Social"/>
    <s v="Basic"/>
    <n v="1"/>
    <n v="0"/>
    <n v="0"/>
    <n v="0"/>
    <n v="0"/>
    <n v="1"/>
    <n v="0"/>
    <m/>
    <n v="68.7"/>
  </r>
  <r>
    <s v="USR-101209"/>
    <d v="2025-04-08T00:00:00"/>
    <x v="1"/>
    <s v="East"/>
    <s v="Tablet"/>
    <s v="Organic"/>
    <s v="Basic"/>
    <n v="0"/>
    <n v="0"/>
    <n v="0"/>
    <n v="0"/>
    <n v="0"/>
    <n v="0"/>
    <n v="0"/>
    <m/>
    <n v="34.700000000000003"/>
  </r>
  <r>
    <s v="USR-101210"/>
    <d v="2025-02-24T00:00:00"/>
    <x v="1"/>
    <s v="West"/>
    <s v="Mobile"/>
    <s v="Organic"/>
    <s v="Basic"/>
    <n v="1"/>
    <n v="0"/>
    <n v="0"/>
    <n v="0"/>
    <n v="0"/>
    <n v="0"/>
    <n v="0"/>
    <m/>
    <n v="62"/>
  </r>
  <r>
    <s v="USR-101211"/>
    <d v="2025-05-29T00:00:00"/>
    <x v="1"/>
    <s v="South"/>
    <s v="Mobile"/>
    <s v="Organic"/>
    <s v="Free"/>
    <n v="1"/>
    <n v="1"/>
    <n v="0"/>
    <n v="0"/>
    <n v="0"/>
    <n v="0"/>
    <n v="0"/>
    <m/>
    <n v="56"/>
  </r>
  <r>
    <s v="USR-101212"/>
    <d v="2025-05-30T00:00:00"/>
    <x v="1"/>
    <s v="North"/>
    <s v="Mobile"/>
    <s v="Email"/>
    <s v="Basic"/>
    <n v="1"/>
    <n v="0"/>
    <n v="0"/>
    <n v="0"/>
    <n v="0"/>
    <n v="1"/>
    <n v="0"/>
    <m/>
    <n v="65.8"/>
  </r>
  <r>
    <s v="USR-101213"/>
    <d v="2025-01-24T00:00:00"/>
    <x v="1"/>
    <s v="North"/>
    <s v="Desktop"/>
    <s v="Organic"/>
    <s v="Premium"/>
    <n v="0"/>
    <n v="0"/>
    <n v="0"/>
    <n v="0"/>
    <n v="0"/>
    <n v="0"/>
    <n v="0"/>
    <m/>
    <n v="54.7"/>
  </r>
  <r>
    <s v="USR-101214"/>
    <d v="2025-05-12T00:00:00"/>
    <x v="1"/>
    <s v="South"/>
    <s v="Mobile"/>
    <s v="Organic"/>
    <s v="Basic"/>
    <n v="1"/>
    <n v="1"/>
    <n v="0"/>
    <n v="0"/>
    <n v="0"/>
    <n v="0"/>
    <n v="0"/>
    <m/>
    <n v="64.099999999999994"/>
  </r>
  <r>
    <s v="USR-101215"/>
    <d v="2025-03-28T00:00:00"/>
    <x v="1"/>
    <s v="South"/>
    <s v="Mobile"/>
    <s v="Organic"/>
    <s v="Basic"/>
    <n v="1"/>
    <n v="1"/>
    <n v="1"/>
    <n v="0"/>
    <n v="0"/>
    <n v="0"/>
    <n v="0"/>
    <m/>
    <n v="71.599999999999994"/>
  </r>
  <r>
    <s v="USR-101216"/>
    <d v="2025-04-14T00:00:00"/>
    <x v="1"/>
    <s v="North"/>
    <s v="Mobile"/>
    <s v="Referral"/>
    <s v="Basic"/>
    <n v="1"/>
    <n v="0"/>
    <n v="0"/>
    <n v="0"/>
    <n v="0"/>
    <n v="0"/>
    <n v="0"/>
    <m/>
    <n v="78.400000000000006"/>
  </r>
  <r>
    <s v="USR-101217"/>
    <d v="2025-01-28T00:00:00"/>
    <x v="1"/>
    <s v="East"/>
    <s v="Tablet"/>
    <s v="Referral"/>
    <s v="Basic"/>
    <n v="0"/>
    <n v="0"/>
    <n v="0"/>
    <n v="0"/>
    <n v="0"/>
    <n v="0"/>
    <n v="0"/>
    <m/>
    <n v="49.3"/>
  </r>
  <r>
    <s v="USR-101218"/>
    <d v="2025-05-21T00:00:00"/>
    <x v="1"/>
    <s v="North"/>
    <s v="Mobile"/>
    <s v="Organic"/>
    <s v="Basic"/>
    <n v="0"/>
    <n v="0"/>
    <n v="0"/>
    <n v="0"/>
    <n v="0"/>
    <n v="0"/>
    <n v="0"/>
    <m/>
    <n v="52.8"/>
  </r>
  <r>
    <s v="USR-101219"/>
    <d v="2025-05-11T00:00:00"/>
    <x v="1"/>
    <s v="West"/>
    <s v="Desktop"/>
    <s v="Organic"/>
    <s v="Free"/>
    <n v="0"/>
    <n v="0"/>
    <n v="0"/>
    <n v="0"/>
    <n v="0"/>
    <n v="0"/>
    <n v="0"/>
    <m/>
    <n v="58.5"/>
  </r>
  <r>
    <s v="USR-101220"/>
    <d v="2025-02-02T00:00:00"/>
    <x v="1"/>
    <s v="South"/>
    <s v="Mobile"/>
    <s v="Paid Search"/>
    <s v="Free"/>
    <n v="1"/>
    <n v="0"/>
    <n v="0"/>
    <n v="0"/>
    <n v="0"/>
    <n v="0"/>
    <n v="0"/>
    <m/>
    <n v="55.9"/>
  </r>
  <r>
    <s v="USR-101221"/>
    <d v="2025-02-26T00:00:00"/>
    <x v="1"/>
    <s v="North"/>
    <s v="Mobile"/>
    <s v="Social"/>
    <s v="Free"/>
    <n v="1"/>
    <n v="1"/>
    <n v="1"/>
    <n v="1"/>
    <n v="351.43"/>
    <n v="1"/>
    <n v="0"/>
    <n v="6"/>
    <n v="74.900000000000006"/>
  </r>
  <r>
    <s v="USR-101222"/>
    <d v="2025-02-27T00:00:00"/>
    <x v="1"/>
    <s v="South"/>
    <s v="Desktop"/>
    <s v="Referral"/>
    <s v="Free"/>
    <n v="1"/>
    <n v="1"/>
    <n v="1"/>
    <n v="1"/>
    <n v="352.42"/>
    <n v="0"/>
    <n v="0"/>
    <n v="4"/>
    <n v="58.5"/>
  </r>
  <r>
    <s v="USR-101223"/>
    <d v="2025-03-09T00:00:00"/>
    <x v="1"/>
    <s v="West"/>
    <s v="Mobile"/>
    <s v="Organic"/>
    <s v="Free"/>
    <n v="0"/>
    <n v="0"/>
    <n v="0"/>
    <n v="0"/>
    <n v="0"/>
    <n v="0"/>
    <n v="0"/>
    <m/>
    <n v="63.5"/>
  </r>
  <r>
    <s v="USR-101224"/>
    <d v="2025-02-07T00:00:00"/>
    <x v="1"/>
    <s v="North"/>
    <s v="Mobile"/>
    <s v="Paid Search"/>
    <s v="Basic"/>
    <n v="1"/>
    <n v="0"/>
    <n v="0"/>
    <n v="0"/>
    <n v="0"/>
    <n v="1"/>
    <n v="0"/>
    <m/>
    <n v="64.8"/>
  </r>
  <r>
    <s v="USR-101225"/>
    <d v="2025-01-31T00:00:00"/>
    <x v="1"/>
    <s v="West"/>
    <s v="Mobile"/>
    <s v="Social"/>
    <s v="Free"/>
    <n v="0"/>
    <n v="0"/>
    <n v="0"/>
    <n v="0"/>
    <n v="0"/>
    <n v="0"/>
    <n v="0"/>
    <m/>
    <n v="63.3"/>
  </r>
  <r>
    <s v="USR-101226"/>
    <d v="2025-02-14T00:00:00"/>
    <x v="1"/>
    <s v="North"/>
    <s v="Tablet"/>
    <s v="Paid Search"/>
    <s v="Basic"/>
    <n v="1"/>
    <n v="1"/>
    <n v="1"/>
    <n v="1"/>
    <n v="1074.1600000000001"/>
    <n v="0"/>
    <n v="0"/>
    <n v="8"/>
    <n v="83.7"/>
  </r>
  <r>
    <s v="USR-101227"/>
    <d v="2025-02-12T00:00:00"/>
    <x v="1"/>
    <s v="South"/>
    <s v="Desktop"/>
    <s v="Social"/>
    <s v="Basic"/>
    <n v="0"/>
    <n v="0"/>
    <n v="0"/>
    <n v="0"/>
    <n v="0"/>
    <n v="0"/>
    <n v="0"/>
    <m/>
    <n v="88.7"/>
  </r>
  <r>
    <s v="USR-101228"/>
    <d v="2025-03-23T00:00:00"/>
    <x v="1"/>
    <s v="East"/>
    <s v="UNKNOWN"/>
    <s v="Paid Search"/>
    <s v="Free"/>
    <n v="1"/>
    <n v="0"/>
    <n v="0"/>
    <n v="0"/>
    <n v="0"/>
    <n v="1"/>
    <n v="0"/>
    <m/>
    <n v="61.5"/>
  </r>
  <r>
    <s v="USR-101229"/>
    <d v="2025-03-18T00:00:00"/>
    <x v="1"/>
    <s v="West"/>
    <s v="Mobile"/>
    <s v="Paid Search"/>
    <s v="Free"/>
    <n v="0"/>
    <n v="0"/>
    <n v="0"/>
    <n v="0"/>
    <n v="0"/>
    <n v="0"/>
    <n v="0"/>
    <m/>
    <n v="45.3"/>
  </r>
  <r>
    <s v="USR-101230"/>
    <d v="2025-05-17T00:00:00"/>
    <x v="1"/>
    <s v="North"/>
    <s v="Mobile"/>
    <s v="Social"/>
    <s v="Free"/>
    <n v="1"/>
    <n v="0"/>
    <n v="0"/>
    <n v="0"/>
    <n v="0"/>
    <n v="0"/>
    <n v="0"/>
    <m/>
    <n v="37.299999999999997"/>
  </r>
  <r>
    <s v="USR-101231"/>
    <d v="2025-03-26T00:00:00"/>
    <x v="1"/>
    <s v="West"/>
    <s v="Desktop"/>
    <s v="Social"/>
    <s v="Premium"/>
    <n v="1"/>
    <n v="0"/>
    <n v="0"/>
    <n v="0"/>
    <n v="0"/>
    <n v="1"/>
    <n v="0"/>
    <m/>
    <n v="76.099999999999994"/>
  </r>
  <r>
    <s v="USR-101232"/>
    <d v="2025-03-30T00:00:00"/>
    <x v="1"/>
    <s v="East"/>
    <s v="Mobile"/>
    <s v="Organic"/>
    <s v="Free"/>
    <n v="1"/>
    <n v="1"/>
    <n v="1"/>
    <n v="0"/>
    <n v="0"/>
    <n v="1"/>
    <n v="0"/>
    <m/>
    <n v="72.5"/>
  </r>
  <r>
    <s v="USR-101233"/>
    <d v="2025-02-25T00:00:00"/>
    <x v="1"/>
    <s v="East"/>
    <s v="Desktop"/>
    <s v="Organic"/>
    <s v="Free"/>
    <n v="1"/>
    <n v="0"/>
    <n v="0"/>
    <n v="0"/>
    <n v="0"/>
    <n v="0"/>
    <n v="0"/>
    <m/>
    <n v="62.3"/>
  </r>
  <r>
    <s v="USR-101234"/>
    <d v="2025-03-01T00:00:00"/>
    <x v="1"/>
    <s v="East"/>
    <s v="Desktop"/>
    <s v="Social"/>
    <s v="Free"/>
    <n v="0"/>
    <n v="0"/>
    <n v="0"/>
    <n v="0"/>
    <n v="0"/>
    <n v="0"/>
    <n v="0"/>
    <m/>
    <n v="62.7"/>
  </r>
  <r>
    <s v="USR-101235"/>
    <d v="2025-05-27T00:00:00"/>
    <x v="1"/>
    <s v="North"/>
    <s v="Mobile"/>
    <s v="Paid Search"/>
    <s v="Basic"/>
    <n v="0"/>
    <n v="0"/>
    <n v="0"/>
    <n v="0"/>
    <n v="0"/>
    <n v="0"/>
    <n v="0"/>
    <m/>
    <n v="82.4"/>
  </r>
  <r>
    <s v="USR-101236"/>
    <d v="2025-02-05T00:00:00"/>
    <x v="1"/>
    <s v="West"/>
    <s v="Mobile"/>
    <s v="UNKNOWN"/>
    <s v="Premium"/>
    <n v="1"/>
    <n v="0"/>
    <n v="0"/>
    <n v="0"/>
    <n v="0"/>
    <n v="0"/>
    <n v="0"/>
    <m/>
    <n v="78.900000000000006"/>
  </r>
  <r>
    <s v="USR-101237"/>
    <d v="2025-01-25T00:00:00"/>
    <x v="1"/>
    <s v="West"/>
    <s v="Desktop"/>
    <s v="Email"/>
    <s v="Free"/>
    <n v="1"/>
    <n v="1"/>
    <n v="1"/>
    <n v="1"/>
    <n v="618.91"/>
    <n v="0"/>
    <n v="0"/>
    <n v="4"/>
    <n v="67.8"/>
  </r>
  <r>
    <s v="USR-101238"/>
    <d v="2025-04-10T00:00:00"/>
    <x v="1"/>
    <s v="East"/>
    <s v="Mobile"/>
    <s v="Organic"/>
    <s v="Premium"/>
    <n v="1"/>
    <n v="0"/>
    <n v="0"/>
    <n v="0"/>
    <n v="0"/>
    <n v="0"/>
    <n v="0"/>
    <m/>
    <n v="68.8"/>
  </r>
  <r>
    <s v="USR-101239"/>
    <d v="2025-01-10T00:00:00"/>
    <x v="1"/>
    <s v="East"/>
    <s v="Mobile"/>
    <s v="Organic"/>
    <s v="Premium"/>
    <n v="1"/>
    <n v="0"/>
    <n v="0"/>
    <n v="0"/>
    <n v="0"/>
    <n v="0"/>
    <n v="0"/>
    <m/>
    <n v="67.7"/>
  </r>
  <r>
    <s v="USR-101240"/>
    <d v="2025-02-23T00:00:00"/>
    <x v="1"/>
    <s v="East"/>
    <s v="Mobile"/>
    <s v="UNKNOWN"/>
    <s v="Free"/>
    <n v="0"/>
    <n v="0"/>
    <n v="0"/>
    <n v="0"/>
    <n v="0"/>
    <n v="0"/>
    <n v="0"/>
    <m/>
    <n v="88"/>
  </r>
  <r>
    <s v="USR-101241"/>
    <d v="2025-05-23T00:00:00"/>
    <x v="1"/>
    <s v="West"/>
    <s v="Desktop"/>
    <s v="Organic"/>
    <s v="Basic"/>
    <n v="1"/>
    <n v="1"/>
    <n v="0"/>
    <n v="0"/>
    <n v="0"/>
    <n v="0"/>
    <n v="0"/>
    <m/>
    <n v="80.099999999999994"/>
  </r>
  <r>
    <s v="USR-101242"/>
    <d v="2025-03-08T00:00:00"/>
    <x v="1"/>
    <s v="North"/>
    <s v="Tablet"/>
    <s v="Email"/>
    <s v="Basic"/>
    <n v="0"/>
    <n v="0"/>
    <n v="0"/>
    <n v="0"/>
    <n v="0"/>
    <n v="1"/>
    <n v="0"/>
    <m/>
    <n v="48.2"/>
  </r>
  <r>
    <s v="USR-101243"/>
    <d v="2025-05-21T00:00:00"/>
    <x v="1"/>
    <s v="East"/>
    <s v="Mobile"/>
    <s v="Organic"/>
    <s v="Basic"/>
    <n v="1"/>
    <n v="0"/>
    <n v="0"/>
    <n v="0"/>
    <n v="0"/>
    <n v="0"/>
    <n v="0"/>
    <m/>
    <n v="52.7"/>
  </r>
  <r>
    <s v="USR-101244"/>
    <d v="2025-04-22T00:00:00"/>
    <x v="1"/>
    <s v="North"/>
    <s v="Mobile"/>
    <s v="Email"/>
    <s v="Basic"/>
    <n v="1"/>
    <n v="1"/>
    <n v="0"/>
    <n v="0"/>
    <n v="0"/>
    <n v="0"/>
    <n v="0"/>
    <m/>
    <n v="59.9"/>
  </r>
  <r>
    <s v="USR-101245"/>
    <d v="2025-04-16T00:00:00"/>
    <x v="1"/>
    <s v="North"/>
    <s v="Mobile"/>
    <s v="Email"/>
    <s v="Premium"/>
    <n v="1"/>
    <n v="0"/>
    <n v="0"/>
    <n v="0"/>
    <n v="0"/>
    <n v="0"/>
    <n v="0"/>
    <m/>
    <n v="49.5"/>
  </r>
  <r>
    <s v="USR-101246"/>
    <d v="2025-05-08T00:00:00"/>
    <x v="1"/>
    <s v="North"/>
    <s v="Tablet"/>
    <s v="Organic"/>
    <s v="Free"/>
    <n v="1"/>
    <n v="0"/>
    <n v="0"/>
    <n v="0"/>
    <n v="0"/>
    <n v="0"/>
    <n v="0"/>
    <m/>
    <n v="41.5"/>
  </r>
  <r>
    <s v="USR-101247"/>
    <d v="2025-05-22T00:00:00"/>
    <x v="1"/>
    <s v="North"/>
    <s v="Mobile"/>
    <s v="Paid Search"/>
    <s v="Basic"/>
    <n v="1"/>
    <n v="0"/>
    <n v="0"/>
    <n v="0"/>
    <n v="0"/>
    <n v="0"/>
    <n v="0"/>
    <m/>
    <n v="71.2"/>
  </r>
  <r>
    <s v="USR-101248"/>
    <d v="2025-03-21T00:00:00"/>
    <x v="1"/>
    <s v="North"/>
    <s v="Mobile"/>
    <s v="Referral"/>
    <s v="Basic"/>
    <n v="1"/>
    <n v="1"/>
    <n v="1"/>
    <n v="0"/>
    <n v="0"/>
    <n v="0"/>
    <n v="0"/>
    <m/>
    <n v="65.8"/>
  </r>
  <r>
    <s v="USR-101249"/>
    <d v="2025-03-22T00:00:00"/>
    <x v="1"/>
    <s v="East"/>
    <s v="Mobile"/>
    <s v="Organic"/>
    <s v="Basic"/>
    <n v="1"/>
    <n v="0"/>
    <n v="0"/>
    <n v="0"/>
    <n v="0"/>
    <n v="1"/>
    <n v="0"/>
    <m/>
    <n v="55.1"/>
  </r>
  <r>
    <s v="USR-101250"/>
    <d v="2025-01-10T00:00:00"/>
    <x v="1"/>
    <s v="West"/>
    <s v="Desktop"/>
    <s v="Social"/>
    <s v="Free"/>
    <n v="1"/>
    <n v="0"/>
    <n v="0"/>
    <n v="0"/>
    <n v="0"/>
    <n v="0"/>
    <n v="0"/>
    <m/>
    <n v="54.6"/>
  </r>
  <r>
    <s v="USR-101251"/>
    <d v="2025-02-01T00:00:00"/>
    <x v="1"/>
    <s v="East"/>
    <s v="Mobile"/>
    <s v="Organic"/>
    <s v="Basic"/>
    <n v="1"/>
    <n v="1"/>
    <n v="1"/>
    <n v="1"/>
    <n v="923.67"/>
    <n v="0"/>
    <n v="0"/>
    <n v="4"/>
    <n v="81.900000000000006"/>
  </r>
  <r>
    <s v="USR-101252"/>
    <d v="2025-03-31T00:00:00"/>
    <x v="1"/>
    <s v="South"/>
    <s v="Mobile"/>
    <s v="Paid Search"/>
    <s v="Basic"/>
    <n v="1"/>
    <n v="1"/>
    <n v="0"/>
    <n v="0"/>
    <n v="0"/>
    <n v="3"/>
    <n v="0"/>
    <m/>
    <n v="63.2"/>
  </r>
  <r>
    <s v="USR-101253"/>
    <d v="2025-04-25T00:00:00"/>
    <x v="1"/>
    <s v="North"/>
    <s v="Mobile"/>
    <s v="Paid Search"/>
    <s v="Free"/>
    <n v="1"/>
    <n v="0"/>
    <n v="0"/>
    <n v="0"/>
    <n v="0"/>
    <n v="0"/>
    <n v="0"/>
    <m/>
    <n v="55.4"/>
  </r>
  <r>
    <s v="USR-101254"/>
    <d v="2025-05-02T00:00:00"/>
    <x v="1"/>
    <s v="West"/>
    <s v="Mobile"/>
    <s v="Social"/>
    <s v="Basic"/>
    <n v="0"/>
    <n v="0"/>
    <n v="0"/>
    <n v="0"/>
    <n v="0"/>
    <n v="0"/>
    <n v="0"/>
    <m/>
    <n v="87.5"/>
  </r>
  <r>
    <s v="USR-101255"/>
    <d v="2025-03-08T00:00:00"/>
    <x v="1"/>
    <s v="South"/>
    <s v="Desktop"/>
    <s v="Social"/>
    <s v="Basic"/>
    <n v="1"/>
    <n v="0"/>
    <n v="0"/>
    <n v="0"/>
    <n v="0"/>
    <n v="0"/>
    <n v="0"/>
    <m/>
    <n v="48.5"/>
  </r>
  <r>
    <s v="USR-101256"/>
    <d v="2025-01-27T00:00:00"/>
    <x v="1"/>
    <s v="East"/>
    <s v="Desktop"/>
    <s v="UNKNOWN"/>
    <s v="Free"/>
    <n v="1"/>
    <n v="1"/>
    <n v="1"/>
    <n v="1"/>
    <n v="420.27"/>
    <n v="0"/>
    <n v="0"/>
    <n v="6"/>
    <n v="58.4"/>
  </r>
  <r>
    <s v="USR-101257"/>
    <d v="2025-04-27T00:00:00"/>
    <x v="1"/>
    <s v="West"/>
    <s v="Mobile"/>
    <s v="Paid Search"/>
    <s v="Free"/>
    <n v="0"/>
    <n v="0"/>
    <n v="0"/>
    <n v="0"/>
    <n v="0"/>
    <n v="0"/>
    <n v="0"/>
    <m/>
    <n v="59.5"/>
  </r>
  <r>
    <s v="USR-101258"/>
    <d v="2025-01-16T00:00:00"/>
    <x v="1"/>
    <s v="West"/>
    <s v="Desktop"/>
    <s v="Paid Search"/>
    <s v="Basic"/>
    <n v="1"/>
    <n v="0"/>
    <n v="0"/>
    <n v="0"/>
    <n v="0"/>
    <n v="0"/>
    <n v="0"/>
    <m/>
    <n v="93.2"/>
  </r>
  <r>
    <s v="USR-101259"/>
    <d v="2025-01-18T00:00:00"/>
    <x v="1"/>
    <s v="West"/>
    <s v="Desktop"/>
    <s v="Paid Search"/>
    <s v="Basic"/>
    <n v="1"/>
    <n v="0"/>
    <n v="0"/>
    <n v="0"/>
    <n v="0"/>
    <n v="0"/>
    <n v="0"/>
    <m/>
    <n v="59"/>
  </r>
  <r>
    <s v="USR-101260"/>
    <d v="2025-03-21T00:00:00"/>
    <x v="1"/>
    <s v="North"/>
    <s v="Mobile"/>
    <s v="Organic"/>
    <s v="Free"/>
    <n v="1"/>
    <n v="0"/>
    <n v="0"/>
    <n v="0"/>
    <n v="0"/>
    <n v="0"/>
    <n v="0"/>
    <m/>
    <n v="37"/>
  </r>
  <r>
    <s v="USR-101261"/>
    <d v="2025-04-02T00:00:00"/>
    <x v="1"/>
    <s v="North"/>
    <s v="Desktop"/>
    <s v="Paid Search"/>
    <s v="Free"/>
    <n v="1"/>
    <n v="0"/>
    <n v="0"/>
    <n v="0"/>
    <n v="0"/>
    <n v="0"/>
    <n v="0"/>
    <m/>
    <n v="47.5"/>
  </r>
  <r>
    <s v="USR-101262"/>
    <d v="2025-02-16T00:00:00"/>
    <x v="1"/>
    <s v="West"/>
    <s v="Desktop"/>
    <s v="Organic"/>
    <s v="Free"/>
    <n v="1"/>
    <n v="1"/>
    <n v="1"/>
    <n v="0"/>
    <n v="0"/>
    <n v="0"/>
    <n v="0"/>
    <m/>
    <n v="78.7"/>
  </r>
  <r>
    <s v="USR-101263"/>
    <d v="2025-02-18T00:00:00"/>
    <x v="1"/>
    <s v="North"/>
    <s v="Mobile"/>
    <s v="Social"/>
    <s v="Free"/>
    <n v="1"/>
    <n v="0"/>
    <n v="0"/>
    <n v="0"/>
    <n v="0"/>
    <n v="0"/>
    <n v="0"/>
    <m/>
    <n v="49.6"/>
  </r>
  <r>
    <s v="USR-101264"/>
    <d v="2025-01-09T00:00:00"/>
    <x v="1"/>
    <s v="East"/>
    <s v="Mobile"/>
    <s v="Organic"/>
    <s v="Free"/>
    <n v="1"/>
    <n v="0"/>
    <n v="0"/>
    <n v="0"/>
    <n v="0"/>
    <n v="0"/>
    <n v="0"/>
    <m/>
    <n v="58"/>
  </r>
  <r>
    <s v="USR-101265"/>
    <d v="2025-02-18T00:00:00"/>
    <x v="1"/>
    <s v="North"/>
    <s v="Desktop"/>
    <s v="Paid Search"/>
    <s v="Free"/>
    <n v="1"/>
    <n v="0"/>
    <n v="0"/>
    <n v="0"/>
    <n v="0"/>
    <n v="1"/>
    <n v="0"/>
    <m/>
    <n v="54.4"/>
  </r>
  <r>
    <s v="USR-101266"/>
    <d v="2025-01-10T00:00:00"/>
    <x v="1"/>
    <s v="East"/>
    <s v="Mobile"/>
    <s v="Referral"/>
    <s v="Free"/>
    <n v="0"/>
    <n v="0"/>
    <n v="0"/>
    <n v="0"/>
    <n v="0"/>
    <n v="0"/>
    <n v="0"/>
    <m/>
    <n v="33.700000000000003"/>
  </r>
  <r>
    <s v="USR-101267"/>
    <d v="2025-03-08T00:00:00"/>
    <x v="1"/>
    <s v="West"/>
    <s v="Mobile"/>
    <s v="Email"/>
    <s v="Free"/>
    <n v="1"/>
    <n v="0"/>
    <n v="0"/>
    <n v="0"/>
    <n v="0"/>
    <n v="0"/>
    <n v="0"/>
    <m/>
    <n v="72.7"/>
  </r>
  <r>
    <s v="USR-101268"/>
    <d v="2025-04-16T00:00:00"/>
    <x v="1"/>
    <s v="East"/>
    <s v="Desktop"/>
    <s v="Paid Search"/>
    <s v="Basic"/>
    <n v="0"/>
    <n v="0"/>
    <n v="0"/>
    <n v="0"/>
    <n v="0"/>
    <n v="0"/>
    <n v="0"/>
    <m/>
    <n v="64.7"/>
  </r>
  <r>
    <s v="USR-101269"/>
    <d v="2025-02-19T00:00:00"/>
    <x v="1"/>
    <s v="West"/>
    <s v="Desktop"/>
    <s v="Paid Search"/>
    <s v="Premium"/>
    <n v="0"/>
    <n v="0"/>
    <n v="0"/>
    <n v="0"/>
    <n v="0"/>
    <n v="1"/>
    <n v="0"/>
    <m/>
    <n v="48.6"/>
  </r>
  <r>
    <s v="USR-101270"/>
    <d v="2025-03-16T00:00:00"/>
    <x v="1"/>
    <s v="East"/>
    <s v="Desktop"/>
    <s v="Social"/>
    <s v="Free"/>
    <n v="1"/>
    <n v="1"/>
    <n v="0"/>
    <n v="0"/>
    <n v="0"/>
    <n v="0"/>
    <n v="0"/>
    <m/>
    <n v="66.2"/>
  </r>
  <r>
    <s v="USR-101271"/>
    <d v="2025-02-03T00:00:00"/>
    <x v="1"/>
    <s v="West"/>
    <s v="UNKNOWN"/>
    <s v="Referral"/>
    <s v="Basic"/>
    <n v="1"/>
    <n v="0"/>
    <n v="0"/>
    <n v="0"/>
    <n v="0"/>
    <n v="1"/>
    <n v="0"/>
    <m/>
    <n v="60.7"/>
  </r>
  <r>
    <s v="USR-101272"/>
    <d v="2025-03-12T00:00:00"/>
    <x v="1"/>
    <s v="West"/>
    <s v="Mobile"/>
    <s v="Paid Search"/>
    <s v="Basic"/>
    <n v="1"/>
    <n v="0"/>
    <n v="0"/>
    <n v="0"/>
    <n v="0"/>
    <n v="0"/>
    <n v="0"/>
    <m/>
    <n v="36.5"/>
  </r>
  <r>
    <s v="USR-101273"/>
    <d v="2025-05-09T00:00:00"/>
    <x v="1"/>
    <s v="West"/>
    <s v="Mobile"/>
    <s v="Social"/>
    <s v="Free"/>
    <n v="1"/>
    <n v="1"/>
    <n v="1"/>
    <n v="0"/>
    <n v="0"/>
    <n v="3"/>
    <n v="0"/>
    <m/>
    <n v="69.7"/>
  </r>
  <r>
    <s v="USR-101274"/>
    <d v="2025-01-19T00:00:00"/>
    <x v="1"/>
    <s v="South"/>
    <s v="Desktop"/>
    <s v="Social"/>
    <s v="Premium"/>
    <n v="1"/>
    <n v="0"/>
    <n v="0"/>
    <n v="0"/>
    <n v="0"/>
    <n v="0"/>
    <n v="0"/>
    <m/>
    <n v="81.8"/>
  </r>
  <r>
    <s v="USR-101275"/>
    <d v="2025-01-24T00:00:00"/>
    <x v="1"/>
    <s v="West"/>
    <s v="Mobile"/>
    <s v="Referral"/>
    <s v="Free"/>
    <n v="1"/>
    <n v="1"/>
    <n v="1"/>
    <n v="0"/>
    <n v="0"/>
    <n v="1"/>
    <n v="0"/>
    <m/>
    <n v="78.3"/>
  </r>
  <r>
    <s v="USR-101276"/>
    <d v="2025-03-03T00:00:00"/>
    <x v="1"/>
    <s v="East"/>
    <s v="Mobile"/>
    <s v="Referral"/>
    <s v="Free"/>
    <n v="1"/>
    <n v="1"/>
    <n v="0"/>
    <n v="0"/>
    <n v="0"/>
    <n v="0"/>
    <n v="0"/>
    <m/>
    <n v="79.400000000000006"/>
  </r>
  <r>
    <s v="USR-101277"/>
    <d v="2025-05-27T00:00:00"/>
    <x v="1"/>
    <s v="North"/>
    <s v="Desktop"/>
    <s v="Referral"/>
    <s v="Free"/>
    <n v="1"/>
    <n v="1"/>
    <n v="1"/>
    <n v="0"/>
    <n v="0"/>
    <n v="0"/>
    <n v="0"/>
    <m/>
    <n v="54.9"/>
  </r>
  <r>
    <s v="USR-101278"/>
    <d v="2025-04-23T00:00:00"/>
    <x v="1"/>
    <s v="West"/>
    <s v="Desktop"/>
    <s v="Organic"/>
    <s v="Basic"/>
    <n v="1"/>
    <n v="0"/>
    <n v="0"/>
    <n v="0"/>
    <n v="0"/>
    <n v="0"/>
    <n v="0"/>
    <m/>
    <n v="54.9"/>
  </r>
  <r>
    <s v="USR-101279"/>
    <d v="2025-02-10T00:00:00"/>
    <x v="1"/>
    <s v="East"/>
    <s v="Desktop"/>
    <s v="Social"/>
    <s v="Free"/>
    <n v="0"/>
    <n v="0"/>
    <n v="0"/>
    <n v="0"/>
    <n v="0"/>
    <n v="0"/>
    <n v="0"/>
    <m/>
    <n v="28.7"/>
  </r>
  <r>
    <s v="USR-101280"/>
    <d v="2025-02-11T00:00:00"/>
    <x v="1"/>
    <s v="North"/>
    <s v="Mobile"/>
    <s v="Organic"/>
    <s v="Free"/>
    <n v="0"/>
    <n v="0"/>
    <n v="0"/>
    <n v="0"/>
    <n v="0"/>
    <n v="0"/>
    <n v="0"/>
    <m/>
    <n v="68.8"/>
  </r>
  <r>
    <s v="USR-101281"/>
    <d v="2025-01-21T00:00:00"/>
    <x v="1"/>
    <s v="East"/>
    <s v="Desktop"/>
    <s v="Paid Search"/>
    <s v="Free"/>
    <n v="1"/>
    <n v="1"/>
    <n v="1"/>
    <n v="0"/>
    <n v="0"/>
    <n v="0"/>
    <n v="0"/>
    <m/>
    <n v="43.5"/>
  </r>
  <r>
    <s v="USR-101282"/>
    <d v="2025-02-02T00:00:00"/>
    <x v="1"/>
    <s v="West"/>
    <s v="Desktop"/>
    <s v="Social"/>
    <s v="Free"/>
    <n v="1"/>
    <n v="1"/>
    <n v="0"/>
    <n v="0"/>
    <n v="0"/>
    <n v="0"/>
    <n v="0"/>
    <m/>
    <n v="62.6"/>
  </r>
  <r>
    <s v="USR-101283"/>
    <d v="2025-02-02T00:00:00"/>
    <x v="1"/>
    <s v="West"/>
    <s v="Mobile"/>
    <s v="Organic"/>
    <s v="Free"/>
    <n v="0"/>
    <n v="0"/>
    <n v="0"/>
    <n v="0"/>
    <n v="0"/>
    <n v="1"/>
    <n v="0"/>
    <m/>
    <n v="54.1"/>
  </r>
  <r>
    <s v="USR-101284"/>
    <d v="2025-02-26T00:00:00"/>
    <x v="1"/>
    <s v="West"/>
    <s v="Tablet"/>
    <s v="Social"/>
    <s v="Free"/>
    <n v="1"/>
    <n v="1"/>
    <n v="1"/>
    <n v="0"/>
    <n v="0"/>
    <n v="0"/>
    <n v="0"/>
    <m/>
    <n v="80.099999999999994"/>
  </r>
  <r>
    <s v="USR-101285"/>
    <d v="2025-04-22T00:00:00"/>
    <x v="1"/>
    <s v="North"/>
    <s v="Mobile"/>
    <s v="Social"/>
    <s v="Premium"/>
    <n v="1"/>
    <n v="0"/>
    <n v="0"/>
    <n v="0"/>
    <n v="0"/>
    <n v="0"/>
    <n v="0"/>
    <m/>
    <n v="69.5"/>
  </r>
  <r>
    <s v="USR-101286"/>
    <d v="2025-03-11T00:00:00"/>
    <x v="1"/>
    <s v="North"/>
    <s v="Desktop"/>
    <s v="Organic"/>
    <s v="Basic"/>
    <n v="0"/>
    <n v="0"/>
    <n v="0"/>
    <n v="0"/>
    <n v="0"/>
    <n v="2"/>
    <n v="0"/>
    <m/>
    <n v="46.6"/>
  </r>
  <r>
    <s v="USR-101287"/>
    <d v="2025-05-08T00:00:00"/>
    <x v="1"/>
    <s v="South"/>
    <s v="Mobile"/>
    <s v="Organic"/>
    <s v="Premium"/>
    <n v="1"/>
    <n v="0"/>
    <n v="0"/>
    <n v="0"/>
    <n v="0"/>
    <n v="1"/>
    <n v="0"/>
    <m/>
    <n v="54.9"/>
  </r>
  <r>
    <s v="USR-101288"/>
    <d v="2025-03-10T00:00:00"/>
    <x v="1"/>
    <s v="East"/>
    <s v="Desktop"/>
    <s v="Organic"/>
    <s v="Free"/>
    <n v="0"/>
    <n v="0"/>
    <n v="0"/>
    <n v="0"/>
    <n v="0"/>
    <n v="0"/>
    <n v="0"/>
    <m/>
    <n v="100"/>
  </r>
  <r>
    <s v="USR-101289"/>
    <d v="2025-04-16T00:00:00"/>
    <x v="1"/>
    <s v="East"/>
    <s v="Desktop"/>
    <s v="Paid Search"/>
    <s v="Free"/>
    <n v="1"/>
    <n v="1"/>
    <n v="1"/>
    <n v="0"/>
    <n v="0"/>
    <n v="1"/>
    <n v="0"/>
    <m/>
    <n v="80.5"/>
  </r>
  <r>
    <s v="USR-101290"/>
    <d v="2025-03-01T00:00:00"/>
    <x v="1"/>
    <s v="West"/>
    <s v="Tablet"/>
    <s v="Organic"/>
    <s v="Basic"/>
    <n v="1"/>
    <n v="0"/>
    <n v="0"/>
    <n v="0"/>
    <n v="0"/>
    <n v="0"/>
    <n v="0"/>
    <m/>
    <n v="51.2"/>
  </r>
  <r>
    <s v="USR-101291"/>
    <d v="2025-01-18T00:00:00"/>
    <x v="1"/>
    <s v="South"/>
    <s v="Desktop"/>
    <s v="Organic"/>
    <s v="Premium"/>
    <n v="1"/>
    <n v="0"/>
    <n v="0"/>
    <n v="0"/>
    <n v="0"/>
    <n v="0"/>
    <n v="0"/>
    <m/>
    <n v="42.5"/>
  </r>
  <r>
    <s v="USR-101292"/>
    <d v="2025-03-30T00:00:00"/>
    <x v="1"/>
    <s v="North"/>
    <s v="Mobile"/>
    <s v="Paid Search"/>
    <s v="Free"/>
    <n v="0"/>
    <n v="0"/>
    <n v="0"/>
    <n v="0"/>
    <n v="0"/>
    <n v="0"/>
    <n v="0"/>
    <m/>
    <n v="72.5"/>
  </r>
  <r>
    <s v="USR-101293"/>
    <d v="2025-05-26T00:00:00"/>
    <x v="1"/>
    <s v="West"/>
    <s v="Mobile"/>
    <s v="Social"/>
    <s v="Premium"/>
    <n v="0"/>
    <n v="0"/>
    <n v="0"/>
    <n v="0"/>
    <n v="0"/>
    <n v="0"/>
    <n v="0"/>
    <m/>
    <n v="74.400000000000006"/>
  </r>
  <r>
    <s v="USR-101294"/>
    <d v="2025-03-19T00:00:00"/>
    <x v="1"/>
    <s v="East"/>
    <s v="Desktop"/>
    <s v="Social"/>
    <s v="Free"/>
    <n v="0"/>
    <n v="0"/>
    <n v="0"/>
    <n v="0"/>
    <n v="0"/>
    <n v="0"/>
    <n v="0"/>
    <m/>
    <n v="78.400000000000006"/>
  </r>
  <r>
    <s v="USR-101295"/>
    <d v="2025-03-28T00:00:00"/>
    <x v="1"/>
    <s v="North"/>
    <s v="Desktop"/>
    <s v="Referral"/>
    <s v="Free"/>
    <n v="1"/>
    <n v="0"/>
    <n v="0"/>
    <n v="0"/>
    <n v="0"/>
    <n v="0"/>
    <n v="0"/>
    <m/>
    <n v="71.5"/>
  </r>
  <r>
    <s v="USR-101296"/>
    <d v="2025-05-28T00:00:00"/>
    <x v="1"/>
    <s v="South"/>
    <s v="Desktop"/>
    <s v="Social"/>
    <s v="Free"/>
    <n v="1"/>
    <n v="0"/>
    <n v="0"/>
    <n v="0"/>
    <n v="0"/>
    <n v="0"/>
    <n v="0"/>
    <m/>
    <n v="66.7"/>
  </r>
  <r>
    <s v="USR-101297"/>
    <d v="2025-05-31T00:00:00"/>
    <x v="1"/>
    <s v="South"/>
    <s v="Desktop"/>
    <s v="Referral"/>
    <s v="Premium"/>
    <n v="1"/>
    <n v="1"/>
    <n v="1"/>
    <n v="1"/>
    <n v="1496.09"/>
    <n v="0"/>
    <n v="0"/>
    <n v="7"/>
    <n v="60.4"/>
  </r>
  <r>
    <s v="USR-101298"/>
    <d v="2025-05-10T00:00:00"/>
    <x v="1"/>
    <s v="North"/>
    <s v="Mobile"/>
    <s v="Referral"/>
    <s v="Free"/>
    <n v="0"/>
    <n v="0"/>
    <n v="0"/>
    <n v="0"/>
    <n v="0"/>
    <n v="1"/>
    <n v="0"/>
    <m/>
    <n v="72.900000000000006"/>
  </r>
  <r>
    <s v="USR-101299"/>
    <d v="2025-05-17T00:00:00"/>
    <x v="1"/>
    <s v="West"/>
    <s v="Mobile"/>
    <s v="Organic"/>
    <s v="Free"/>
    <n v="0"/>
    <n v="0"/>
    <n v="0"/>
    <n v="0"/>
    <n v="0"/>
    <n v="3"/>
    <n v="0"/>
    <m/>
    <n v="60.02"/>
  </r>
  <r>
    <s v="USR-101300"/>
    <d v="2025-01-18T00:00:00"/>
    <x v="1"/>
    <s v="South"/>
    <s v="Mobile"/>
    <s v="Organic"/>
    <s v="Premium"/>
    <n v="1"/>
    <n v="0"/>
    <n v="0"/>
    <n v="0"/>
    <n v="0"/>
    <n v="0"/>
    <n v="0"/>
    <m/>
    <n v="55.2"/>
  </r>
  <r>
    <s v="USR-101301"/>
    <d v="2025-05-04T00:00:00"/>
    <x v="1"/>
    <s v="West"/>
    <s v="Mobile"/>
    <s v="Social"/>
    <s v="Free"/>
    <n v="1"/>
    <n v="0"/>
    <n v="0"/>
    <n v="0"/>
    <n v="0"/>
    <n v="0"/>
    <n v="0"/>
    <m/>
    <n v="67.8"/>
  </r>
  <r>
    <s v="USR-101302"/>
    <d v="2025-03-25T00:00:00"/>
    <x v="1"/>
    <s v="North"/>
    <s v="Mobile"/>
    <s v="Organic"/>
    <s v="Free"/>
    <n v="1"/>
    <n v="0"/>
    <n v="0"/>
    <n v="0"/>
    <n v="0"/>
    <n v="2"/>
    <n v="0"/>
    <m/>
    <n v="70"/>
  </r>
  <r>
    <s v="USR-101303"/>
    <d v="2025-02-27T00:00:00"/>
    <x v="1"/>
    <s v="North"/>
    <s v="Mobile"/>
    <s v="Social"/>
    <s v="Basic"/>
    <n v="1"/>
    <n v="1"/>
    <n v="1"/>
    <n v="0"/>
    <n v="0"/>
    <n v="0"/>
    <n v="0"/>
    <m/>
    <n v="51.1"/>
  </r>
  <r>
    <s v="USR-101304"/>
    <d v="2025-01-14T00:00:00"/>
    <x v="1"/>
    <s v="West"/>
    <s v="Mobile"/>
    <s v="Paid Search"/>
    <s v="Basic"/>
    <n v="1"/>
    <n v="1"/>
    <n v="1"/>
    <n v="0"/>
    <n v="0"/>
    <n v="0"/>
    <n v="0"/>
    <m/>
    <n v="57"/>
  </r>
  <r>
    <s v="USR-101305"/>
    <d v="2025-04-11T00:00:00"/>
    <x v="1"/>
    <s v="East"/>
    <s v="Mobile"/>
    <s v="Social"/>
    <s v="Free"/>
    <n v="0"/>
    <n v="0"/>
    <n v="0"/>
    <n v="0"/>
    <n v="0"/>
    <n v="1"/>
    <n v="0"/>
    <m/>
    <n v="47.1"/>
  </r>
  <r>
    <s v="USR-101306"/>
    <d v="2025-03-26T00:00:00"/>
    <x v="1"/>
    <s v="East"/>
    <s v="Desktop"/>
    <s v="Social"/>
    <s v="Basic"/>
    <n v="0"/>
    <n v="0"/>
    <n v="0"/>
    <n v="0"/>
    <n v="0"/>
    <n v="0"/>
    <n v="0"/>
    <m/>
    <n v="30.7"/>
  </r>
  <r>
    <s v="USR-101307"/>
    <d v="2025-02-12T00:00:00"/>
    <x v="1"/>
    <s v="West"/>
    <s v="Desktop"/>
    <s v="Social"/>
    <s v="Free"/>
    <n v="1"/>
    <n v="0"/>
    <n v="0"/>
    <n v="0"/>
    <n v="0"/>
    <n v="0"/>
    <n v="0"/>
    <m/>
    <n v="57.3"/>
  </r>
  <r>
    <s v="USR-101308"/>
    <d v="2025-02-18T00:00:00"/>
    <x v="1"/>
    <s v="West"/>
    <s v="Tablet"/>
    <s v="Paid Search"/>
    <s v="Basic"/>
    <n v="1"/>
    <n v="0"/>
    <n v="0"/>
    <n v="0"/>
    <n v="0"/>
    <n v="0"/>
    <n v="0"/>
    <m/>
    <n v="70"/>
  </r>
  <r>
    <s v="USR-101309"/>
    <d v="2025-05-25T00:00:00"/>
    <x v="1"/>
    <s v="East"/>
    <s v="Desktop"/>
    <s v="Social"/>
    <s v="Free"/>
    <n v="1"/>
    <n v="1"/>
    <n v="1"/>
    <n v="0"/>
    <n v="0"/>
    <n v="0"/>
    <n v="0"/>
    <m/>
    <n v="59.7"/>
  </r>
  <r>
    <s v="USR-101310"/>
    <d v="2025-05-23T00:00:00"/>
    <x v="1"/>
    <s v="East"/>
    <s v="Desktop"/>
    <s v="Paid Search"/>
    <s v="Basic"/>
    <n v="1"/>
    <n v="0"/>
    <n v="0"/>
    <n v="0"/>
    <n v="0"/>
    <n v="0"/>
    <n v="0"/>
    <m/>
    <n v="68.8"/>
  </r>
  <r>
    <s v="USR-101311"/>
    <d v="2025-01-16T00:00:00"/>
    <x v="1"/>
    <s v="North"/>
    <s v="Desktop"/>
    <s v="Organic"/>
    <s v="Free"/>
    <n v="1"/>
    <n v="1"/>
    <n v="1"/>
    <n v="1"/>
    <n v="428.37"/>
    <n v="0"/>
    <n v="0"/>
    <n v="9"/>
    <n v="88.3"/>
  </r>
  <r>
    <s v="USR-101312"/>
    <d v="2025-01-19T00:00:00"/>
    <x v="1"/>
    <s v="West"/>
    <s v="Desktop"/>
    <s v="Email"/>
    <s v="Basic"/>
    <n v="0"/>
    <n v="0"/>
    <n v="0"/>
    <n v="0"/>
    <n v="0"/>
    <n v="0"/>
    <n v="0"/>
    <m/>
    <n v="83.4"/>
  </r>
  <r>
    <s v="USR-101313"/>
    <d v="2025-05-18T00:00:00"/>
    <x v="1"/>
    <s v="South"/>
    <s v="Mobile"/>
    <s v="Referral"/>
    <s v="Free"/>
    <n v="0"/>
    <n v="0"/>
    <n v="0"/>
    <n v="0"/>
    <n v="0"/>
    <n v="1"/>
    <n v="0"/>
    <m/>
    <n v="81.599999999999994"/>
  </r>
  <r>
    <s v="USR-101314"/>
    <d v="2025-01-23T00:00:00"/>
    <x v="1"/>
    <s v="East"/>
    <s v="Tablet"/>
    <s v="Social"/>
    <s v="Premium"/>
    <n v="1"/>
    <n v="0"/>
    <n v="0"/>
    <n v="0"/>
    <n v="0"/>
    <n v="0"/>
    <n v="0"/>
    <m/>
    <n v="91.6"/>
  </r>
  <r>
    <s v="USR-101315"/>
    <d v="2025-01-08T00:00:00"/>
    <x v="1"/>
    <s v="East"/>
    <s v="Tablet"/>
    <s v="UNKNOWN"/>
    <s v="Premium"/>
    <n v="1"/>
    <n v="1"/>
    <n v="1"/>
    <n v="0"/>
    <n v="0"/>
    <n v="1"/>
    <n v="0"/>
    <m/>
    <n v="61.5"/>
  </r>
  <r>
    <s v="USR-101316"/>
    <d v="2025-02-19T00:00:00"/>
    <x v="1"/>
    <s v="North"/>
    <s v="Mobile"/>
    <s v="Organic"/>
    <s v="Premium"/>
    <n v="0"/>
    <n v="0"/>
    <n v="0"/>
    <n v="0"/>
    <n v="0"/>
    <n v="0"/>
    <n v="0"/>
    <m/>
    <n v="60.02"/>
  </r>
  <r>
    <s v="USR-101317"/>
    <d v="2025-02-10T00:00:00"/>
    <x v="1"/>
    <s v="South"/>
    <s v="Mobile"/>
    <s v="Organic"/>
    <s v="Free"/>
    <n v="1"/>
    <n v="0"/>
    <n v="0"/>
    <n v="0"/>
    <n v="0"/>
    <n v="0"/>
    <n v="0"/>
    <m/>
    <n v="32.6"/>
  </r>
  <r>
    <s v="USR-101318"/>
    <d v="2025-04-13T00:00:00"/>
    <x v="1"/>
    <s v="South"/>
    <s v="Mobile"/>
    <s v="Paid Search"/>
    <s v="Free"/>
    <n v="1"/>
    <n v="0"/>
    <n v="0"/>
    <n v="0"/>
    <n v="0"/>
    <n v="0"/>
    <n v="0"/>
    <m/>
    <n v="73.900000000000006"/>
  </r>
  <r>
    <s v="USR-101319"/>
    <d v="2025-05-20T00:00:00"/>
    <x v="1"/>
    <s v="East"/>
    <s v="Mobile"/>
    <s v="Organic"/>
    <s v="Free"/>
    <n v="1"/>
    <n v="1"/>
    <n v="1"/>
    <n v="1"/>
    <n v="444.06"/>
    <n v="0"/>
    <n v="0"/>
    <n v="9"/>
    <n v="99.9"/>
  </r>
  <r>
    <s v="USR-101320"/>
    <d v="2025-05-13T00:00:00"/>
    <x v="1"/>
    <s v="South"/>
    <s v="Mobile"/>
    <s v="Paid Search"/>
    <s v="Basic"/>
    <n v="1"/>
    <n v="1"/>
    <n v="0"/>
    <n v="0"/>
    <n v="0"/>
    <n v="1"/>
    <n v="0"/>
    <m/>
    <n v="62.4"/>
  </r>
  <r>
    <s v="USR-101321"/>
    <d v="2025-05-28T00:00:00"/>
    <x v="1"/>
    <s v="South"/>
    <s v="Desktop"/>
    <s v="Paid Search"/>
    <s v="Basic"/>
    <n v="1"/>
    <n v="0"/>
    <n v="0"/>
    <n v="0"/>
    <n v="0"/>
    <n v="0"/>
    <n v="0"/>
    <m/>
    <n v="46.1"/>
  </r>
  <r>
    <s v="USR-101322"/>
    <d v="2025-03-19T00:00:00"/>
    <x v="1"/>
    <s v="West"/>
    <s v="Mobile"/>
    <s v="Organic"/>
    <s v="Free"/>
    <n v="1"/>
    <n v="1"/>
    <n v="1"/>
    <n v="1"/>
    <n v="2660.21"/>
    <n v="0"/>
    <n v="0"/>
    <n v="3"/>
    <n v="73.900000000000006"/>
  </r>
  <r>
    <s v="USR-101323"/>
    <d v="2025-02-03T00:00:00"/>
    <x v="1"/>
    <s v="North"/>
    <s v="Mobile"/>
    <s v="Email"/>
    <s v="Premium"/>
    <n v="0"/>
    <n v="0"/>
    <n v="0"/>
    <n v="0"/>
    <n v="0"/>
    <n v="0"/>
    <n v="0"/>
    <m/>
    <n v="90"/>
  </r>
  <r>
    <s v="USR-101324"/>
    <d v="2025-02-26T00:00:00"/>
    <x v="1"/>
    <s v="South"/>
    <s v="Mobile"/>
    <s v="Email"/>
    <s v="Basic"/>
    <n v="1"/>
    <n v="0"/>
    <n v="0"/>
    <n v="0"/>
    <n v="0"/>
    <n v="1"/>
    <n v="0"/>
    <m/>
    <n v="68.8"/>
  </r>
  <r>
    <s v="USR-101325"/>
    <d v="2025-01-26T00:00:00"/>
    <x v="1"/>
    <s v="West"/>
    <s v="Mobile"/>
    <s v="Paid Search"/>
    <s v="Free"/>
    <n v="1"/>
    <n v="0"/>
    <n v="0"/>
    <n v="0"/>
    <n v="0"/>
    <n v="0"/>
    <n v="0"/>
    <m/>
    <n v="66.599999999999994"/>
  </r>
  <r>
    <s v="USR-101326"/>
    <d v="2025-05-13T00:00:00"/>
    <x v="1"/>
    <s v="North"/>
    <s v="Mobile"/>
    <s v="Organic"/>
    <s v="Premium"/>
    <n v="1"/>
    <n v="0"/>
    <n v="0"/>
    <n v="0"/>
    <n v="0"/>
    <n v="0"/>
    <n v="0"/>
    <m/>
    <n v="49.7"/>
  </r>
  <r>
    <s v="USR-101327"/>
    <d v="2025-02-02T00:00:00"/>
    <x v="1"/>
    <s v="South"/>
    <s v="Mobile"/>
    <s v="Paid Search"/>
    <s v="Basic"/>
    <n v="0"/>
    <n v="0"/>
    <n v="0"/>
    <n v="0"/>
    <n v="0"/>
    <n v="0"/>
    <n v="0"/>
    <m/>
    <n v="67.900000000000006"/>
  </r>
  <r>
    <s v="USR-101328"/>
    <d v="2025-04-30T00:00:00"/>
    <x v="1"/>
    <s v="West"/>
    <s v="Mobile"/>
    <s v="UNKNOWN"/>
    <s v="Basic"/>
    <n v="0"/>
    <n v="0"/>
    <n v="0"/>
    <n v="0"/>
    <n v="0"/>
    <n v="0"/>
    <n v="0"/>
    <m/>
    <n v="66.900000000000006"/>
  </r>
  <r>
    <s v="USR-101329"/>
    <d v="2025-03-29T00:00:00"/>
    <x v="1"/>
    <s v="East"/>
    <s v="Mobile"/>
    <s v="Organic"/>
    <s v="Free"/>
    <n v="0"/>
    <n v="0"/>
    <n v="0"/>
    <n v="0"/>
    <n v="0"/>
    <n v="0"/>
    <n v="0"/>
    <m/>
    <n v="46.1"/>
  </r>
  <r>
    <s v="USR-101330"/>
    <d v="2025-04-09T00:00:00"/>
    <x v="1"/>
    <s v="West"/>
    <s v="Desktop"/>
    <s v="Referral"/>
    <s v="Premium"/>
    <n v="1"/>
    <n v="0"/>
    <n v="0"/>
    <n v="0"/>
    <n v="0"/>
    <n v="0"/>
    <n v="0"/>
    <m/>
    <n v="85.6"/>
  </r>
  <r>
    <s v="USR-101331"/>
    <d v="2025-01-22T00:00:00"/>
    <x v="1"/>
    <s v="South"/>
    <s v="Tablet"/>
    <s v="Organic"/>
    <s v="Free"/>
    <n v="0"/>
    <n v="0"/>
    <n v="0"/>
    <n v="0"/>
    <n v="0"/>
    <n v="0"/>
    <n v="0"/>
    <m/>
    <n v="39.6"/>
  </r>
  <r>
    <s v="USR-101332"/>
    <d v="2025-01-27T00:00:00"/>
    <x v="1"/>
    <s v="South"/>
    <s v="Mobile"/>
    <s v="Organic"/>
    <s v="Basic"/>
    <n v="1"/>
    <n v="0"/>
    <n v="0"/>
    <n v="0"/>
    <n v="0"/>
    <n v="0"/>
    <n v="0"/>
    <m/>
    <n v="52.5"/>
  </r>
  <r>
    <s v="USR-101333"/>
    <d v="2025-01-22T00:00:00"/>
    <x v="1"/>
    <s v="East"/>
    <s v="Mobile"/>
    <s v="Social"/>
    <s v="Premium"/>
    <n v="1"/>
    <n v="0"/>
    <n v="0"/>
    <n v="0"/>
    <n v="0"/>
    <n v="0"/>
    <n v="0"/>
    <m/>
    <n v="73.5"/>
  </r>
  <r>
    <s v="USR-101334"/>
    <d v="2025-01-06T00:00:00"/>
    <x v="1"/>
    <s v="West"/>
    <s v="Desktop"/>
    <s v="Paid Search"/>
    <s v="Free"/>
    <n v="0"/>
    <n v="0"/>
    <n v="0"/>
    <n v="0"/>
    <n v="0"/>
    <n v="0"/>
    <n v="0"/>
    <m/>
    <n v="62.5"/>
  </r>
  <r>
    <s v="USR-101335"/>
    <d v="2025-04-16T00:00:00"/>
    <x v="1"/>
    <s v="South"/>
    <s v="UNKNOWN"/>
    <s v="Organic"/>
    <s v="Free"/>
    <n v="1"/>
    <n v="0"/>
    <n v="0"/>
    <n v="0"/>
    <n v="0"/>
    <n v="0"/>
    <n v="0"/>
    <m/>
    <n v="76.900000000000006"/>
  </r>
  <r>
    <s v="USR-101336"/>
    <d v="2025-04-14T00:00:00"/>
    <x v="1"/>
    <s v="South"/>
    <s v="Mobile"/>
    <s v="Organic"/>
    <s v="Free"/>
    <n v="1"/>
    <n v="0"/>
    <n v="0"/>
    <n v="0"/>
    <n v="0"/>
    <n v="0"/>
    <n v="0"/>
    <m/>
    <n v="51.4"/>
  </r>
  <r>
    <s v="USR-101337"/>
    <d v="2025-02-22T00:00:00"/>
    <x v="1"/>
    <s v="West"/>
    <s v="Mobile"/>
    <s v="Paid Search"/>
    <s v="Basic"/>
    <n v="1"/>
    <n v="0"/>
    <n v="0"/>
    <n v="0"/>
    <n v="0"/>
    <n v="0"/>
    <n v="0"/>
    <m/>
    <n v="59.3"/>
  </r>
  <r>
    <s v="USR-101338"/>
    <d v="2025-03-09T00:00:00"/>
    <x v="1"/>
    <s v="North"/>
    <s v="Mobile"/>
    <s v="Organic"/>
    <s v="Basic"/>
    <n v="0"/>
    <n v="0"/>
    <n v="0"/>
    <n v="0"/>
    <n v="0"/>
    <n v="0"/>
    <n v="0"/>
    <m/>
    <n v="74.900000000000006"/>
  </r>
  <r>
    <s v="USR-101339"/>
    <d v="2025-04-20T00:00:00"/>
    <x v="1"/>
    <s v="West"/>
    <s v="Desktop"/>
    <s v="Organic"/>
    <s v="Free"/>
    <n v="1"/>
    <n v="0"/>
    <n v="0"/>
    <n v="0"/>
    <n v="0"/>
    <n v="0"/>
    <n v="0"/>
    <m/>
    <n v="67"/>
  </r>
  <r>
    <s v="USR-101340"/>
    <d v="2025-03-10T00:00:00"/>
    <x v="1"/>
    <s v="South"/>
    <s v="Mobile"/>
    <s v="Email"/>
    <s v="Free"/>
    <n v="0"/>
    <n v="0"/>
    <n v="0"/>
    <n v="0"/>
    <n v="0"/>
    <n v="0"/>
    <n v="0"/>
    <m/>
    <n v="63.6"/>
  </r>
  <r>
    <s v="USR-101341"/>
    <d v="2025-02-21T00:00:00"/>
    <x v="1"/>
    <s v="South"/>
    <s v="Mobile"/>
    <s v="Email"/>
    <s v="Free"/>
    <n v="1"/>
    <n v="1"/>
    <n v="0"/>
    <n v="0"/>
    <n v="0"/>
    <n v="1"/>
    <n v="0"/>
    <m/>
    <n v="58.4"/>
  </r>
  <r>
    <s v="USR-101342"/>
    <d v="2025-01-06T00:00:00"/>
    <x v="1"/>
    <s v="North"/>
    <s v="Desktop"/>
    <s v="Social"/>
    <s v="Free"/>
    <n v="1"/>
    <n v="0"/>
    <n v="0"/>
    <n v="0"/>
    <n v="0"/>
    <n v="0"/>
    <n v="0"/>
    <m/>
    <n v="36.799999999999997"/>
  </r>
  <r>
    <s v="USR-101343"/>
    <d v="2025-04-17T00:00:00"/>
    <x v="1"/>
    <s v="South"/>
    <s v="Mobile"/>
    <s v="Organic"/>
    <s v="Premium"/>
    <n v="1"/>
    <n v="0"/>
    <n v="0"/>
    <n v="0"/>
    <n v="0"/>
    <n v="0"/>
    <n v="0"/>
    <m/>
    <n v="71.599999999999994"/>
  </r>
  <r>
    <s v="USR-101344"/>
    <d v="2025-05-23T00:00:00"/>
    <x v="1"/>
    <s v="South"/>
    <s v="Mobile"/>
    <s v="Email"/>
    <s v="Basic"/>
    <n v="1"/>
    <n v="1"/>
    <n v="0"/>
    <n v="0"/>
    <n v="0"/>
    <n v="1"/>
    <n v="0"/>
    <m/>
    <n v="79.7"/>
  </r>
  <r>
    <s v="USR-101345"/>
    <d v="2025-03-14T00:00:00"/>
    <x v="1"/>
    <s v="West"/>
    <s v="Desktop"/>
    <s v="Organic"/>
    <s v="Basic"/>
    <n v="1"/>
    <n v="0"/>
    <n v="0"/>
    <n v="0"/>
    <n v="0"/>
    <n v="1"/>
    <n v="0"/>
    <m/>
    <n v="56.5"/>
  </r>
  <r>
    <s v="USR-101346"/>
    <d v="2025-04-21T00:00:00"/>
    <x v="1"/>
    <s v="North"/>
    <s v="Mobile"/>
    <s v="Social"/>
    <s v="Premium"/>
    <n v="1"/>
    <n v="0"/>
    <n v="0"/>
    <n v="0"/>
    <n v="0"/>
    <n v="0"/>
    <n v="0"/>
    <m/>
    <n v="44.7"/>
  </r>
  <r>
    <s v="USR-101347"/>
    <d v="2025-01-03T00:00:00"/>
    <x v="1"/>
    <s v="South"/>
    <s v="Mobile"/>
    <s v="Social"/>
    <s v="Free"/>
    <n v="1"/>
    <n v="1"/>
    <n v="1"/>
    <n v="0"/>
    <n v="0"/>
    <n v="1"/>
    <n v="0"/>
    <m/>
    <n v="66"/>
  </r>
  <r>
    <s v="USR-101348"/>
    <d v="2025-05-09T00:00:00"/>
    <x v="1"/>
    <s v="North"/>
    <s v="Desktop"/>
    <s v="Organic"/>
    <s v="Basic"/>
    <n v="1"/>
    <n v="0"/>
    <n v="0"/>
    <n v="0"/>
    <n v="0"/>
    <n v="0"/>
    <n v="0"/>
    <m/>
    <n v="73"/>
  </r>
  <r>
    <s v="USR-101349"/>
    <d v="2025-05-22T00:00:00"/>
    <x v="1"/>
    <s v="South"/>
    <s v="Mobile"/>
    <s v="Organic"/>
    <s v="Basic"/>
    <n v="1"/>
    <n v="1"/>
    <n v="1"/>
    <n v="0"/>
    <n v="0"/>
    <n v="1"/>
    <n v="0"/>
    <m/>
    <n v="72.5"/>
  </r>
  <r>
    <s v="USR-101350"/>
    <d v="2025-05-07T00:00:00"/>
    <x v="1"/>
    <s v="South"/>
    <s v="Desktop"/>
    <s v="Paid Search"/>
    <s v="Free"/>
    <n v="1"/>
    <n v="1"/>
    <n v="1"/>
    <n v="1"/>
    <n v="323.60000000000002"/>
    <n v="0"/>
    <n v="0"/>
    <n v="6"/>
    <n v="100"/>
  </r>
  <r>
    <s v="USR-101351"/>
    <d v="2025-02-08T00:00:00"/>
    <x v="1"/>
    <s v="East"/>
    <s v="Mobile"/>
    <s v="Social"/>
    <s v="Free"/>
    <n v="0"/>
    <n v="0"/>
    <n v="0"/>
    <n v="0"/>
    <n v="0"/>
    <n v="1"/>
    <n v="0"/>
    <m/>
    <n v="90.5"/>
  </r>
  <r>
    <s v="USR-101352"/>
    <d v="2025-04-03T00:00:00"/>
    <x v="1"/>
    <s v="North"/>
    <s v="Tablet"/>
    <s v="Social"/>
    <s v="Basic"/>
    <n v="1"/>
    <n v="0"/>
    <n v="0"/>
    <n v="0"/>
    <n v="0"/>
    <n v="0"/>
    <n v="0"/>
    <m/>
    <n v="70.2"/>
  </r>
  <r>
    <s v="USR-101353"/>
    <d v="2025-04-17T00:00:00"/>
    <x v="1"/>
    <s v="East"/>
    <s v="Desktop"/>
    <s v="Paid Search"/>
    <s v="Free"/>
    <n v="1"/>
    <n v="0"/>
    <n v="0"/>
    <n v="0"/>
    <n v="0"/>
    <n v="1"/>
    <n v="0"/>
    <m/>
    <n v="67.099999999999994"/>
  </r>
  <r>
    <s v="USR-101354"/>
    <d v="2025-05-04T00:00:00"/>
    <x v="1"/>
    <s v="East"/>
    <s v="Mobile"/>
    <s v="Organic"/>
    <s v="Free"/>
    <n v="0"/>
    <n v="0"/>
    <n v="0"/>
    <n v="0"/>
    <n v="0"/>
    <n v="0"/>
    <n v="0"/>
    <m/>
    <n v="54.5"/>
  </r>
  <r>
    <s v="USR-101355"/>
    <d v="2025-05-11T00:00:00"/>
    <x v="1"/>
    <s v="West"/>
    <s v="Desktop"/>
    <s v="Organic"/>
    <s v="Free"/>
    <n v="1"/>
    <n v="0"/>
    <n v="0"/>
    <n v="0"/>
    <n v="0"/>
    <n v="0"/>
    <n v="0"/>
    <m/>
    <n v="63.4"/>
  </r>
  <r>
    <s v="USR-101356"/>
    <d v="2025-03-01T00:00:00"/>
    <x v="1"/>
    <s v="North"/>
    <s v="Desktop"/>
    <s v="UNKNOWN"/>
    <s v="Free"/>
    <n v="1"/>
    <n v="1"/>
    <n v="1"/>
    <n v="0"/>
    <n v="0"/>
    <n v="0"/>
    <n v="0"/>
    <m/>
    <n v="84.3"/>
  </r>
  <r>
    <s v="USR-101357"/>
    <d v="2025-02-20T00:00:00"/>
    <x v="1"/>
    <s v="West"/>
    <s v="Desktop"/>
    <s v="Organic"/>
    <s v="Free"/>
    <n v="1"/>
    <n v="0"/>
    <n v="0"/>
    <n v="0"/>
    <n v="0"/>
    <n v="1"/>
    <n v="0"/>
    <m/>
    <n v="55"/>
  </r>
  <r>
    <s v="USR-101358"/>
    <d v="2025-05-09T00:00:00"/>
    <x v="1"/>
    <s v="West"/>
    <s v="Mobile"/>
    <s v="Social"/>
    <s v="Free"/>
    <n v="1"/>
    <n v="0"/>
    <n v="0"/>
    <n v="0"/>
    <n v="0"/>
    <n v="0"/>
    <n v="0"/>
    <m/>
    <n v="63.6"/>
  </r>
  <r>
    <s v="USR-101359"/>
    <d v="2025-04-30T00:00:00"/>
    <x v="1"/>
    <s v="West"/>
    <s v="Mobile"/>
    <s v="Organic"/>
    <s v="Free"/>
    <n v="1"/>
    <n v="0"/>
    <n v="0"/>
    <n v="0"/>
    <n v="0"/>
    <n v="0"/>
    <n v="0"/>
    <m/>
    <n v="55.5"/>
  </r>
  <r>
    <s v="USR-101360"/>
    <d v="2025-01-07T00:00:00"/>
    <x v="1"/>
    <s v="South"/>
    <s v="Mobile"/>
    <s v="Social"/>
    <s v="Basic"/>
    <n v="0"/>
    <n v="0"/>
    <n v="0"/>
    <n v="0"/>
    <n v="0"/>
    <n v="0"/>
    <n v="0"/>
    <m/>
    <n v="50.5"/>
  </r>
  <r>
    <s v="USR-101361"/>
    <d v="2025-04-30T00:00:00"/>
    <x v="1"/>
    <s v="North"/>
    <s v="Mobile"/>
    <s v="Social"/>
    <s v="Basic"/>
    <n v="1"/>
    <n v="0"/>
    <n v="0"/>
    <n v="0"/>
    <n v="0"/>
    <n v="0"/>
    <n v="0"/>
    <m/>
    <n v="45.3"/>
  </r>
  <r>
    <s v="USR-101362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s v="USR-101363"/>
    <d v="2025-03-12T00:00:00"/>
    <x v="1"/>
    <s v="South"/>
    <s v="Mobile"/>
    <s v="Paid Search"/>
    <s v="Premium"/>
    <n v="1"/>
    <n v="1"/>
    <n v="1"/>
    <n v="0"/>
    <n v="0"/>
    <n v="0"/>
    <n v="0"/>
    <m/>
    <n v="88.2"/>
  </r>
  <r>
    <s v="USR-101364"/>
    <d v="2025-02-17T00:00:00"/>
    <x v="1"/>
    <s v="North"/>
    <s v="Mobile"/>
    <s v="Organic"/>
    <s v="Premium"/>
    <n v="1"/>
    <n v="0"/>
    <n v="0"/>
    <n v="0"/>
    <n v="0"/>
    <n v="0"/>
    <n v="0"/>
    <m/>
    <n v="51.8"/>
  </r>
  <r>
    <s v="USR-101365"/>
    <d v="2025-05-27T00:00:00"/>
    <x v="1"/>
    <s v="North"/>
    <s v="Desktop"/>
    <s v="Organic"/>
    <s v="Basic"/>
    <n v="0"/>
    <n v="0"/>
    <n v="0"/>
    <n v="0"/>
    <n v="0"/>
    <n v="0"/>
    <n v="0"/>
    <m/>
    <n v="87.9"/>
  </r>
  <r>
    <s v="USR-101366"/>
    <d v="2025-05-10T00:00:00"/>
    <x v="1"/>
    <s v="South"/>
    <s v="Mobile"/>
    <s v="Social"/>
    <s v="Premium"/>
    <n v="1"/>
    <n v="0"/>
    <n v="0"/>
    <n v="0"/>
    <n v="0"/>
    <n v="2"/>
    <n v="0"/>
    <m/>
    <n v="70.5"/>
  </r>
  <r>
    <s v="USR-101367"/>
    <d v="2025-01-20T00:00:00"/>
    <x v="1"/>
    <s v="North"/>
    <s v="Mobile"/>
    <s v="Organic"/>
    <s v="Basic"/>
    <n v="1"/>
    <n v="1"/>
    <n v="0"/>
    <n v="0"/>
    <n v="0"/>
    <n v="2"/>
    <n v="0"/>
    <m/>
    <n v="58.5"/>
  </r>
  <r>
    <s v="USR-101368"/>
    <d v="2025-01-19T00:00:00"/>
    <x v="1"/>
    <s v="East"/>
    <s v="Mobile"/>
    <s v="Referral"/>
    <s v="Free"/>
    <n v="1"/>
    <n v="0"/>
    <n v="0"/>
    <n v="0"/>
    <n v="0"/>
    <n v="0"/>
    <n v="0"/>
    <m/>
    <n v="65.599999999999994"/>
  </r>
  <r>
    <s v="USR-101369"/>
    <d v="2025-03-07T00:00:00"/>
    <x v="1"/>
    <s v="West"/>
    <s v="Desktop"/>
    <s v="Paid Search"/>
    <s v="Basic"/>
    <n v="1"/>
    <n v="1"/>
    <n v="0"/>
    <n v="0"/>
    <n v="0"/>
    <n v="0"/>
    <n v="0"/>
    <m/>
    <n v="62.7"/>
  </r>
  <r>
    <s v="USR-101370"/>
    <d v="2025-02-02T00:00:00"/>
    <x v="1"/>
    <s v="East"/>
    <s v="Mobile"/>
    <s v="Organic"/>
    <s v="Free"/>
    <n v="0"/>
    <n v="0"/>
    <n v="0"/>
    <n v="0"/>
    <n v="0"/>
    <n v="1"/>
    <n v="0"/>
    <m/>
    <n v="50.9"/>
  </r>
  <r>
    <s v="USR-101371"/>
    <d v="2025-03-07T00:00:00"/>
    <x v="1"/>
    <s v="North"/>
    <s v="Mobile"/>
    <s v="Organic"/>
    <s v="Free"/>
    <n v="0"/>
    <n v="0"/>
    <n v="0"/>
    <n v="0"/>
    <n v="0"/>
    <n v="1"/>
    <n v="0"/>
    <m/>
    <n v="60.6"/>
  </r>
  <r>
    <s v="USR-101372"/>
    <d v="2025-03-30T00:00:00"/>
    <x v="1"/>
    <s v="East"/>
    <s v="Desktop"/>
    <s v="Organic"/>
    <s v="Free"/>
    <n v="1"/>
    <n v="1"/>
    <n v="1"/>
    <n v="0"/>
    <n v="0"/>
    <n v="0"/>
    <n v="0"/>
    <m/>
    <n v="76.599999999999994"/>
  </r>
  <r>
    <s v="USR-101373"/>
    <d v="2025-05-05T00:00:00"/>
    <x v="1"/>
    <s v="East"/>
    <s v="Desktop"/>
    <s v="Paid Search"/>
    <s v="Free"/>
    <n v="1"/>
    <n v="1"/>
    <n v="1"/>
    <n v="0"/>
    <n v="0"/>
    <n v="0"/>
    <n v="0"/>
    <m/>
    <n v="54.4"/>
  </r>
  <r>
    <s v="USR-101374"/>
    <d v="2025-04-11T00:00:00"/>
    <x v="1"/>
    <s v="South"/>
    <s v="Mobile"/>
    <s v="Social"/>
    <s v="Free"/>
    <n v="1"/>
    <n v="0"/>
    <n v="0"/>
    <n v="0"/>
    <n v="0"/>
    <n v="0"/>
    <n v="0"/>
    <m/>
    <n v="31.2"/>
  </r>
  <r>
    <s v="USR-101375"/>
    <d v="2025-03-25T00:00:00"/>
    <x v="1"/>
    <s v="West"/>
    <s v="Desktop"/>
    <s v="Email"/>
    <s v="Premium"/>
    <n v="1"/>
    <n v="0"/>
    <n v="0"/>
    <n v="0"/>
    <n v="0"/>
    <n v="0"/>
    <n v="0"/>
    <m/>
    <n v="72.400000000000006"/>
  </r>
  <r>
    <s v="USR-101376"/>
    <d v="2025-03-24T00:00:00"/>
    <x v="1"/>
    <s v="North"/>
    <s v="Mobile"/>
    <s v="Organic"/>
    <s v="Premium"/>
    <n v="1"/>
    <n v="0"/>
    <n v="0"/>
    <n v="0"/>
    <n v="0"/>
    <n v="0"/>
    <n v="0"/>
    <m/>
    <n v="74.5"/>
  </r>
  <r>
    <s v="USR-101377"/>
    <d v="2025-04-27T00:00:00"/>
    <x v="1"/>
    <s v="East"/>
    <s v="Mobile"/>
    <s v="Organic"/>
    <s v="Basic"/>
    <n v="0"/>
    <n v="0"/>
    <n v="0"/>
    <n v="0"/>
    <n v="0"/>
    <n v="0"/>
    <n v="0"/>
    <m/>
    <n v="52.6"/>
  </r>
  <r>
    <s v="USR-101378"/>
    <d v="2025-01-25T00:00:00"/>
    <x v="1"/>
    <s v="North"/>
    <s v="Desktop"/>
    <s v="Paid Search"/>
    <s v="Free"/>
    <n v="1"/>
    <n v="0"/>
    <n v="0"/>
    <n v="0"/>
    <n v="0"/>
    <n v="0"/>
    <n v="0"/>
    <m/>
    <n v="75.400000000000006"/>
  </r>
  <r>
    <s v="USR-101379"/>
    <d v="2025-02-17T00:00:00"/>
    <x v="1"/>
    <s v="North"/>
    <s v="Tablet"/>
    <s v="Social"/>
    <s v="Basic"/>
    <n v="1"/>
    <n v="1"/>
    <n v="1"/>
    <n v="1"/>
    <n v="751.33"/>
    <n v="0"/>
    <n v="0"/>
    <n v="9"/>
    <n v="34"/>
  </r>
  <r>
    <s v="USR-101380"/>
    <d v="2025-04-13T00:00:00"/>
    <x v="1"/>
    <s v="South"/>
    <s v="Desktop"/>
    <s v="Organic"/>
    <s v="Free"/>
    <n v="1"/>
    <n v="0"/>
    <n v="0"/>
    <n v="0"/>
    <n v="0"/>
    <n v="0"/>
    <n v="0"/>
    <m/>
    <n v="67.099999999999994"/>
  </r>
  <r>
    <s v="USR-101381"/>
    <d v="2025-05-03T00:00:00"/>
    <x v="1"/>
    <s v="West"/>
    <s v="Desktop"/>
    <s v="Paid Search"/>
    <s v="Premium"/>
    <n v="1"/>
    <n v="0"/>
    <n v="0"/>
    <n v="0"/>
    <n v="0"/>
    <n v="0"/>
    <n v="0"/>
    <m/>
    <n v="37.299999999999997"/>
  </r>
  <r>
    <s v="USR-101382"/>
    <d v="2025-04-29T00:00:00"/>
    <x v="1"/>
    <s v="West"/>
    <s v="Mobile"/>
    <s v="Email"/>
    <s v="Free"/>
    <n v="1"/>
    <n v="0"/>
    <n v="0"/>
    <n v="0"/>
    <n v="0"/>
    <n v="0"/>
    <n v="0"/>
    <m/>
    <n v="54.7"/>
  </r>
  <r>
    <s v="USR-101383"/>
    <d v="2025-05-03T00:00:00"/>
    <x v="1"/>
    <s v="East"/>
    <s v="Desktop"/>
    <s v="Paid Search"/>
    <s v="Free"/>
    <n v="1"/>
    <n v="0"/>
    <n v="0"/>
    <n v="0"/>
    <n v="0"/>
    <n v="0"/>
    <n v="0"/>
    <m/>
    <n v="51.8"/>
  </r>
  <r>
    <s v="USR-101384"/>
    <d v="2025-04-28T00:00:00"/>
    <x v="1"/>
    <s v="West"/>
    <s v="Mobile"/>
    <s v="Paid Search"/>
    <s v="Free"/>
    <n v="0"/>
    <n v="0"/>
    <n v="0"/>
    <n v="0"/>
    <n v="0"/>
    <n v="0"/>
    <n v="0"/>
    <m/>
    <n v="49.2"/>
  </r>
  <r>
    <s v="USR-101385"/>
    <d v="2025-01-21T00:00:00"/>
    <x v="1"/>
    <s v="West"/>
    <s v="Mobile"/>
    <s v="Organic"/>
    <s v="Free"/>
    <n v="1"/>
    <n v="0"/>
    <n v="0"/>
    <n v="0"/>
    <n v="0"/>
    <n v="2"/>
    <n v="0"/>
    <m/>
    <n v="58.8"/>
  </r>
  <r>
    <s v="USR-101386"/>
    <d v="2025-01-21T00:00:00"/>
    <x v="1"/>
    <s v="North"/>
    <s v="Tablet"/>
    <s v="Paid Search"/>
    <s v="Basic"/>
    <n v="0"/>
    <n v="0"/>
    <n v="0"/>
    <n v="0"/>
    <n v="0"/>
    <n v="1"/>
    <n v="0"/>
    <m/>
    <n v="59.1"/>
  </r>
  <r>
    <s v="USR-101387"/>
    <d v="2025-05-21T00:00:00"/>
    <x v="1"/>
    <s v="West"/>
    <s v="Desktop"/>
    <s v="Paid Search"/>
    <s v="Free"/>
    <n v="1"/>
    <n v="0"/>
    <n v="0"/>
    <n v="0"/>
    <n v="0"/>
    <n v="2"/>
    <n v="0"/>
    <m/>
    <n v="49.6"/>
  </r>
  <r>
    <s v="USR-101388"/>
    <d v="2025-01-05T00:00:00"/>
    <x v="1"/>
    <s v="North"/>
    <s v="Mobile"/>
    <s v="Referral"/>
    <s v="Free"/>
    <n v="0"/>
    <n v="0"/>
    <n v="0"/>
    <n v="0"/>
    <n v="0"/>
    <n v="0"/>
    <n v="0"/>
    <m/>
    <n v="58.2"/>
  </r>
  <r>
    <s v="USR-101389"/>
    <d v="2025-03-06T00:00:00"/>
    <x v="1"/>
    <s v="South"/>
    <s v="Desktop"/>
    <s v="Organic"/>
    <s v="Free"/>
    <n v="1"/>
    <n v="0"/>
    <n v="0"/>
    <n v="0"/>
    <n v="0"/>
    <n v="0"/>
    <n v="0"/>
    <m/>
    <n v="66.8"/>
  </r>
  <r>
    <s v="USR-101390"/>
    <d v="2025-04-18T00:00:00"/>
    <x v="1"/>
    <s v="North"/>
    <s v="Mobile"/>
    <s v="Paid Search"/>
    <s v="Free"/>
    <n v="1"/>
    <n v="0"/>
    <n v="0"/>
    <n v="0"/>
    <n v="0"/>
    <n v="3"/>
    <n v="0"/>
    <m/>
    <n v="58.3"/>
  </r>
  <r>
    <s v="USR-101391"/>
    <d v="2025-04-15T00:00:00"/>
    <x v="1"/>
    <s v="West"/>
    <s v="Mobile"/>
    <s v="Organic"/>
    <s v="Basic"/>
    <n v="1"/>
    <n v="1"/>
    <n v="1"/>
    <n v="0"/>
    <n v="0"/>
    <n v="0"/>
    <n v="0"/>
    <m/>
    <n v="38.5"/>
  </r>
  <r>
    <s v="USR-101392"/>
    <d v="2025-02-10T00:00:00"/>
    <x v="1"/>
    <s v="East"/>
    <s v="Mobile"/>
    <s v="Paid Search"/>
    <s v="Free"/>
    <n v="1"/>
    <n v="0"/>
    <n v="0"/>
    <n v="0"/>
    <n v="0"/>
    <n v="0"/>
    <n v="0"/>
    <m/>
    <n v="76.900000000000006"/>
  </r>
  <r>
    <s v="USR-101393"/>
    <d v="2025-05-08T00:00:00"/>
    <x v="1"/>
    <s v="East"/>
    <s v="Mobile"/>
    <s v="Organic"/>
    <s v="Free"/>
    <n v="1"/>
    <n v="0"/>
    <n v="0"/>
    <n v="0"/>
    <n v="0"/>
    <n v="0"/>
    <n v="0"/>
    <m/>
    <n v="54"/>
  </r>
  <r>
    <s v="USR-101394"/>
    <d v="2025-05-28T00:00:00"/>
    <x v="1"/>
    <s v="East"/>
    <s v="Tablet"/>
    <s v="Organic"/>
    <s v="Free"/>
    <n v="1"/>
    <n v="0"/>
    <n v="0"/>
    <n v="0"/>
    <n v="0"/>
    <n v="0"/>
    <n v="0"/>
    <m/>
    <n v="70.599999999999994"/>
  </r>
  <r>
    <s v="USR-101395"/>
    <d v="2025-04-25T00:00:00"/>
    <x v="1"/>
    <s v="North"/>
    <s v="Tablet"/>
    <s v="Referral"/>
    <s v="Premium"/>
    <n v="1"/>
    <n v="1"/>
    <n v="1"/>
    <n v="0"/>
    <n v="0"/>
    <n v="1"/>
    <n v="0"/>
    <m/>
    <n v="69.400000000000006"/>
  </r>
  <r>
    <s v="USR-101396"/>
    <d v="2025-02-11T00:00:00"/>
    <x v="1"/>
    <s v="South"/>
    <s v="Mobile"/>
    <s v="UNKNOWN"/>
    <s v="Premium"/>
    <n v="1"/>
    <n v="1"/>
    <n v="1"/>
    <n v="1"/>
    <n v="1009.9"/>
    <n v="0"/>
    <n v="0"/>
    <n v="6"/>
    <n v="89.7"/>
  </r>
  <r>
    <s v="USR-101397"/>
    <d v="2025-04-14T00:00:00"/>
    <x v="1"/>
    <s v="West"/>
    <s v="Mobile"/>
    <s v="Organic"/>
    <s v="Free"/>
    <n v="1"/>
    <n v="0"/>
    <n v="0"/>
    <n v="0"/>
    <n v="0"/>
    <n v="0"/>
    <n v="0"/>
    <m/>
    <n v="62.4"/>
  </r>
  <r>
    <s v="USR-101398"/>
    <d v="2025-02-04T00:00:00"/>
    <x v="1"/>
    <s v="West"/>
    <s v="Tablet"/>
    <s v="Organic"/>
    <s v="Premium"/>
    <n v="0"/>
    <n v="0"/>
    <n v="0"/>
    <n v="0"/>
    <n v="0"/>
    <n v="0"/>
    <n v="0"/>
    <m/>
    <n v="67.3"/>
  </r>
  <r>
    <s v="USR-101399"/>
    <d v="2025-03-22T00:00:00"/>
    <x v="1"/>
    <s v="East"/>
    <s v="Mobile"/>
    <s v="Referral"/>
    <s v="Free"/>
    <n v="1"/>
    <n v="0"/>
    <n v="0"/>
    <n v="0"/>
    <n v="0"/>
    <n v="0"/>
    <n v="0"/>
    <m/>
    <n v="54.9"/>
  </r>
  <r>
    <s v="USR-101400"/>
    <d v="2025-04-18T00:00:00"/>
    <x v="1"/>
    <s v="East"/>
    <s v="Desktop"/>
    <s v="Social"/>
    <s v="Free"/>
    <n v="0"/>
    <n v="0"/>
    <n v="0"/>
    <n v="0"/>
    <n v="0"/>
    <n v="0"/>
    <n v="0"/>
    <m/>
    <n v="55.7"/>
  </r>
  <r>
    <s v="USR-100917"/>
    <d v="2025-02-23T00:00:00"/>
    <x v="1"/>
    <s v="West"/>
    <s v="Desktop"/>
    <s v="Social"/>
    <s v="Basic"/>
    <n v="1"/>
    <n v="1"/>
    <n v="1"/>
    <n v="0"/>
    <n v="0"/>
    <n v="0"/>
    <n v="0"/>
    <m/>
    <n v="70.599999999999994"/>
  </r>
  <r>
    <s v="USR-100433"/>
    <d v="2025-02-03T00:00:00"/>
    <x v="0"/>
    <s v="North"/>
    <s v="Tablet"/>
    <s v="Email"/>
    <s v="Basic"/>
    <n v="1"/>
    <n v="0"/>
    <n v="0"/>
    <n v="0"/>
    <n v="0"/>
    <n v="0"/>
    <n v="0"/>
    <m/>
    <n v="60.9"/>
  </r>
  <r>
    <s v="USR-101362"/>
    <d v="2025-05-23T00:00:00"/>
    <x v="1"/>
    <s v="East"/>
    <s v="Mobile"/>
    <s v="Organic"/>
    <s v="Basic"/>
    <n v="1"/>
    <n v="0"/>
    <n v="0"/>
    <n v="0"/>
    <n v="0"/>
    <n v="0"/>
    <n v="0"/>
    <m/>
    <n v="33.6"/>
  </r>
  <r>
    <s v="USR-100096"/>
    <d v="2025-02-05T00:00:00"/>
    <x v="0"/>
    <s v="East"/>
    <s v="Mobile"/>
    <s v="Social"/>
    <s v="Free"/>
    <n v="0"/>
    <n v="0"/>
    <n v="0"/>
    <n v="0"/>
    <n v="0"/>
    <n v="0"/>
    <n v="0"/>
    <m/>
    <n v="68"/>
  </r>
  <r>
    <s v="USR-101210"/>
    <d v="2025-02-24T00:00:00"/>
    <x v="1"/>
    <s v="West"/>
    <s v="Mobile"/>
    <s v="Organic"/>
    <s v="Basic"/>
    <n v="1"/>
    <n v="0"/>
    <n v="0"/>
    <n v="0"/>
    <n v="0"/>
    <n v="0"/>
    <n v="0"/>
    <m/>
    <n v="62"/>
  </r>
  <r>
    <s v="USR-101232"/>
    <d v="2025-03-30T00:00:00"/>
    <x v="1"/>
    <s v="East"/>
    <s v="Mobile"/>
    <s v="Organic"/>
    <s v="Free"/>
    <n v="1"/>
    <n v="1"/>
    <n v="1"/>
    <n v="0"/>
    <n v="0"/>
    <n v="1"/>
    <n v="0"/>
    <m/>
    <n v="72.5"/>
  </r>
  <r>
    <s v="USR-101059"/>
    <d v="2025-05-16T00:00:00"/>
    <x v="1"/>
    <s v="South"/>
    <s v="Mobile"/>
    <s v="Organic"/>
    <s v="Free"/>
    <n v="1"/>
    <n v="0"/>
    <n v="0"/>
    <n v="0"/>
    <n v="0"/>
    <n v="0"/>
    <n v="0"/>
    <m/>
    <n v="70.3"/>
  </r>
  <r>
    <s v="USR-100541"/>
    <d v="2025-05-22T00:00:00"/>
    <x v="0"/>
    <s v="North"/>
    <s v="Mobile"/>
    <s v="Paid Search"/>
    <s v="Basic"/>
    <n v="1"/>
    <n v="1"/>
    <n v="0"/>
    <n v="0"/>
    <n v="0"/>
    <n v="0"/>
    <n v="0"/>
    <m/>
    <n v="39.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x v="0"/>
    <x v="0"/>
    <x v="0"/>
    <x v="0"/>
    <n v="0"/>
    <n v="0"/>
    <n v="0"/>
    <n v="0"/>
    <n v="0"/>
    <n v="0"/>
    <n v="0"/>
    <m/>
    <n v="45.7"/>
    <n v="0"/>
    <s v="Unique"/>
    <s v="Valid"/>
  </r>
  <r>
    <s v="USR-100002"/>
    <d v="2025-03-08T00:00:00"/>
    <x v="0"/>
    <x v="1"/>
    <x v="1"/>
    <x v="1"/>
    <x v="1"/>
    <n v="1"/>
    <n v="0"/>
    <n v="0"/>
    <n v="0"/>
    <n v="0"/>
    <n v="0"/>
    <n v="0"/>
    <m/>
    <n v="48.6"/>
    <n v="0"/>
    <s v="Unique"/>
    <s v="Valid"/>
  </r>
  <r>
    <s v="USR-100003"/>
    <d v="2025-04-24T00:00:00"/>
    <x v="0"/>
    <x v="2"/>
    <x v="1"/>
    <x v="2"/>
    <x v="2"/>
    <n v="1"/>
    <n v="0"/>
    <n v="0"/>
    <n v="0"/>
    <n v="0"/>
    <n v="1"/>
    <n v="0"/>
    <m/>
    <n v="35.4"/>
    <n v="0"/>
    <s v="Unique"/>
    <s v="Valid"/>
  </r>
  <r>
    <s v="USR-100004"/>
    <d v="2025-05-04T00:00:00"/>
    <x v="0"/>
    <x v="3"/>
    <x v="1"/>
    <x v="0"/>
    <x v="0"/>
    <n v="1"/>
    <n v="0"/>
    <n v="0"/>
    <n v="0"/>
    <n v="0"/>
    <n v="0"/>
    <n v="0"/>
    <m/>
    <n v="64.599999999999994"/>
    <n v="0"/>
    <s v="Unique"/>
    <s v="Valid"/>
  </r>
  <r>
    <s v="USR-100005"/>
    <d v="2025-02-12T00:00:00"/>
    <x v="0"/>
    <x v="0"/>
    <x v="2"/>
    <x v="1"/>
    <x v="1"/>
    <n v="0"/>
    <n v="0"/>
    <n v="0"/>
    <n v="0"/>
    <n v="0"/>
    <n v="0"/>
    <n v="0"/>
    <m/>
    <n v="66.599999999999994"/>
    <n v="0"/>
    <s v="Unique"/>
    <s v="Valid"/>
  </r>
  <r>
    <s v="USR-100006"/>
    <d v="2025-01-28T00:00:00"/>
    <x v="0"/>
    <x v="2"/>
    <x v="1"/>
    <x v="1"/>
    <x v="2"/>
    <n v="1"/>
    <n v="0"/>
    <n v="0"/>
    <n v="0"/>
    <n v="0"/>
    <n v="0"/>
    <n v="0"/>
    <m/>
    <n v="40.799999999999997"/>
    <n v="0"/>
    <s v="Unique"/>
    <s v="Valid"/>
  </r>
  <r>
    <s v="USR-100007"/>
    <d v="2025-04-08T00:00:00"/>
    <x v="0"/>
    <x v="2"/>
    <x v="1"/>
    <x v="2"/>
    <x v="0"/>
    <n v="1"/>
    <n v="1"/>
    <n v="0"/>
    <n v="0"/>
    <n v="0"/>
    <n v="0"/>
    <n v="0"/>
    <m/>
    <n v="57.1"/>
    <n v="0"/>
    <s v="Unique"/>
    <s v="Valid"/>
  </r>
  <r>
    <s v="USR-100008"/>
    <d v="2025-05-17T00:00:00"/>
    <x v="0"/>
    <x v="3"/>
    <x v="1"/>
    <x v="2"/>
    <x v="1"/>
    <n v="0"/>
    <n v="0"/>
    <n v="0"/>
    <n v="0"/>
    <n v="0"/>
    <n v="0"/>
    <n v="0"/>
    <m/>
    <n v="36.4"/>
    <n v="0"/>
    <s v="Unique"/>
    <s v="Valid"/>
  </r>
  <r>
    <s v="USR-100009"/>
    <d v="2025-02-23T00:00:00"/>
    <x v="0"/>
    <x v="3"/>
    <x v="2"/>
    <x v="3"/>
    <x v="0"/>
    <n v="0"/>
    <n v="0"/>
    <n v="0"/>
    <n v="0"/>
    <n v="0"/>
    <n v="0"/>
    <n v="0"/>
    <m/>
    <n v="55.4"/>
    <n v="0"/>
    <s v="Unique"/>
    <s v="Valid"/>
  </r>
  <r>
    <s v="USR-100010"/>
    <d v="2025-05-29T00:00:00"/>
    <x v="0"/>
    <x v="1"/>
    <x v="0"/>
    <x v="4"/>
    <x v="1"/>
    <n v="1"/>
    <n v="0"/>
    <n v="0"/>
    <n v="0"/>
    <n v="0"/>
    <n v="0"/>
    <n v="0"/>
    <m/>
    <n v="57.3"/>
    <n v="0"/>
    <s v="Unique"/>
    <s v="Valid"/>
  </r>
  <r>
    <s v="USR-100011"/>
    <d v="2025-04-30T00:00:00"/>
    <x v="0"/>
    <x v="2"/>
    <x v="1"/>
    <x v="2"/>
    <x v="0"/>
    <n v="1"/>
    <n v="1"/>
    <n v="1"/>
    <n v="0"/>
    <n v="0"/>
    <n v="0"/>
    <n v="0"/>
    <m/>
    <n v="63.6"/>
    <n v="0"/>
    <s v="Unique"/>
    <s v="Valid"/>
  </r>
  <r>
    <s v="USR-100012"/>
    <d v="2025-03-16T00:00:00"/>
    <x v="0"/>
    <x v="2"/>
    <x v="1"/>
    <x v="4"/>
    <x v="2"/>
    <n v="1"/>
    <n v="1"/>
    <n v="1"/>
    <n v="0"/>
    <n v="0"/>
    <n v="1"/>
    <n v="0"/>
    <m/>
    <n v="80.400000000000006"/>
    <n v="0"/>
    <s v="Unique"/>
    <s v="Valid"/>
  </r>
  <r>
    <s v="USR-100013"/>
    <d v="2025-02-07T00:00:00"/>
    <x v="0"/>
    <x v="3"/>
    <x v="0"/>
    <x v="0"/>
    <x v="0"/>
    <n v="1"/>
    <n v="0"/>
    <n v="0"/>
    <n v="0"/>
    <n v="0"/>
    <n v="0"/>
    <n v="0"/>
    <m/>
    <n v="62.4"/>
    <n v="0"/>
    <s v="Unique"/>
    <s v="Valid"/>
  </r>
  <r>
    <s v="USR-100014"/>
    <d v="2025-03-02T00:00:00"/>
    <x v="0"/>
    <x v="1"/>
    <x v="1"/>
    <x v="4"/>
    <x v="0"/>
    <n v="1"/>
    <n v="0"/>
    <n v="0"/>
    <n v="0"/>
    <n v="0"/>
    <n v="0"/>
    <n v="0"/>
    <m/>
    <n v="82.4"/>
    <n v="0"/>
    <s v="Unique"/>
    <s v="Valid"/>
  </r>
  <r>
    <s v="USR-100015"/>
    <d v="2025-05-30T00:00:00"/>
    <x v="0"/>
    <x v="3"/>
    <x v="1"/>
    <x v="1"/>
    <x v="0"/>
    <n v="0"/>
    <n v="0"/>
    <n v="0"/>
    <n v="0"/>
    <n v="0"/>
    <n v="0"/>
    <n v="0"/>
    <m/>
    <n v="61.2"/>
    <n v="1336"/>
    <s v="Unique"/>
    <s v="Valid"/>
  </r>
  <r>
    <s v="USR-100016"/>
    <d v="2025-03-25T00:00:00"/>
    <x v="0"/>
    <x v="3"/>
    <x v="1"/>
    <x v="4"/>
    <x v="0"/>
    <n v="1"/>
    <n v="0"/>
    <n v="0"/>
    <n v="0"/>
    <n v="0"/>
    <n v="0"/>
    <n v="0"/>
    <m/>
    <n v="68.900000000000006"/>
    <n v="0"/>
    <s v="Unique"/>
    <s v="Valid"/>
  </r>
  <r>
    <s v="USR-100017"/>
    <d v="2025-03-27T00:00:00"/>
    <x v="0"/>
    <x v="2"/>
    <x v="0"/>
    <x v="2"/>
    <x v="1"/>
    <n v="1"/>
    <n v="1"/>
    <n v="1"/>
    <n v="0"/>
    <n v="0"/>
    <n v="0"/>
    <n v="0"/>
    <m/>
    <n v="71.900000000000006"/>
    <m/>
    <s v="Unique"/>
    <s v="Valid"/>
  </r>
  <r>
    <s v="USR-100018"/>
    <d v="2025-05-28T00:00:00"/>
    <x v="0"/>
    <x v="3"/>
    <x v="0"/>
    <x v="2"/>
    <x v="1"/>
    <n v="0"/>
    <n v="0"/>
    <n v="0"/>
    <n v="0"/>
    <n v="0"/>
    <n v="0"/>
    <n v="0"/>
    <m/>
    <n v="50.5"/>
    <n v="60.021434659090907"/>
    <s v="Unique"/>
    <s v="Valid"/>
  </r>
  <r>
    <s v="USR-100019"/>
    <d v="2025-02-15T00:00:00"/>
    <x v="0"/>
    <x v="0"/>
    <x v="0"/>
    <x v="2"/>
    <x v="0"/>
    <n v="0"/>
    <n v="0"/>
    <n v="0"/>
    <n v="0"/>
    <n v="0"/>
    <n v="0"/>
    <n v="0"/>
    <m/>
    <n v="49.3"/>
    <m/>
    <s v="Unique"/>
    <s v="Valid"/>
  </r>
  <r>
    <s v="USR-100020"/>
    <d v="2025-05-05T00:00:00"/>
    <x v="0"/>
    <x v="1"/>
    <x v="0"/>
    <x v="1"/>
    <x v="0"/>
    <n v="0"/>
    <n v="0"/>
    <n v="0"/>
    <n v="0"/>
    <n v="0"/>
    <n v="2"/>
    <n v="0"/>
    <m/>
    <n v="60.9"/>
    <m/>
    <s v="Unique"/>
    <s v="Valid"/>
  </r>
  <r>
    <s v="USR-100021"/>
    <d v="2025-04-13T00:00:00"/>
    <x v="0"/>
    <x v="2"/>
    <x v="1"/>
    <x v="4"/>
    <x v="1"/>
    <n v="1"/>
    <n v="0"/>
    <n v="0"/>
    <n v="0"/>
    <n v="0"/>
    <n v="0"/>
    <n v="0"/>
    <m/>
    <n v="62.7"/>
    <m/>
    <s v="Unique"/>
    <s v="Valid"/>
  </r>
  <r>
    <s v="USR-100022"/>
    <d v="2025-05-07T00:00:00"/>
    <x v="0"/>
    <x v="0"/>
    <x v="0"/>
    <x v="2"/>
    <x v="1"/>
    <n v="0"/>
    <n v="0"/>
    <n v="0"/>
    <n v="0"/>
    <n v="0"/>
    <n v="0"/>
    <n v="0"/>
    <m/>
    <n v="52.7"/>
    <m/>
    <s v="Unique"/>
    <s v="Valid"/>
  </r>
  <r>
    <s v="USR-100023"/>
    <d v="2025-05-25T00:00:00"/>
    <x v="0"/>
    <x v="0"/>
    <x v="0"/>
    <x v="1"/>
    <x v="1"/>
    <n v="0"/>
    <n v="0"/>
    <n v="0"/>
    <n v="0"/>
    <n v="0"/>
    <n v="0"/>
    <n v="0"/>
    <m/>
    <n v="54"/>
    <m/>
    <s v="Unique"/>
    <s v="Valid"/>
  </r>
  <r>
    <s v="USR-100024"/>
    <d v="2025-04-01T00:00:00"/>
    <x v="0"/>
    <x v="2"/>
    <x v="1"/>
    <x v="2"/>
    <x v="2"/>
    <n v="1"/>
    <n v="1"/>
    <n v="0"/>
    <n v="0"/>
    <n v="0"/>
    <n v="0"/>
    <n v="0"/>
    <m/>
    <n v="51.6"/>
    <m/>
    <s v="Unique"/>
    <s v="Valid"/>
  </r>
  <r>
    <s v="USR-100025"/>
    <d v="2025-02-22T00:00:00"/>
    <x v="0"/>
    <x v="0"/>
    <x v="1"/>
    <x v="2"/>
    <x v="2"/>
    <n v="0"/>
    <n v="0"/>
    <n v="0"/>
    <n v="0"/>
    <n v="0"/>
    <n v="2"/>
    <n v="0"/>
    <m/>
    <n v="66.900000000000006"/>
    <m/>
    <s v="Unique"/>
    <s v="Valid"/>
  </r>
  <r>
    <s v="USR-100026"/>
    <d v="2025-03-24T00:00:00"/>
    <x v="0"/>
    <x v="2"/>
    <x v="1"/>
    <x v="1"/>
    <x v="0"/>
    <n v="0"/>
    <n v="0"/>
    <n v="0"/>
    <n v="0"/>
    <n v="0"/>
    <n v="0"/>
    <n v="0"/>
    <m/>
    <n v="67.400000000000006"/>
    <m/>
    <s v="Unique"/>
    <s v="Valid"/>
  </r>
  <r>
    <s v="USR-100027"/>
    <d v="2025-02-13T00:00:00"/>
    <x v="0"/>
    <x v="0"/>
    <x v="1"/>
    <x v="1"/>
    <x v="1"/>
    <n v="0"/>
    <n v="0"/>
    <n v="0"/>
    <n v="0"/>
    <n v="0"/>
    <n v="0"/>
    <n v="0"/>
    <m/>
    <n v="58.8"/>
    <m/>
    <s v="Unique"/>
    <s v="Valid"/>
  </r>
  <r>
    <s v="USR-100028"/>
    <d v="2025-05-30T00:00:00"/>
    <x v="0"/>
    <x v="3"/>
    <x v="1"/>
    <x v="1"/>
    <x v="1"/>
    <n v="1"/>
    <n v="0"/>
    <n v="0"/>
    <n v="0"/>
    <n v="0"/>
    <n v="0"/>
    <n v="0"/>
    <m/>
    <n v="73.8"/>
    <m/>
    <s v="Unique"/>
    <s v="Valid"/>
  </r>
  <r>
    <s v="USR-100029"/>
    <d v="2025-01-20T00:00:00"/>
    <x v="0"/>
    <x v="2"/>
    <x v="2"/>
    <x v="1"/>
    <x v="0"/>
    <n v="0"/>
    <n v="0"/>
    <n v="0"/>
    <n v="0"/>
    <n v="0"/>
    <n v="0"/>
    <n v="0"/>
    <m/>
    <n v="60.1"/>
    <m/>
    <s v="Unique"/>
    <s v="Valid"/>
  </r>
  <r>
    <s v="USR-100030"/>
    <d v="2025-05-19T00:00:00"/>
    <x v="0"/>
    <x v="2"/>
    <x v="1"/>
    <x v="4"/>
    <x v="0"/>
    <n v="1"/>
    <n v="1"/>
    <n v="1"/>
    <n v="0"/>
    <n v="0"/>
    <n v="0"/>
    <n v="0"/>
    <m/>
    <n v="41"/>
    <m/>
    <s v="Unique"/>
    <s v="Valid"/>
  </r>
  <r>
    <s v="USR-100031"/>
    <d v="2025-02-18T00:00:00"/>
    <x v="0"/>
    <x v="3"/>
    <x v="1"/>
    <x v="1"/>
    <x v="0"/>
    <n v="1"/>
    <n v="0"/>
    <n v="0"/>
    <n v="0"/>
    <n v="0"/>
    <n v="0"/>
    <n v="0"/>
    <m/>
    <n v="80.3"/>
    <m/>
    <s v="Unique"/>
    <s v="Valid"/>
  </r>
  <r>
    <s v="USR-100032"/>
    <d v="2025-02-13T00:00:00"/>
    <x v="0"/>
    <x v="2"/>
    <x v="1"/>
    <x v="1"/>
    <x v="1"/>
    <n v="0"/>
    <n v="0"/>
    <n v="0"/>
    <n v="0"/>
    <n v="0"/>
    <n v="0"/>
    <n v="0"/>
    <m/>
    <n v="67.599999999999994"/>
    <m/>
    <s v="Unique"/>
    <s v="Valid"/>
  </r>
  <r>
    <s v="USR-100033"/>
    <d v="2025-03-08T00:00:00"/>
    <x v="0"/>
    <x v="2"/>
    <x v="0"/>
    <x v="3"/>
    <x v="2"/>
    <n v="0"/>
    <n v="0"/>
    <n v="0"/>
    <n v="0"/>
    <n v="0"/>
    <n v="0"/>
    <n v="0"/>
    <m/>
    <n v="64"/>
    <m/>
    <s v="Unique"/>
    <s v="Valid"/>
  </r>
  <r>
    <s v="USR-100034"/>
    <d v="2025-01-11T00:00:00"/>
    <x v="0"/>
    <x v="0"/>
    <x v="1"/>
    <x v="2"/>
    <x v="1"/>
    <n v="1"/>
    <n v="1"/>
    <n v="0"/>
    <n v="0"/>
    <n v="0"/>
    <n v="0"/>
    <n v="0"/>
    <m/>
    <n v="27.2"/>
    <m/>
    <s v="Unique"/>
    <s v="Valid"/>
  </r>
  <r>
    <s v="USR-100035"/>
    <d v="2025-02-12T00:00:00"/>
    <x v="0"/>
    <x v="0"/>
    <x v="0"/>
    <x v="1"/>
    <x v="1"/>
    <n v="1"/>
    <n v="0"/>
    <n v="0"/>
    <n v="0"/>
    <n v="0"/>
    <n v="0"/>
    <n v="0"/>
    <m/>
    <n v="85.4"/>
    <m/>
    <s v="Unique"/>
    <s v="Valid"/>
  </r>
  <r>
    <s v="USR-100036"/>
    <d v="2025-04-13T00:00:00"/>
    <x v="0"/>
    <x v="2"/>
    <x v="0"/>
    <x v="1"/>
    <x v="0"/>
    <n v="1"/>
    <n v="0"/>
    <n v="0"/>
    <n v="0"/>
    <n v="0"/>
    <n v="0"/>
    <n v="0"/>
    <m/>
    <n v="75.900000000000006"/>
    <m/>
    <s v="Unique"/>
    <s v="Valid"/>
  </r>
  <r>
    <s v="USR-100037"/>
    <d v="2025-05-09T00:00:00"/>
    <x v="0"/>
    <x v="2"/>
    <x v="1"/>
    <x v="1"/>
    <x v="2"/>
    <n v="1"/>
    <n v="0"/>
    <n v="0"/>
    <n v="0"/>
    <n v="0"/>
    <n v="1"/>
    <n v="0"/>
    <m/>
    <n v="34.799999999999997"/>
    <m/>
    <s v="Unique"/>
    <s v="Valid"/>
  </r>
  <r>
    <s v="USR-100038"/>
    <d v="2025-01-20T00:00:00"/>
    <x v="0"/>
    <x v="2"/>
    <x v="1"/>
    <x v="1"/>
    <x v="1"/>
    <n v="1"/>
    <n v="1"/>
    <n v="1"/>
    <n v="0"/>
    <n v="0"/>
    <n v="3"/>
    <n v="0"/>
    <m/>
    <n v="48.9"/>
    <m/>
    <s v="Unique"/>
    <s v="Valid"/>
  </r>
  <r>
    <s v="USR-100039"/>
    <d v="2025-05-13T00:00:00"/>
    <x v="0"/>
    <x v="2"/>
    <x v="1"/>
    <x v="0"/>
    <x v="2"/>
    <n v="1"/>
    <n v="0"/>
    <n v="0"/>
    <n v="0"/>
    <n v="0"/>
    <n v="0"/>
    <n v="0"/>
    <m/>
    <n v="41.5"/>
    <m/>
    <s v="Unique"/>
    <s v="Valid"/>
  </r>
  <r>
    <s v="USR-100040"/>
    <d v="2025-04-07T00:00:00"/>
    <x v="0"/>
    <x v="0"/>
    <x v="0"/>
    <x v="1"/>
    <x v="0"/>
    <n v="1"/>
    <n v="0"/>
    <n v="0"/>
    <n v="0"/>
    <n v="0"/>
    <n v="0"/>
    <n v="0"/>
    <m/>
    <n v="51.5"/>
    <m/>
    <s v="Unique"/>
    <s v="Valid"/>
  </r>
  <r>
    <s v="USR-100041"/>
    <d v="2025-03-31T00:00:00"/>
    <x v="0"/>
    <x v="0"/>
    <x v="0"/>
    <x v="1"/>
    <x v="1"/>
    <n v="0"/>
    <n v="0"/>
    <n v="0"/>
    <n v="0"/>
    <n v="0"/>
    <n v="0"/>
    <n v="0"/>
    <m/>
    <n v="53.2"/>
    <m/>
    <s v="Unique"/>
    <s v="Valid"/>
  </r>
  <r>
    <s v="USR-100042"/>
    <d v="2025-01-25T00:00:00"/>
    <x v="0"/>
    <x v="2"/>
    <x v="1"/>
    <x v="0"/>
    <x v="2"/>
    <n v="0"/>
    <n v="0"/>
    <n v="0"/>
    <n v="0"/>
    <n v="0"/>
    <n v="0"/>
    <n v="0"/>
    <m/>
    <n v="55.6"/>
    <m/>
    <s v="Unique"/>
    <s v="Valid"/>
  </r>
  <r>
    <s v="USR-100043"/>
    <d v="2025-02-14T00:00:00"/>
    <x v="0"/>
    <x v="3"/>
    <x v="0"/>
    <x v="1"/>
    <x v="1"/>
    <n v="0"/>
    <n v="0"/>
    <n v="0"/>
    <n v="0"/>
    <n v="0"/>
    <n v="0"/>
    <n v="0"/>
    <m/>
    <n v="73"/>
    <m/>
    <s v="Unique"/>
    <s v="Valid"/>
  </r>
  <r>
    <s v="USR-100044"/>
    <d v="2025-02-27T00:00:00"/>
    <x v="0"/>
    <x v="2"/>
    <x v="1"/>
    <x v="0"/>
    <x v="1"/>
    <n v="1"/>
    <n v="0"/>
    <n v="0"/>
    <n v="0"/>
    <n v="0"/>
    <n v="0"/>
    <n v="0"/>
    <m/>
    <n v="65"/>
    <m/>
    <s v="Unique"/>
    <s v="Valid"/>
  </r>
  <r>
    <s v="USR-100045"/>
    <d v="2025-03-28T00:00:00"/>
    <x v="0"/>
    <x v="2"/>
    <x v="1"/>
    <x v="4"/>
    <x v="1"/>
    <n v="1"/>
    <n v="0"/>
    <n v="0"/>
    <n v="0"/>
    <n v="0"/>
    <n v="4"/>
    <n v="0"/>
    <m/>
    <n v="56.3"/>
    <m/>
    <s v="Unique"/>
    <s v="Valid"/>
  </r>
  <r>
    <s v="USR-100046"/>
    <d v="2025-05-25T00:00:00"/>
    <x v="0"/>
    <x v="2"/>
    <x v="1"/>
    <x v="3"/>
    <x v="2"/>
    <n v="1"/>
    <n v="0"/>
    <n v="0"/>
    <n v="0"/>
    <n v="0"/>
    <n v="0"/>
    <n v="0"/>
    <m/>
    <n v="62.4"/>
    <m/>
    <s v="Unique"/>
    <s v="Valid"/>
  </r>
  <r>
    <s v="USR-100047"/>
    <d v="2025-05-05T00:00:00"/>
    <x v="0"/>
    <x v="1"/>
    <x v="0"/>
    <x v="1"/>
    <x v="1"/>
    <n v="1"/>
    <n v="1"/>
    <n v="1"/>
    <n v="0"/>
    <n v="0"/>
    <n v="0"/>
    <n v="0"/>
    <m/>
    <n v="58.1"/>
    <m/>
    <s v="Unique"/>
    <s v="Valid"/>
  </r>
  <r>
    <s v="USR-100048"/>
    <d v="2025-05-16T00:00:00"/>
    <x v="0"/>
    <x v="0"/>
    <x v="1"/>
    <x v="1"/>
    <x v="1"/>
    <n v="1"/>
    <n v="1"/>
    <n v="1"/>
    <n v="0"/>
    <n v="0"/>
    <n v="0"/>
    <n v="0"/>
    <m/>
    <n v="80.8"/>
    <m/>
    <s v="Unique"/>
    <s v="Valid"/>
  </r>
  <r>
    <s v="USR-100049"/>
    <d v="2025-01-08T00:00:00"/>
    <x v="0"/>
    <x v="0"/>
    <x v="1"/>
    <x v="4"/>
    <x v="1"/>
    <n v="1"/>
    <n v="1"/>
    <n v="0"/>
    <n v="0"/>
    <n v="0"/>
    <n v="0"/>
    <n v="0"/>
    <m/>
    <n v="42.9"/>
    <m/>
    <s v="Unique"/>
    <s v="Valid"/>
  </r>
  <r>
    <s v="USR-100050"/>
    <d v="2025-01-06T00:00:00"/>
    <x v="0"/>
    <x v="1"/>
    <x v="0"/>
    <x v="2"/>
    <x v="1"/>
    <n v="1"/>
    <n v="0"/>
    <n v="0"/>
    <n v="0"/>
    <n v="0"/>
    <n v="0"/>
    <n v="0"/>
    <m/>
    <n v="52.7"/>
    <m/>
    <s v="Unique"/>
    <s v="Valid"/>
  </r>
  <r>
    <s v="USR-100051"/>
    <d v="2025-01-12T00:00:00"/>
    <x v="0"/>
    <x v="0"/>
    <x v="1"/>
    <x v="4"/>
    <x v="0"/>
    <n v="0"/>
    <n v="0"/>
    <n v="0"/>
    <n v="0"/>
    <n v="0"/>
    <n v="0"/>
    <n v="0"/>
    <m/>
    <n v="46.9"/>
    <m/>
    <s v="Unique"/>
    <s v="Valid"/>
  </r>
  <r>
    <s v="USR-100052"/>
    <d v="2025-02-14T00:00:00"/>
    <x v="0"/>
    <x v="2"/>
    <x v="0"/>
    <x v="0"/>
    <x v="2"/>
    <n v="1"/>
    <n v="0"/>
    <n v="0"/>
    <n v="0"/>
    <n v="0"/>
    <n v="0"/>
    <n v="0"/>
    <m/>
    <n v="63"/>
    <m/>
    <s v="Unique"/>
    <s v="Valid"/>
  </r>
  <r>
    <s v="USR-100053"/>
    <d v="2025-03-10T00:00:00"/>
    <x v="0"/>
    <x v="3"/>
    <x v="2"/>
    <x v="1"/>
    <x v="1"/>
    <n v="0"/>
    <n v="0"/>
    <n v="0"/>
    <n v="0"/>
    <n v="0"/>
    <n v="0"/>
    <n v="0"/>
    <m/>
    <n v="53.6"/>
    <m/>
    <s v="Unique"/>
    <s v="Valid"/>
  </r>
  <r>
    <s v="USR-100054"/>
    <d v="2025-04-20T00:00:00"/>
    <x v="0"/>
    <x v="1"/>
    <x v="0"/>
    <x v="1"/>
    <x v="0"/>
    <n v="0"/>
    <n v="0"/>
    <n v="0"/>
    <n v="0"/>
    <n v="0"/>
    <n v="0"/>
    <n v="0"/>
    <m/>
    <n v="49.6"/>
    <m/>
    <s v="Unique"/>
    <s v="Valid"/>
  </r>
  <r>
    <s v="USR-100055"/>
    <d v="2025-02-19T00:00:00"/>
    <x v="0"/>
    <x v="3"/>
    <x v="1"/>
    <x v="1"/>
    <x v="1"/>
    <n v="0"/>
    <n v="0"/>
    <n v="0"/>
    <n v="0"/>
    <n v="0"/>
    <n v="0"/>
    <n v="0"/>
    <m/>
    <n v="54"/>
    <m/>
    <s v="Unique"/>
    <s v="Valid"/>
  </r>
  <r>
    <s v="USR-100056"/>
    <d v="2025-05-17T00:00:00"/>
    <x v="0"/>
    <x v="3"/>
    <x v="1"/>
    <x v="4"/>
    <x v="0"/>
    <n v="1"/>
    <n v="0"/>
    <n v="0"/>
    <n v="0"/>
    <n v="0"/>
    <n v="2"/>
    <n v="0"/>
    <m/>
    <n v="50"/>
    <m/>
    <s v="Unique"/>
    <s v="Valid"/>
  </r>
  <r>
    <s v="USR-100057"/>
    <d v="2025-04-01T00:00:00"/>
    <x v="0"/>
    <x v="2"/>
    <x v="1"/>
    <x v="4"/>
    <x v="0"/>
    <n v="0"/>
    <n v="0"/>
    <n v="0"/>
    <n v="0"/>
    <n v="0"/>
    <n v="0"/>
    <n v="0"/>
    <m/>
    <n v="48.1"/>
    <m/>
    <s v="Unique"/>
    <s v="Valid"/>
  </r>
  <r>
    <s v="USR-100058"/>
    <d v="2025-02-04T00:00:00"/>
    <x v="0"/>
    <x v="0"/>
    <x v="0"/>
    <x v="1"/>
    <x v="1"/>
    <n v="1"/>
    <n v="0"/>
    <n v="0"/>
    <n v="0"/>
    <n v="0"/>
    <n v="0"/>
    <n v="0"/>
    <m/>
    <n v="49.6"/>
    <m/>
    <s v="Unique"/>
    <s v="Valid"/>
  </r>
  <r>
    <s v="USR-100059"/>
    <d v="2025-04-14T00:00:00"/>
    <x v="0"/>
    <x v="0"/>
    <x v="1"/>
    <x v="4"/>
    <x v="1"/>
    <n v="0"/>
    <n v="0"/>
    <n v="0"/>
    <n v="0"/>
    <n v="0"/>
    <n v="2"/>
    <n v="0"/>
    <m/>
    <n v="48.9"/>
    <m/>
    <s v="Unique"/>
    <s v="Valid"/>
  </r>
  <r>
    <s v="USR-100060"/>
    <d v="2025-01-01T00:00:00"/>
    <x v="0"/>
    <x v="1"/>
    <x v="1"/>
    <x v="4"/>
    <x v="1"/>
    <n v="1"/>
    <n v="1"/>
    <n v="1"/>
    <n v="1"/>
    <n v="240.42"/>
    <n v="0"/>
    <n v="0"/>
    <n v="16"/>
    <n v="56.5"/>
    <m/>
    <s v="Unique"/>
    <s v="Valid"/>
  </r>
  <r>
    <s v="USR-100061"/>
    <d v="2025-04-02T00:00:00"/>
    <x v="0"/>
    <x v="3"/>
    <x v="1"/>
    <x v="3"/>
    <x v="1"/>
    <n v="1"/>
    <n v="0"/>
    <n v="0"/>
    <n v="0"/>
    <n v="0"/>
    <n v="0"/>
    <n v="0"/>
    <m/>
    <n v="53.7"/>
    <m/>
    <s v="Unique"/>
    <s v="Valid"/>
  </r>
  <r>
    <s v="USR-100062"/>
    <d v="2025-03-29T00:00:00"/>
    <x v="0"/>
    <x v="0"/>
    <x v="1"/>
    <x v="4"/>
    <x v="2"/>
    <n v="0"/>
    <n v="0"/>
    <n v="0"/>
    <n v="0"/>
    <n v="0"/>
    <n v="0"/>
    <n v="0"/>
    <m/>
    <n v="62.2"/>
    <m/>
    <s v="Unique"/>
    <s v="Valid"/>
  </r>
  <r>
    <s v="USR-100063"/>
    <d v="2025-05-15T00:00:00"/>
    <x v="0"/>
    <x v="3"/>
    <x v="0"/>
    <x v="1"/>
    <x v="1"/>
    <n v="1"/>
    <n v="0"/>
    <n v="0"/>
    <n v="0"/>
    <n v="0"/>
    <n v="0"/>
    <n v="0"/>
    <m/>
    <n v="50.2"/>
    <m/>
    <s v="Unique"/>
    <s v="Valid"/>
  </r>
  <r>
    <s v="USR-100064"/>
    <d v="2025-04-11T00:00:00"/>
    <x v="0"/>
    <x v="0"/>
    <x v="1"/>
    <x v="1"/>
    <x v="0"/>
    <n v="1"/>
    <n v="0"/>
    <n v="0"/>
    <n v="0"/>
    <n v="0"/>
    <n v="0"/>
    <n v="0"/>
    <m/>
    <n v="74.3"/>
    <m/>
    <s v="Unique"/>
    <s v="Valid"/>
  </r>
  <r>
    <s v="USR-100065"/>
    <d v="2025-03-07T00:00:00"/>
    <x v="0"/>
    <x v="3"/>
    <x v="0"/>
    <x v="2"/>
    <x v="1"/>
    <n v="1"/>
    <n v="0"/>
    <n v="0"/>
    <n v="0"/>
    <n v="0"/>
    <n v="0"/>
    <n v="0"/>
    <m/>
    <n v="58"/>
    <m/>
    <s v="Unique"/>
    <s v="Valid"/>
  </r>
  <r>
    <s v="USR-100066"/>
    <d v="2025-05-30T00:00:00"/>
    <x v="0"/>
    <x v="3"/>
    <x v="1"/>
    <x v="1"/>
    <x v="1"/>
    <n v="0"/>
    <n v="0"/>
    <n v="0"/>
    <n v="0"/>
    <n v="0"/>
    <n v="0"/>
    <n v="0"/>
    <m/>
    <n v="46.7"/>
    <m/>
    <s v="Unique"/>
    <s v="Valid"/>
  </r>
  <r>
    <s v="USR-100067"/>
    <d v="2025-01-07T00:00:00"/>
    <x v="0"/>
    <x v="3"/>
    <x v="0"/>
    <x v="1"/>
    <x v="2"/>
    <n v="1"/>
    <n v="0"/>
    <n v="0"/>
    <n v="0"/>
    <n v="0"/>
    <n v="1"/>
    <n v="0"/>
    <m/>
    <n v="49.6"/>
    <m/>
    <s v="Unique"/>
    <s v="Valid"/>
  </r>
  <r>
    <s v="USR-100068"/>
    <d v="2025-05-08T00:00:00"/>
    <x v="0"/>
    <x v="1"/>
    <x v="1"/>
    <x v="4"/>
    <x v="1"/>
    <n v="0"/>
    <n v="0"/>
    <n v="0"/>
    <n v="0"/>
    <n v="0"/>
    <n v="0"/>
    <n v="0"/>
    <m/>
    <n v="60.4"/>
    <m/>
    <s v="Unique"/>
    <s v="Valid"/>
  </r>
  <r>
    <s v="USR-100069"/>
    <d v="2025-03-19T00:00:00"/>
    <x v="0"/>
    <x v="2"/>
    <x v="0"/>
    <x v="0"/>
    <x v="1"/>
    <n v="1"/>
    <n v="1"/>
    <n v="1"/>
    <n v="0"/>
    <n v="0"/>
    <n v="0"/>
    <n v="0"/>
    <m/>
    <n v="55.3"/>
    <m/>
    <s v="Unique"/>
    <s v="Valid"/>
  </r>
  <r>
    <s v="USR-100070"/>
    <d v="2025-05-16T00:00:00"/>
    <x v="0"/>
    <x v="0"/>
    <x v="0"/>
    <x v="1"/>
    <x v="1"/>
    <n v="0"/>
    <n v="0"/>
    <n v="0"/>
    <n v="0"/>
    <n v="0"/>
    <n v="0"/>
    <n v="0"/>
    <m/>
    <n v="56.2"/>
    <m/>
    <s v="Unique"/>
    <s v="Valid"/>
  </r>
  <r>
    <s v="USR-100071"/>
    <d v="2025-03-08T00:00:00"/>
    <x v="0"/>
    <x v="1"/>
    <x v="1"/>
    <x v="0"/>
    <x v="1"/>
    <n v="0"/>
    <n v="0"/>
    <n v="0"/>
    <n v="0"/>
    <n v="0"/>
    <n v="0"/>
    <n v="0"/>
    <m/>
    <n v="29.4"/>
    <m/>
    <s v="Unique"/>
    <s v="Valid"/>
  </r>
  <r>
    <s v="USR-100072"/>
    <d v="2025-03-08T00:00:00"/>
    <x v="0"/>
    <x v="2"/>
    <x v="1"/>
    <x v="0"/>
    <x v="1"/>
    <n v="1"/>
    <n v="0"/>
    <n v="0"/>
    <n v="0"/>
    <n v="0"/>
    <n v="0"/>
    <n v="0"/>
    <m/>
    <n v="54.2"/>
    <m/>
    <s v="Unique"/>
    <s v="Valid"/>
  </r>
  <r>
    <s v="USR-100073"/>
    <d v="2025-01-14T00:00:00"/>
    <x v="0"/>
    <x v="2"/>
    <x v="0"/>
    <x v="2"/>
    <x v="0"/>
    <n v="0"/>
    <n v="0"/>
    <n v="0"/>
    <n v="0"/>
    <n v="0"/>
    <n v="0"/>
    <n v="0"/>
    <m/>
    <n v="46.4"/>
    <m/>
    <s v="Unique"/>
    <s v="Valid"/>
  </r>
  <r>
    <s v="USR-100074"/>
    <d v="2025-02-10T00:00:00"/>
    <x v="0"/>
    <x v="3"/>
    <x v="1"/>
    <x v="2"/>
    <x v="0"/>
    <n v="0"/>
    <n v="0"/>
    <n v="0"/>
    <n v="0"/>
    <n v="0"/>
    <n v="0"/>
    <n v="0"/>
    <m/>
    <n v="54.5"/>
    <m/>
    <s v="Unique"/>
    <s v="Valid"/>
  </r>
  <r>
    <s v="USR-100075"/>
    <d v="2025-03-17T00:00:00"/>
    <x v="0"/>
    <x v="0"/>
    <x v="1"/>
    <x v="1"/>
    <x v="1"/>
    <n v="0"/>
    <n v="0"/>
    <n v="0"/>
    <n v="0"/>
    <n v="0"/>
    <n v="0"/>
    <n v="0"/>
    <m/>
    <n v="58.5"/>
    <m/>
    <s v="Unique"/>
    <s v="Valid"/>
  </r>
  <r>
    <s v="USR-100076"/>
    <d v="2025-01-09T00:00:00"/>
    <x v="0"/>
    <x v="3"/>
    <x v="1"/>
    <x v="0"/>
    <x v="1"/>
    <n v="0"/>
    <n v="0"/>
    <n v="0"/>
    <n v="0"/>
    <n v="0"/>
    <n v="0"/>
    <n v="0"/>
    <m/>
    <n v="75.900000000000006"/>
    <m/>
    <s v="Unique"/>
    <s v="Valid"/>
  </r>
  <r>
    <s v="USR-100077"/>
    <d v="2025-04-17T00:00:00"/>
    <x v="0"/>
    <x v="0"/>
    <x v="1"/>
    <x v="3"/>
    <x v="1"/>
    <n v="0"/>
    <n v="0"/>
    <n v="0"/>
    <n v="0"/>
    <n v="0"/>
    <n v="1"/>
    <n v="0"/>
    <m/>
    <n v="84.9"/>
    <m/>
    <s v="Unique"/>
    <s v="Valid"/>
  </r>
  <r>
    <s v="USR-100078"/>
    <d v="2025-01-16T00:00:00"/>
    <x v="0"/>
    <x v="0"/>
    <x v="1"/>
    <x v="1"/>
    <x v="1"/>
    <n v="0"/>
    <n v="0"/>
    <n v="0"/>
    <n v="0"/>
    <n v="0"/>
    <n v="2"/>
    <n v="0"/>
    <m/>
    <n v="48.4"/>
    <m/>
    <s v="Unique"/>
    <s v="Valid"/>
  </r>
  <r>
    <s v="USR-100079"/>
    <d v="2025-02-20T00:00:00"/>
    <x v="0"/>
    <x v="1"/>
    <x v="0"/>
    <x v="1"/>
    <x v="1"/>
    <n v="1"/>
    <n v="1"/>
    <n v="1"/>
    <n v="1"/>
    <n v="457.51"/>
    <n v="0"/>
    <n v="0"/>
    <n v="7"/>
    <n v="38"/>
    <m/>
    <s v="Unique"/>
    <s v="Valid"/>
  </r>
  <r>
    <s v="USR-100080"/>
    <d v="2025-05-21T00:00:00"/>
    <x v="0"/>
    <x v="2"/>
    <x v="1"/>
    <x v="4"/>
    <x v="1"/>
    <n v="1"/>
    <n v="0"/>
    <n v="0"/>
    <n v="0"/>
    <n v="0"/>
    <n v="0"/>
    <n v="0"/>
    <m/>
    <n v="44.2"/>
    <m/>
    <s v="Unique"/>
    <s v="Valid"/>
  </r>
  <r>
    <s v="USR-100081"/>
    <d v="2025-05-08T00:00:00"/>
    <x v="0"/>
    <x v="3"/>
    <x v="1"/>
    <x v="1"/>
    <x v="1"/>
    <n v="1"/>
    <n v="1"/>
    <n v="1"/>
    <n v="0"/>
    <n v="0"/>
    <n v="0"/>
    <n v="0"/>
    <m/>
    <n v="81.2"/>
    <m/>
    <s v="Unique"/>
    <s v="Valid"/>
  </r>
  <r>
    <s v="USR-100082"/>
    <d v="2025-03-08T00:00:00"/>
    <x v="0"/>
    <x v="3"/>
    <x v="1"/>
    <x v="3"/>
    <x v="1"/>
    <n v="1"/>
    <n v="1"/>
    <n v="0"/>
    <n v="0"/>
    <n v="0"/>
    <n v="0"/>
    <n v="0"/>
    <m/>
    <n v="63.8"/>
    <m/>
    <s v="Unique"/>
    <s v="Valid"/>
  </r>
  <r>
    <s v="USR-100083"/>
    <d v="2025-04-01T00:00:00"/>
    <x v="0"/>
    <x v="3"/>
    <x v="0"/>
    <x v="0"/>
    <x v="1"/>
    <n v="0"/>
    <n v="0"/>
    <n v="0"/>
    <n v="0"/>
    <n v="0"/>
    <n v="0"/>
    <n v="0"/>
    <m/>
    <n v="64.7"/>
    <m/>
    <s v="Unique"/>
    <s v="Valid"/>
  </r>
  <r>
    <s v="USR-100084"/>
    <d v="2025-03-03T00:00:00"/>
    <x v="0"/>
    <x v="1"/>
    <x v="1"/>
    <x v="4"/>
    <x v="0"/>
    <n v="0"/>
    <n v="0"/>
    <n v="0"/>
    <n v="0"/>
    <n v="0"/>
    <n v="0"/>
    <n v="0"/>
    <m/>
    <n v="60.4"/>
    <m/>
    <s v="Unique"/>
    <s v="Valid"/>
  </r>
  <r>
    <s v="USR-100085"/>
    <d v="2025-04-16T00:00:00"/>
    <x v="0"/>
    <x v="3"/>
    <x v="1"/>
    <x v="2"/>
    <x v="1"/>
    <n v="0"/>
    <n v="0"/>
    <n v="0"/>
    <n v="0"/>
    <n v="0"/>
    <n v="0"/>
    <n v="0"/>
    <m/>
    <n v="66.599999999999994"/>
    <m/>
    <s v="Unique"/>
    <s v="Valid"/>
  </r>
  <r>
    <s v="USR-100086"/>
    <d v="2025-01-09T00:00:00"/>
    <x v="0"/>
    <x v="0"/>
    <x v="0"/>
    <x v="1"/>
    <x v="1"/>
    <n v="1"/>
    <n v="0"/>
    <n v="0"/>
    <n v="0"/>
    <n v="0"/>
    <n v="0"/>
    <n v="0"/>
    <m/>
    <n v="50.9"/>
    <m/>
    <s v="Unique"/>
    <s v="Valid"/>
  </r>
  <r>
    <s v="USR-100087"/>
    <d v="2025-01-22T00:00:00"/>
    <x v="0"/>
    <x v="1"/>
    <x v="0"/>
    <x v="4"/>
    <x v="0"/>
    <n v="0"/>
    <n v="0"/>
    <n v="0"/>
    <n v="0"/>
    <n v="0"/>
    <n v="0"/>
    <n v="0"/>
    <m/>
    <n v="51"/>
    <m/>
    <s v="Unique"/>
    <s v="Valid"/>
  </r>
  <r>
    <s v="USR-100088"/>
    <d v="2025-04-30T00:00:00"/>
    <x v="0"/>
    <x v="3"/>
    <x v="1"/>
    <x v="0"/>
    <x v="2"/>
    <n v="0"/>
    <n v="0"/>
    <n v="0"/>
    <n v="0"/>
    <n v="0"/>
    <n v="0"/>
    <n v="0"/>
    <m/>
    <n v="65.8"/>
    <m/>
    <s v="Unique"/>
    <s v="Valid"/>
  </r>
  <r>
    <s v="USR-100089"/>
    <d v="2025-04-25T00:00:00"/>
    <x v="0"/>
    <x v="0"/>
    <x v="1"/>
    <x v="3"/>
    <x v="0"/>
    <n v="1"/>
    <n v="0"/>
    <n v="0"/>
    <n v="0"/>
    <n v="0"/>
    <n v="0"/>
    <n v="0"/>
    <m/>
    <n v="61.8"/>
    <m/>
    <s v="Unique"/>
    <s v="Valid"/>
  </r>
  <r>
    <s v="USR-100090"/>
    <d v="2025-02-01T00:00:00"/>
    <x v="0"/>
    <x v="0"/>
    <x v="1"/>
    <x v="1"/>
    <x v="0"/>
    <n v="1"/>
    <n v="0"/>
    <n v="0"/>
    <n v="0"/>
    <n v="0"/>
    <n v="0"/>
    <n v="0"/>
    <m/>
    <n v="54.5"/>
    <m/>
    <s v="Unique"/>
    <s v="Valid"/>
  </r>
  <r>
    <s v="USR-100091"/>
    <d v="2025-04-23T00:00:00"/>
    <x v="0"/>
    <x v="3"/>
    <x v="0"/>
    <x v="1"/>
    <x v="1"/>
    <n v="1"/>
    <n v="0"/>
    <n v="0"/>
    <n v="0"/>
    <n v="0"/>
    <n v="0"/>
    <n v="0"/>
    <m/>
    <n v="72.2"/>
    <m/>
    <s v="Unique"/>
    <s v="Valid"/>
  </r>
  <r>
    <s v="USR-100092"/>
    <d v="2025-02-27T00:00:00"/>
    <x v="0"/>
    <x v="3"/>
    <x v="1"/>
    <x v="4"/>
    <x v="1"/>
    <n v="1"/>
    <n v="0"/>
    <n v="0"/>
    <n v="0"/>
    <n v="0"/>
    <n v="0"/>
    <n v="0"/>
    <m/>
    <n v="42.3"/>
    <m/>
    <s v="Unique"/>
    <s v="Valid"/>
  </r>
  <r>
    <s v="USR-100093"/>
    <d v="2025-04-09T00:00:00"/>
    <x v="0"/>
    <x v="2"/>
    <x v="0"/>
    <x v="1"/>
    <x v="0"/>
    <n v="1"/>
    <n v="0"/>
    <n v="0"/>
    <n v="0"/>
    <n v="0"/>
    <n v="0"/>
    <n v="0"/>
    <m/>
    <n v="76.2"/>
    <m/>
    <s v="Unique"/>
    <s v="Valid"/>
  </r>
  <r>
    <s v="USR-100094"/>
    <d v="2025-05-13T00:00:00"/>
    <x v="0"/>
    <x v="3"/>
    <x v="2"/>
    <x v="1"/>
    <x v="2"/>
    <n v="1"/>
    <n v="1"/>
    <n v="1"/>
    <n v="0"/>
    <n v="0"/>
    <n v="1"/>
    <n v="0"/>
    <m/>
    <n v="37.4"/>
    <m/>
    <s v="Unique"/>
    <s v="Valid"/>
  </r>
  <r>
    <s v="USR-100095"/>
    <d v="2025-04-13T00:00:00"/>
    <x v="0"/>
    <x v="2"/>
    <x v="1"/>
    <x v="1"/>
    <x v="1"/>
    <n v="0"/>
    <n v="0"/>
    <n v="0"/>
    <n v="0"/>
    <n v="0"/>
    <n v="0"/>
    <n v="0"/>
    <m/>
    <n v="84.2"/>
    <m/>
    <s v="Unique"/>
    <s v="Valid"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m/>
    <s v="Duplicate"/>
    <s v="Valid"/>
  </r>
  <r>
    <s v="USR-100097"/>
    <d v="2025-02-14T00:00:00"/>
    <x v="0"/>
    <x v="1"/>
    <x v="1"/>
    <x v="1"/>
    <x v="0"/>
    <n v="1"/>
    <n v="0"/>
    <n v="0"/>
    <n v="0"/>
    <n v="0"/>
    <n v="0"/>
    <n v="0"/>
    <m/>
    <n v="53.5"/>
    <m/>
    <s v="Unique"/>
    <s v="Valid"/>
  </r>
  <r>
    <s v="USR-100098"/>
    <d v="2025-02-11T00:00:00"/>
    <x v="0"/>
    <x v="0"/>
    <x v="0"/>
    <x v="1"/>
    <x v="2"/>
    <n v="1"/>
    <n v="0"/>
    <n v="0"/>
    <n v="0"/>
    <n v="0"/>
    <n v="0"/>
    <n v="0"/>
    <m/>
    <n v="63.2"/>
    <m/>
    <s v="Unique"/>
    <s v="Valid"/>
  </r>
  <r>
    <s v="USR-100099"/>
    <d v="2025-02-11T00:00:00"/>
    <x v="0"/>
    <x v="2"/>
    <x v="0"/>
    <x v="4"/>
    <x v="1"/>
    <n v="1"/>
    <n v="1"/>
    <n v="1"/>
    <n v="1"/>
    <n v="363.32"/>
    <n v="0"/>
    <n v="0"/>
    <n v="9"/>
    <n v="55.9"/>
    <m/>
    <s v="Unique"/>
    <s v="Valid"/>
  </r>
  <r>
    <s v="USR-100100"/>
    <d v="2025-05-26T00:00:00"/>
    <x v="0"/>
    <x v="0"/>
    <x v="1"/>
    <x v="1"/>
    <x v="1"/>
    <n v="1"/>
    <n v="0"/>
    <n v="0"/>
    <n v="0"/>
    <n v="0"/>
    <n v="0"/>
    <n v="0"/>
    <m/>
    <n v="63.5"/>
    <m/>
    <s v="Unique"/>
    <s v="Valid"/>
  </r>
  <r>
    <s v="USR-100101"/>
    <d v="2025-03-22T00:00:00"/>
    <x v="0"/>
    <x v="0"/>
    <x v="1"/>
    <x v="2"/>
    <x v="0"/>
    <n v="1"/>
    <n v="0"/>
    <n v="0"/>
    <n v="0"/>
    <n v="0"/>
    <n v="0"/>
    <n v="0"/>
    <m/>
    <n v="51.5"/>
    <m/>
    <s v="Unique"/>
    <s v="Valid"/>
  </r>
  <r>
    <s v="USR-100102"/>
    <d v="2025-04-08T00:00:00"/>
    <x v="0"/>
    <x v="1"/>
    <x v="1"/>
    <x v="2"/>
    <x v="1"/>
    <n v="1"/>
    <n v="0"/>
    <n v="0"/>
    <n v="0"/>
    <n v="0"/>
    <n v="0"/>
    <n v="0"/>
    <m/>
    <n v="74.400000000000006"/>
    <m/>
    <s v="Unique"/>
    <s v="Valid"/>
  </r>
  <r>
    <s v="USR-100103"/>
    <d v="2025-04-14T00:00:00"/>
    <x v="0"/>
    <x v="0"/>
    <x v="0"/>
    <x v="4"/>
    <x v="1"/>
    <n v="1"/>
    <n v="1"/>
    <n v="1"/>
    <n v="1"/>
    <n v="3887.98"/>
    <n v="0"/>
    <n v="0"/>
    <n v="13"/>
    <n v="60.2"/>
    <m/>
    <s v="Unique"/>
    <s v="Valid"/>
  </r>
  <r>
    <s v="USR-100104"/>
    <d v="2025-03-27T00:00:00"/>
    <x v="0"/>
    <x v="3"/>
    <x v="1"/>
    <x v="0"/>
    <x v="1"/>
    <n v="1"/>
    <n v="0"/>
    <n v="0"/>
    <n v="0"/>
    <n v="0"/>
    <n v="1"/>
    <n v="0"/>
    <m/>
    <n v="67.2"/>
    <m/>
    <s v="Unique"/>
    <s v="Valid"/>
  </r>
  <r>
    <s v="USR-100105"/>
    <d v="2025-01-05T00:00:00"/>
    <x v="0"/>
    <x v="3"/>
    <x v="1"/>
    <x v="4"/>
    <x v="1"/>
    <n v="1"/>
    <n v="1"/>
    <n v="1"/>
    <n v="0"/>
    <n v="0"/>
    <n v="0"/>
    <n v="0"/>
    <m/>
    <n v="79.599999999999994"/>
    <m/>
    <s v="Unique"/>
    <s v="Valid"/>
  </r>
  <r>
    <s v="USR-100106"/>
    <d v="2025-01-25T00:00:00"/>
    <x v="0"/>
    <x v="3"/>
    <x v="1"/>
    <x v="4"/>
    <x v="0"/>
    <n v="1"/>
    <n v="1"/>
    <n v="1"/>
    <n v="1"/>
    <n v="8610.7199999999993"/>
    <n v="0"/>
    <n v="0"/>
    <n v="6"/>
    <n v="61"/>
    <m/>
    <s v="Unique"/>
    <s v="Valid"/>
  </r>
  <r>
    <s v="USR-100107"/>
    <d v="2025-01-23T00:00:00"/>
    <x v="0"/>
    <x v="1"/>
    <x v="1"/>
    <x v="0"/>
    <x v="1"/>
    <n v="1"/>
    <n v="1"/>
    <n v="1"/>
    <n v="0"/>
    <n v="0"/>
    <n v="4"/>
    <n v="0"/>
    <m/>
    <n v="51.1"/>
    <m/>
    <s v="Unique"/>
    <s v="Valid"/>
  </r>
  <r>
    <s v="USR-100108"/>
    <d v="2025-05-25T00:00:00"/>
    <x v="0"/>
    <x v="2"/>
    <x v="0"/>
    <x v="3"/>
    <x v="1"/>
    <n v="1"/>
    <n v="0"/>
    <n v="0"/>
    <n v="0"/>
    <n v="0"/>
    <n v="0"/>
    <n v="0"/>
    <m/>
    <n v="92.1"/>
    <m/>
    <s v="Unique"/>
    <s v="Valid"/>
  </r>
  <r>
    <s v="USR-100109"/>
    <d v="2025-03-22T00:00:00"/>
    <x v="0"/>
    <x v="3"/>
    <x v="1"/>
    <x v="3"/>
    <x v="0"/>
    <n v="0"/>
    <n v="0"/>
    <n v="0"/>
    <n v="0"/>
    <n v="0"/>
    <n v="0"/>
    <n v="0"/>
    <m/>
    <n v="82.1"/>
    <m/>
    <s v="Unique"/>
    <s v="Valid"/>
  </r>
  <r>
    <s v="USR-100110"/>
    <d v="2025-02-12T00:00:00"/>
    <x v="0"/>
    <x v="1"/>
    <x v="0"/>
    <x v="2"/>
    <x v="0"/>
    <n v="1"/>
    <n v="0"/>
    <n v="0"/>
    <n v="0"/>
    <n v="0"/>
    <n v="1"/>
    <n v="0"/>
    <m/>
    <n v="74"/>
    <m/>
    <s v="Unique"/>
    <s v="Valid"/>
  </r>
  <r>
    <s v="USR-100111"/>
    <d v="2025-04-28T00:00:00"/>
    <x v="0"/>
    <x v="1"/>
    <x v="0"/>
    <x v="1"/>
    <x v="0"/>
    <n v="1"/>
    <n v="0"/>
    <n v="0"/>
    <n v="0"/>
    <n v="0"/>
    <n v="0"/>
    <n v="0"/>
    <m/>
    <n v="63.4"/>
    <m/>
    <s v="Unique"/>
    <s v="Valid"/>
  </r>
  <r>
    <s v="USR-100112"/>
    <d v="2025-01-30T00:00:00"/>
    <x v="0"/>
    <x v="0"/>
    <x v="1"/>
    <x v="1"/>
    <x v="0"/>
    <n v="1"/>
    <n v="0"/>
    <n v="0"/>
    <n v="0"/>
    <n v="0"/>
    <n v="0"/>
    <n v="0"/>
    <m/>
    <n v="53.2"/>
    <m/>
    <s v="Unique"/>
    <s v="Valid"/>
  </r>
  <r>
    <s v="USR-100113"/>
    <d v="2025-05-19T00:00:00"/>
    <x v="0"/>
    <x v="2"/>
    <x v="2"/>
    <x v="2"/>
    <x v="1"/>
    <n v="0"/>
    <n v="0"/>
    <n v="0"/>
    <n v="0"/>
    <n v="0"/>
    <n v="0"/>
    <n v="0"/>
    <m/>
    <n v="48.1"/>
    <m/>
    <s v="Unique"/>
    <s v="Valid"/>
  </r>
  <r>
    <s v="USR-100114"/>
    <d v="2025-01-23T00:00:00"/>
    <x v="0"/>
    <x v="3"/>
    <x v="1"/>
    <x v="4"/>
    <x v="1"/>
    <n v="1"/>
    <n v="1"/>
    <n v="0"/>
    <n v="0"/>
    <n v="0"/>
    <n v="0"/>
    <n v="0"/>
    <m/>
    <n v="61.5"/>
    <m/>
    <s v="Unique"/>
    <s v="Valid"/>
  </r>
  <r>
    <s v="USR-100115"/>
    <d v="2025-03-28T00:00:00"/>
    <x v="0"/>
    <x v="2"/>
    <x v="0"/>
    <x v="4"/>
    <x v="1"/>
    <n v="1"/>
    <n v="0"/>
    <n v="0"/>
    <n v="0"/>
    <n v="0"/>
    <n v="0"/>
    <n v="0"/>
    <m/>
    <n v="63.2"/>
    <m/>
    <s v="Unique"/>
    <s v="Valid"/>
  </r>
  <r>
    <s v="USR-100116"/>
    <d v="2025-01-11T00:00:00"/>
    <x v="0"/>
    <x v="1"/>
    <x v="1"/>
    <x v="1"/>
    <x v="1"/>
    <n v="0"/>
    <n v="0"/>
    <n v="0"/>
    <n v="0"/>
    <n v="0"/>
    <n v="0"/>
    <n v="0"/>
    <m/>
    <n v="71.900000000000006"/>
    <m/>
    <s v="Unique"/>
    <s v="Valid"/>
  </r>
  <r>
    <s v="USR-100117"/>
    <d v="2025-04-11T00:00:00"/>
    <x v="0"/>
    <x v="0"/>
    <x v="1"/>
    <x v="3"/>
    <x v="1"/>
    <n v="0"/>
    <n v="0"/>
    <n v="0"/>
    <n v="0"/>
    <n v="0"/>
    <n v="0"/>
    <n v="0"/>
    <m/>
    <n v="62.7"/>
    <m/>
    <s v="Unique"/>
    <s v="Valid"/>
  </r>
  <r>
    <s v="USR-100118"/>
    <d v="2025-01-02T00:00:00"/>
    <x v="0"/>
    <x v="1"/>
    <x v="1"/>
    <x v="2"/>
    <x v="1"/>
    <n v="1"/>
    <n v="0"/>
    <n v="0"/>
    <n v="0"/>
    <n v="0"/>
    <n v="0"/>
    <n v="0"/>
    <m/>
    <n v="51.5"/>
    <m/>
    <s v="Unique"/>
    <s v="Valid"/>
  </r>
  <r>
    <s v="USR-100119"/>
    <d v="2025-03-18T00:00:00"/>
    <x v="0"/>
    <x v="2"/>
    <x v="1"/>
    <x v="4"/>
    <x v="1"/>
    <n v="1"/>
    <n v="1"/>
    <n v="1"/>
    <n v="0"/>
    <n v="0"/>
    <n v="0"/>
    <n v="0"/>
    <m/>
    <n v="39.1"/>
    <m/>
    <s v="Unique"/>
    <s v="Valid"/>
  </r>
  <r>
    <s v="USR-100120"/>
    <d v="2025-03-31T00:00:00"/>
    <x v="0"/>
    <x v="0"/>
    <x v="1"/>
    <x v="0"/>
    <x v="1"/>
    <n v="1"/>
    <n v="0"/>
    <n v="0"/>
    <n v="0"/>
    <n v="0"/>
    <n v="0"/>
    <n v="0"/>
    <m/>
    <n v="43.8"/>
    <m/>
    <s v="Unique"/>
    <s v="Valid"/>
  </r>
  <r>
    <s v="USR-100121"/>
    <d v="2025-01-06T00:00:00"/>
    <x v="0"/>
    <x v="0"/>
    <x v="1"/>
    <x v="2"/>
    <x v="0"/>
    <n v="1"/>
    <n v="0"/>
    <n v="0"/>
    <n v="0"/>
    <n v="0"/>
    <n v="0"/>
    <n v="0"/>
    <m/>
    <n v="59.9"/>
    <m/>
    <s v="Unique"/>
    <s v="Valid"/>
  </r>
  <r>
    <s v="USR-100122"/>
    <d v="2025-01-26T00:00:00"/>
    <x v="0"/>
    <x v="0"/>
    <x v="1"/>
    <x v="3"/>
    <x v="1"/>
    <n v="1"/>
    <n v="1"/>
    <n v="0"/>
    <n v="0"/>
    <n v="0"/>
    <n v="0"/>
    <n v="0"/>
    <m/>
    <n v="71.400000000000006"/>
    <m/>
    <s v="Unique"/>
    <s v="Valid"/>
  </r>
  <r>
    <s v="USR-100123"/>
    <d v="2025-04-22T00:00:00"/>
    <x v="0"/>
    <x v="3"/>
    <x v="1"/>
    <x v="3"/>
    <x v="0"/>
    <n v="0"/>
    <n v="0"/>
    <n v="0"/>
    <n v="0"/>
    <n v="0"/>
    <n v="0"/>
    <n v="0"/>
    <m/>
    <n v="36.1"/>
    <m/>
    <s v="Unique"/>
    <s v="Valid"/>
  </r>
  <r>
    <s v="USR-100124"/>
    <d v="2025-05-30T00:00:00"/>
    <x v="0"/>
    <x v="1"/>
    <x v="3"/>
    <x v="0"/>
    <x v="0"/>
    <n v="1"/>
    <n v="1"/>
    <n v="0"/>
    <n v="0"/>
    <n v="0"/>
    <n v="0"/>
    <n v="0"/>
    <m/>
    <n v="47.9"/>
    <m/>
    <s v="Unique"/>
    <s v="Valid"/>
  </r>
  <r>
    <s v="USR-100125"/>
    <d v="2025-05-18T00:00:00"/>
    <x v="0"/>
    <x v="1"/>
    <x v="0"/>
    <x v="1"/>
    <x v="2"/>
    <n v="1"/>
    <n v="0"/>
    <n v="0"/>
    <n v="0"/>
    <n v="0"/>
    <n v="0"/>
    <n v="0"/>
    <m/>
    <n v="62.5"/>
    <m/>
    <s v="Unique"/>
    <s v="Valid"/>
  </r>
  <r>
    <s v="USR-100126"/>
    <d v="2025-01-13T00:00:00"/>
    <x v="0"/>
    <x v="3"/>
    <x v="0"/>
    <x v="2"/>
    <x v="2"/>
    <n v="1"/>
    <n v="0"/>
    <n v="0"/>
    <n v="0"/>
    <n v="0"/>
    <n v="0"/>
    <n v="0"/>
    <m/>
    <n v="56.9"/>
    <m/>
    <s v="Unique"/>
    <s v="Valid"/>
  </r>
  <r>
    <s v="USR-100127"/>
    <d v="2025-03-25T00:00:00"/>
    <x v="0"/>
    <x v="0"/>
    <x v="0"/>
    <x v="0"/>
    <x v="1"/>
    <n v="0"/>
    <n v="0"/>
    <n v="0"/>
    <n v="0"/>
    <n v="0"/>
    <n v="0"/>
    <n v="0"/>
    <m/>
    <n v="64.7"/>
    <m/>
    <s v="Unique"/>
    <s v="Valid"/>
  </r>
  <r>
    <s v="USR-100128"/>
    <d v="2025-04-29T00:00:00"/>
    <x v="0"/>
    <x v="3"/>
    <x v="0"/>
    <x v="1"/>
    <x v="1"/>
    <n v="1"/>
    <n v="1"/>
    <n v="1"/>
    <n v="0"/>
    <n v="0"/>
    <n v="0"/>
    <n v="0"/>
    <m/>
    <n v="64"/>
    <m/>
    <s v="Unique"/>
    <s v="Valid"/>
  </r>
  <r>
    <s v="USR-100129"/>
    <d v="2025-05-17T00:00:00"/>
    <x v="0"/>
    <x v="2"/>
    <x v="1"/>
    <x v="3"/>
    <x v="0"/>
    <n v="1"/>
    <n v="1"/>
    <n v="1"/>
    <n v="0"/>
    <n v="0"/>
    <n v="0"/>
    <n v="0"/>
    <m/>
    <n v="75.2"/>
    <m/>
    <s v="Unique"/>
    <s v="Valid"/>
  </r>
  <r>
    <s v="USR-100130"/>
    <d v="2025-01-02T00:00:00"/>
    <x v="0"/>
    <x v="0"/>
    <x v="1"/>
    <x v="2"/>
    <x v="1"/>
    <n v="1"/>
    <n v="0"/>
    <n v="0"/>
    <n v="0"/>
    <n v="0"/>
    <n v="1"/>
    <n v="0"/>
    <m/>
    <n v="79"/>
    <m/>
    <s v="Unique"/>
    <s v="Valid"/>
  </r>
  <r>
    <s v="USR-100131"/>
    <d v="2025-02-03T00:00:00"/>
    <x v="0"/>
    <x v="3"/>
    <x v="1"/>
    <x v="1"/>
    <x v="1"/>
    <n v="0"/>
    <n v="0"/>
    <n v="0"/>
    <n v="0"/>
    <n v="0"/>
    <n v="0"/>
    <n v="0"/>
    <m/>
    <n v="33"/>
    <m/>
    <s v="Unique"/>
    <s v="Valid"/>
  </r>
  <r>
    <s v="USR-100132"/>
    <d v="2025-03-04T00:00:00"/>
    <x v="0"/>
    <x v="2"/>
    <x v="1"/>
    <x v="1"/>
    <x v="1"/>
    <n v="1"/>
    <n v="0"/>
    <n v="0"/>
    <n v="0"/>
    <n v="0"/>
    <n v="0"/>
    <n v="0"/>
    <m/>
    <n v="67.900000000000006"/>
    <m/>
    <s v="Unique"/>
    <s v="Valid"/>
  </r>
  <r>
    <s v="USR-100133"/>
    <d v="2025-01-26T00:00:00"/>
    <x v="0"/>
    <x v="3"/>
    <x v="1"/>
    <x v="2"/>
    <x v="0"/>
    <n v="0"/>
    <n v="0"/>
    <n v="0"/>
    <n v="0"/>
    <n v="0"/>
    <n v="0"/>
    <n v="0"/>
    <m/>
    <n v="42.2"/>
    <m/>
    <s v="Unique"/>
    <s v="Valid"/>
  </r>
  <r>
    <s v="USR-100134"/>
    <d v="2025-05-12T00:00:00"/>
    <x v="0"/>
    <x v="1"/>
    <x v="1"/>
    <x v="2"/>
    <x v="0"/>
    <n v="1"/>
    <n v="1"/>
    <n v="1"/>
    <n v="0"/>
    <n v="0"/>
    <n v="0"/>
    <n v="0"/>
    <m/>
    <n v="43.4"/>
    <m/>
    <s v="Unique"/>
    <s v="Valid"/>
  </r>
  <r>
    <s v="USR-100135"/>
    <d v="2025-03-06T00:00:00"/>
    <x v="0"/>
    <x v="0"/>
    <x v="1"/>
    <x v="1"/>
    <x v="0"/>
    <n v="0"/>
    <n v="0"/>
    <n v="0"/>
    <n v="0"/>
    <n v="0"/>
    <n v="0"/>
    <n v="0"/>
    <m/>
    <n v="54.4"/>
    <m/>
    <s v="Unique"/>
    <s v="Valid"/>
  </r>
  <r>
    <s v="USR-100136"/>
    <d v="2025-03-10T00:00:00"/>
    <x v="0"/>
    <x v="3"/>
    <x v="0"/>
    <x v="0"/>
    <x v="2"/>
    <n v="0"/>
    <n v="0"/>
    <n v="0"/>
    <n v="0"/>
    <n v="0"/>
    <n v="0"/>
    <n v="0"/>
    <m/>
    <n v="45.7"/>
    <m/>
    <s v="Unique"/>
    <s v="Valid"/>
  </r>
  <r>
    <s v="USR-100137"/>
    <d v="2025-05-06T00:00:00"/>
    <x v="0"/>
    <x v="0"/>
    <x v="1"/>
    <x v="2"/>
    <x v="1"/>
    <n v="0"/>
    <n v="0"/>
    <n v="0"/>
    <n v="0"/>
    <n v="0"/>
    <n v="3"/>
    <n v="0"/>
    <m/>
    <n v="32"/>
    <m/>
    <s v="Unique"/>
    <s v="Valid"/>
  </r>
  <r>
    <s v="USR-100138"/>
    <d v="2025-02-23T00:00:00"/>
    <x v="0"/>
    <x v="3"/>
    <x v="0"/>
    <x v="2"/>
    <x v="1"/>
    <n v="1"/>
    <n v="0"/>
    <n v="0"/>
    <n v="0"/>
    <n v="0"/>
    <n v="0"/>
    <n v="0"/>
    <m/>
    <n v="70.900000000000006"/>
    <m/>
    <s v="Unique"/>
    <s v="Valid"/>
  </r>
  <r>
    <s v="USR-100139"/>
    <d v="2025-01-29T00:00:00"/>
    <x v="0"/>
    <x v="1"/>
    <x v="1"/>
    <x v="4"/>
    <x v="0"/>
    <n v="1"/>
    <n v="1"/>
    <n v="1"/>
    <n v="0"/>
    <n v="0"/>
    <n v="0"/>
    <n v="0"/>
    <m/>
    <n v="59.1"/>
    <m/>
    <s v="Unique"/>
    <s v="Valid"/>
  </r>
  <r>
    <s v="USR-100140"/>
    <d v="2025-01-31T00:00:00"/>
    <x v="0"/>
    <x v="0"/>
    <x v="1"/>
    <x v="1"/>
    <x v="0"/>
    <n v="0"/>
    <n v="0"/>
    <n v="0"/>
    <n v="0"/>
    <n v="0"/>
    <n v="0"/>
    <n v="0"/>
    <m/>
    <n v="62.4"/>
    <m/>
    <s v="Unique"/>
    <s v="Valid"/>
  </r>
  <r>
    <s v="USR-100141"/>
    <d v="2025-01-19T00:00:00"/>
    <x v="0"/>
    <x v="3"/>
    <x v="1"/>
    <x v="1"/>
    <x v="1"/>
    <n v="0"/>
    <n v="0"/>
    <n v="0"/>
    <n v="0"/>
    <n v="0"/>
    <n v="0"/>
    <n v="0"/>
    <m/>
    <n v="49.6"/>
    <m/>
    <s v="Unique"/>
    <s v="Valid"/>
  </r>
  <r>
    <s v="USR-100142"/>
    <d v="2025-04-03T00:00:00"/>
    <x v="0"/>
    <x v="1"/>
    <x v="0"/>
    <x v="4"/>
    <x v="1"/>
    <n v="1"/>
    <n v="1"/>
    <n v="1"/>
    <n v="1"/>
    <n v="404.4"/>
    <n v="0"/>
    <n v="0"/>
    <n v="9"/>
    <n v="80.599999999999994"/>
    <m/>
    <s v="Unique"/>
    <s v="Valid"/>
  </r>
  <r>
    <s v="USR-100143"/>
    <d v="2025-04-07T00:00:00"/>
    <x v="0"/>
    <x v="0"/>
    <x v="1"/>
    <x v="2"/>
    <x v="1"/>
    <n v="1"/>
    <n v="0"/>
    <n v="0"/>
    <n v="0"/>
    <n v="0"/>
    <n v="0"/>
    <n v="0"/>
    <m/>
    <n v="47.9"/>
    <m/>
    <s v="Unique"/>
    <s v="Valid"/>
  </r>
  <r>
    <s v="USR-100144"/>
    <d v="2025-01-06T00:00:00"/>
    <x v="0"/>
    <x v="2"/>
    <x v="1"/>
    <x v="2"/>
    <x v="0"/>
    <n v="1"/>
    <n v="1"/>
    <n v="0"/>
    <n v="0"/>
    <n v="0"/>
    <n v="0"/>
    <n v="0"/>
    <m/>
    <n v="54.8"/>
    <m/>
    <s v="Unique"/>
    <s v="Valid"/>
  </r>
  <r>
    <s v="USR-100145"/>
    <d v="2025-04-11T00:00:00"/>
    <x v="0"/>
    <x v="2"/>
    <x v="1"/>
    <x v="1"/>
    <x v="1"/>
    <n v="1"/>
    <n v="0"/>
    <n v="0"/>
    <n v="0"/>
    <n v="0"/>
    <n v="1"/>
    <n v="0"/>
    <m/>
    <n v="53.9"/>
    <m/>
    <s v="Unique"/>
    <s v="Valid"/>
  </r>
  <r>
    <s v="USR-100146"/>
    <d v="2025-04-23T00:00:00"/>
    <x v="0"/>
    <x v="2"/>
    <x v="1"/>
    <x v="2"/>
    <x v="1"/>
    <n v="1"/>
    <n v="0"/>
    <n v="0"/>
    <n v="0"/>
    <n v="0"/>
    <n v="0"/>
    <n v="0"/>
    <m/>
    <n v="41.3"/>
    <m/>
    <s v="Unique"/>
    <s v="Valid"/>
  </r>
  <r>
    <s v="USR-100147"/>
    <d v="2025-03-25T00:00:00"/>
    <x v="0"/>
    <x v="1"/>
    <x v="1"/>
    <x v="1"/>
    <x v="0"/>
    <n v="1"/>
    <n v="1"/>
    <n v="0"/>
    <n v="0"/>
    <n v="0"/>
    <n v="0"/>
    <n v="0"/>
    <m/>
    <n v="38.9"/>
    <m/>
    <s v="Unique"/>
    <s v="Valid"/>
  </r>
  <r>
    <s v="USR-100148"/>
    <d v="2025-05-25T00:00:00"/>
    <x v="0"/>
    <x v="3"/>
    <x v="0"/>
    <x v="1"/>
    <x v="0"/>
    <n v="1"/>
    <n v="0"/>
    <n v="0"/>
    <n v="0"/>
    <n v="0"/>
    <n v="0"/>
    <n v="0"/>
    <m/>
    <n v="63.6"/>
    <m/>
    <s v="Unique"/>
    <s v="Valid"/>
  </r>
  <r>
    <s v="USR-100149"/>
    <d v="2025-01-28T00:00:00"/>
    <x v="0"/>
    <x v="0"/>
    <x v="1"/>
    <x v="1"/>
    <x v="1"/>
    <n v="1"/>
    <n v="1"/>
    <n v="1"/>
    <n v="1"/>
    <n v="577.94000000000005"/>
    <n v="0"/>
    <n v="0"/>
    <n v="9"/>
    <n v="76.599999999999994"/>
    <m/>
    <s v="Unique"/>
    <s v="Valid"/>
  </r>
  <r>
    <s v="USR-100150"/>
    <d v="2025-02-12T00:00:00"/>
    <x v="0"/>
    <x v="1"/>
    <x v="1"/>
    <x v="2"/>
    <x v="2"/>
    <n v="0"/>
    <n v="0"/>
    <n v="0"/>
    <n v="0"/>
    <n v="0"/>
    <n v="1"/>
    <n v="0"/>
    <m/>
    <n v="67.599999999999994"/>
    <m/>
    <s v="Unique"/>
    <s v="Valid"/>
  </r>
  <r>
    <s v="USR-100151"/>
    <d v="2025-04-29T00:00:00"/>
    <x v="0"/>
    <x v="0"/>
    <x v="1"/>
    <x v="4"/>
    <x v="2"/>
    <n v="1"/>
    <n v="0"/>
    <n v="0"/>
    <n v="0"/>
    <n v="0"/>
    <n v="0"/>
    <n v="0"/>
    <m/>
    <n v="43.1"/>
    <m/>
    <s v="Unique"/>
    <s v="Valid"/>
  </r>
  <r>
    <s v="USR-100152"/>
    <d v="2025-03-13T00:00:00"/>
    <x v="0"/>
    <x v="3"/>
    <x v="1"/>
    <x v="0"/>
    <x v="1"/>
    <n v="1"/>
    <n v="0"/>
    <n v="0"/>
    <n v="0"/>
    <n v="0"/>
    <n v="0"/>
    <n v="0"/>
    <m/>
    <n v="58.3"/>
    <m/>
    <s v="Unique"/>
    <s v="Valid"/>
  </r>
  <r>
    <s v="USR-100153"/>
    <d v="2025-02-04T00:00:00"/>
    <x v="0"/>
    <x v="2"/>
    <x v="0"/>
    <x v="2"/>
    <x v="1"/>
    <n v="1"/>
    <n v="0"/>
    <n v="0"/>
    <n v="0"/>
    <n v="0"/>
    <n v="0"/>
    <n v="0"/>
    <m/>
    <n v="69.8"/>
    <m/>
    <s v="Unique"/>
    <s v="Valid"/>
  </r>
  <r>
    <s v="USR-100154"/>
    <d v="2025-03-04T00:00:00"/>
    <x v="0"/>
    <x v="3"/>
    <x v="1"/>
    <x v="3"/>
    <x v="1"/>
    <n v="1"/>
    <n v="1"/>
    <n v="0"/>
    <n v="0"/>
    <n v="0"/>
    <n v="0"/>
    <n v="0"/>
    <m/>
    <n v="60.02"/>
    <m/>
    <s v="Unique"/>
    <s v="Valid"/>
  </r>
  <r>
    <s v="USR-100155"/>
    <d v="2025-02-04T00:00:00"/>
    <x v="0"/>
    <x v="1"/>
    <x v="1"/>
    <x v="2"/>
    <x v="0"/>
    <n v="1"/>
    <n v="1"/>
    <n v="0"/>
    <n v="0"/>
    <n v="0"/>
    <n v="0"/>
    <n v="0"/>
    <m/>
    <n v="41.9"/>
    <m/>
    <s v="Unique"/>
    <s v="Valid"/>
  </r>
  <r>
    <s v="USR-100156"/>
    <d v="2025-03-11T00:00:00"/>
    <x v="0"/>
    <x v="0"/>
    <x v="0"/>
    <x v="1"/>
    <x v="1"/>
    <n v="0"/>
    <n v="0"/>
    <n v="0"/>
    <n v="0"/>
    <n v="0"/>
    <n v="0"/>
    <n v="0"/>
    <m/>
    <n v="33.1"/>
    <m/>
    <s v="Unique"/>
    <s v="Valid"/>
  </r>
  <r>
    <s v="USR-100157"/>
    <d v="2025-04-22T00:00:00"/>
    <x v="0"/>
    <x v="1"/>
    <x v="1"/>
    <x v="1"/>
    <x v="1"/>
    <n v="0"/>
    <n v="0"/>
    <n v="0"/>
    <n v="0"/>
    <n v="0"/>
    <n v="0"/>
    <n v="0"/>
    <m/>
    <n v="58.6"/>
    <m/>
    <s v="Unique"/>
    <s v="Valid"/>
  </r>
  <r>
    <s v="USR-100158"/>
    <d v="2025-03-08T00:00:00"/>
    <x v="0"/>
    <x v="0"/>
    <x v="0"/>
    <x v="2"/>
    <x v="1"/>
    <n v="0"/>
    <n v="0"/>
    <n v="0"/>
    <n v="0"/>
    <n v="0"/>
    <n v="0"/>
    <n v="0"/>
    <m/>
    <n v="55.7"/>
    <m/>
    <s v="Unique"/>
    <s v="Valid"/>
  </r>
  <r>
    <s v="USR-100159"/>
    <d v="2025-03-10T00:00:00"/>
    <x v="0"/>
    <x v="2"/>
    <x v="1"/>
    <x v="1"/>
    <x v="1"/>
    <n v="0"/>
    <n v="0"/>
    <n v="0"/>
    <n v="0"/>
    <n v="0"/>
    <n v="2"/>
    <n v="0"/>
    <m/>
    <n v="64.900000000000006"/>
    <m/>
    <s v="Unique"/>
    <s v="Valid"/>
  </r>
  <r>
    <s v="USR-100160"/>
    <d v="2025-05-18T00:00:00"/>
    <x v="0"/>
    <x v="0"/>
    <x v="0"/>
    <x v="2"/>
    <x v="0"/>
    <n v="0"/>
    <n v="0"/>
    <n v="0"/>
    <n v="0"/>
    <n v="0"/>
    <n v="0"/>
    <n v="0"/>
    <m/>
    <n v="72.3"/>
    <m/>
    <s v="Unique"/>
    <s v="Valid"/>
  </r>
  <r>
    <s v="USR-100161"/>
    <d v="2025-05-14T00:00:00"/>
    <x v="0"/>
    <x v="0"/>
    <x v="1"/>
    <x v="4"/>
    <x v="0"/>
    <n v="0"/>
    <n v="0"/>
    <n v="0"/>
    <n v="0"/>
    <n v="0"/>
    <n v="0"/>
    <n v="0"/>
    <m/>
    <n v="42.1"/>
    <m/>
    <s v="Unique"/>
    <s v="Valid"/>
  </r>
  <r>
    <s v="USR-100162"/>
    <d v="2025-02-01T00:00:00"/>
    <x v="0"/>
    <x v="0"/>
    <x v="1"/>
    <x v="1"/>
    <x v="1"/>
    <n v="0"/>
    <n v="0"/>
    <n v="0"/>
    <n v="0"/>
    <n v="0"/>
    <n v="0"/>
    <n v="0"/>
    <m/>
    <n v="60.02"/>
    <m/>
    <s v="Unique"/>
    <s v="Valid"/>
  </r>
  <r>
    <s v="USR-100163"/>
    <d v="2025-04-11T00:00:00"/>
    <x v="0"/>
    <x v="3"/>
    <x v="1"/>
    <x v="1"/>
    <x v="0"/>
    <n v="0"/>
    <n v="0"/>
    <n v="0"/>
    <n v="0"/>
    <n v="0"/>
    <n v="1"/>
    <n v="0"/>
    <m/>
    <n v="64.8"/>
    <m/>
    <s v="Unique"/>
    <s v="Valid"/>
  </r>
  <r>
    <s v="USR-100164"/>
    <d v="2025-02-14T00:00:00"/>
    <x v="0"/>
    <x v="2"/>
    <x v="1"/>
    <x v="1"/>
    <x v="1"/>
    <n v="0"/>
    <n v="0"/>
    <n v="0"/>
    <n v="0"/>
    <n v="0"/>
    <n v="0"/>
    <n v="0"/>
    <m/>
    <n v="72.099999999999994"/>
    <m/>
    <s v="Unique"/>
    <s v="Valid"/>
  </r>
  <r>
    <s v="USR-100165"/>
    <d v="2025-05-19T00:00:00"/>
    <x v="0"/>
    <x v="2"/>
    <x v="1"/>
    <x v="4"/>
    <x v="1"/>
    <n v="1"/>
    <n v="0"/>
    <n v="0"/>
    <n v="0"/>
    <n v="0"/>
    <n v="0"/>
    <n v="0"/>
    <m/>
    <n v="50.6"/>
    <m/>
    <s v="Unique"/>
    <s v="Valid"/>
  </r>
  <r>
    <s v="USR-100166"/>
    <d v="2025-04-26T00:00:00"/>
    <x v="0"/>
    <x v="0"/>
    <x v="0"/>
    <x v="2"/>
    <x v="0"/>
    <n v="1"/>
    <n v="1"/>
    <n v="1"/>
    <n v="1"/>
    <n v="1281.25"/>
    <n v="1"/>
    <n v="0"/>
    <n v="9"/>
    <n v="43.4"/>
    <m/>
    <s v="Unique"/>
    <s v="Valid"/>
  </r>
  <r>
    <s v="USR-100167"/>
    <d v="2025-04-06T00:00:00"/>
    <x v="0"/>
    <x v="3"/>
    <x v="1"/>
    <x v="4"/>
    <x v="1"/>
    <n v="1"/>
    <n v="0"/>
    <n v="0"/>
    <n v="0"/>
    <n v="0"/>
    <n v="0"/>
    <n v="0"/>
    <m/>
    <n v="59.7"/>
    <m/>
    <s v="Unique"/>
    <s v="Valid"/>
  </r>
  <r>
    <s v="USR-100168"/>
    <d v="2025-03-06T00:00:00"/>
    <x v="0"/>
    <x v="3"/>
    <x v="1"/>
    <x v="2"/>
    <x v="1"/>
    <n v="1"/>
    <n v="0"/>
    <n v="0"/>
    <n v="0"/>
    <n v="0"/>
    <n v="1"/>
    <n v="0"/>
    <m/>
    <n v="60.02"/>
    <m/>
    <s v="Unique"/>
    <s v="Valid"/>
  </r>
  <r>
    <s v="USR-100169"/>
    <d v="2025-03-10T00:00:00"/>
    <x v="0"/>
    <x v="1"/>
    <x v="1"/>
    <x v="4"/>
    <x v="0"/>
    <n v="0"/>
    <n v="0"/>
    <n v="0"/>
    <n v="0"/>
    <n v="0"/>
    <n v="0"/>
    <n v="0"/>
    <m/>
    <n v="54.5"/>
    <m/>
    <s v="Unique"/>
    <s v="Valid"/>
  </r>
  <r>
    <s v="USR-100170"/>
    <d v="2025-03-30T00:00:00"/>
    <x v="0"/>
    <x v="0"/>
    <x v="1"/>
    <x v="1"/>
    <x v="1"/>
    <n v="1"/>
    <n v="0"/>
    <n v="0"/>
    <n v="0"/>
    <n v="0"/>
    <n v="0"/>
    <n v="0"/>
    <m/>
    <n v="71.099999999999994"/>
    <m/>
    <s v="Unique"/>
    <s v="Valid"/>
  </r>
  <r>
    <s v="USR-100171"/>
    <d v="2025-05-29T00:00:00"/>
    <x v="0"/>
    <x v="2"/>
    <x v="3"/>
    <x v="2"/>
    <x v="1"/>
    <n v="1"/>
    <n v="1"/>
    <n v="1"/>
    <n v="0"/>
    <n v="0"/>
    <n v="0"/>
    <n v="0"/>
    <m/>
    <n v="44.4"/>
    <m/>
    <s v="Unique"/>
    <s v="Valid"/>
  </r>
  <r>
    <s v="USR-100172"/>
    <d v="2025-03-23T00:00:00"/>
    <x v="0"/>
    <x v="0"/>
    <x v="1"/>
    <x v="1"/>
    <x v="1"/>
    <n v="1"/>
    <n v="0"/>
    <n v="0"/>
    <n v="0"/>
    <n v="0"/>
    <n v="0"/>
    <n v="0"/>
    <m/>
    <n v="61.7"/>
    <m/>
    <s v="Unique"/>
    <s v="Valid"/>
  </r>
  <r>
    <s v="USR-100173"/>
    <d v="2025-02-18T00:00:00"/>
    <x v="0"/>
    <x v="0"/>
    <x v="2"/>
    <x v="1"/>
    <x v="0"/>
    <n v="0"/>
    <n v="0"/>
    <n v="0"/>
    <n v="0"/>
    <n v="0"/>
    <n v="1"/>
    <n v="0"/>
    <m/>
    <n v="81.3"/>
    <m/>
    <s v="Unique"/>
    <s v="Valid"/>
  </r>
  <r>
    <s v="USR-100174"/>
    <d v="2025-01-26T00:00:00"/>
    <x v="0"/>
    <x v="0"/>
    <x v="0"/>
    <x v="0"/>
    <x v="1"/>
    <n v="1"/>
    <n v="0"/>
    <n v="0"/>
    <n v="0"/>
    <n v="0"/>
    <n v="2"/>
    <n v="0"/>
    <m/>
    <n v="28.7"/>
    <m/>
    <s v="Unique"/>
    <s v="Valid"/>
  </r>
  <r>
    <s v="USR-100175"/>
    <d v="2025-04-23T00:00:00"/>
    <x v="0"/>
    <x v="2"/>
    <x v="1"/>
    <x v="4"/>
    <x v="0"/>
    <n v="0"/>
    <n v="0"/>
    <n v="0"/>
    <n v="0"/>
    <n v="0"/>
    <n v="0"/>
    <n v="0"/>
    <m/>
    <n v="53"/>
    <m/>
    <s v="Unique"/>
    <s v="Valid"/>
  </r>
  <r>
    <s v="USR-100176"/>
    <d v="2025-03-16T00:00:00"/>
    <x v="0"/>
    <x v="3"/>
    <x v="2"/>
    <x v="3"/>
    <x v="0"/>
    <n v="1"/>
    <n v="0"/>
    <n v="0"/>
    <n v="0"/>
    <n v="0"/>
    <n v="0"/>
    <n v="0"/>
    <m/>
    <n v="54.9"/>
    <m/>
    <s v="Unique"/>
    <s v="Valid"/>
  </r>
  <r>
    <s v="USR-100177"/>
    <d v="2025-04-29T00:00:00"/>
    <x v="0"/>
    <x v="1"/>
    <x v="1"/>
    <x v="1"/>
    <x v="0"/>
    <n v="1"/>
    <n v="0"/>
    <n v="0"/>
    <n v="0"/>
    <n v="0"/>
    <n v="0"/>
    <n v="0"/>
    <m/>
    <n v="58.2"/>
    <m/>
    <s v="Unique"/>
    <s v="Valid"/>
  </r>
  <r>
    <s v="USR-100178"/>
    <d v="2025-04-06T00:00:00"/>
    <x v="0"/>
    <x v="0"/>
    <x v="1"/>
    <x v="1"/>
    <x v="1"/>
    <n v="0"/>
    <n v="0"/>
    <n v="0"/>
    <n v="0"/>
    <n v="0"/>
    <n v="0"/>
    <n v="0"/>
    <m/>
    <n v="80.599999999999994"/>
    <m/>
    <s v="Unique"/>
    <s v="Valid"/>
  </r>
  <r>
    <s v="USR-100179"/>
    <d v="2025-04-17T00:00:00"/>
    <x v="0"/>
    <x v="0"/>
    <x v="0"/>
    <x v="3"/>
    <x v="2"/>
    <n v="1"/>
    <n v="1"/>
    <n v="1"/>
    <n v="0"/>
    <n v="0"/>
    <n v="0"/>
    <n v="0"/>
    <m/>
    <n v="38.4"/>
    <m/>
    <s v="Unique"/>
    <s v="Valid"/>
  </r>
  <r>
    <s v="USR-100180"/>
    <d v="2025-04-03T00:00:00"/>
    <x v="0"/>
    <x v="3"/>
    <x v="1"/>
    <x v="2"/>
    <x v="1"/>
    <n v="1"/>
    <n v="0"/>
    <n v="0"/>
    <n v="0"/>
    <n v="0"/>
    <n v="0"/>
    <n v="0"/>
    <m/>
    <n v="56.1"/>
    <m/>
    <s v="Unique"/>
    <s v="Valid"/>
  </r>
  <r>
    <s v="USR-100181"/>
    <d v="2025-04-25T00:00:00"/>
    <x v="0"/>
    <x v="1"/>
    <x v="1"/>
    <x v="2"/>
    <x v="1"/>
    <n v="0"/>
    <n v="0"/>
    <n v="0"/>
    <n v="0"/>
    <n v="0"/>
    <n v="0"/>
    <n v="0"/>
    <m/>
    <n v="62.6"/>
    <m/>
    <s v="Unique"/>
    <s v="Valid"/>
  </r>
  <r>
    <s v="USR-100182"/>
    <d v="2025-04-30T00:00:00"/>
    <x v="0"/>
    <x v="3"/>
    <x v="1"/>
    <x v="1"/>
    <x v="2"/>
    <n v="0"/>
    <n v="0"/>
    <n v="0"/>
    <n v="0"/>
    <n v="0"/>
    <n v="0"/>
    <n v="0"/>
    <m/>
    <n v="36.299999999999997"/>
    <m/>
    <s v="Unique"/>
    <s v="Valid"/>
  </r>
  <r>
    <s v="USR-100183"/>
    <d v="2025-03-12T00:00:00"/>
    <x v="0"/>
    <x v="3"/>
    <x v="1"/>
    <x v="2"/>
    <x v="1"/>
    <n v="1"/>
    <n v="0"/>
    <n v="0"/>
    <n v="0"/>
    <n v="0"/>
    <n v="0"/>
    <n v="0"/>
    <m/>
    <n v="52.1"/>
    <m/>
    <s v="Unique"/>
    <s v="Valid"/>
  </r>
  <r>
    <s v="USR-100184"/>
    <d v="2025-05-04T00:00:00"/>
    <x v="0"/>
    <x v="3"/>
    <x v="1"/>
    <x v="1"/>
    <x v="1"/>
    <n v="1"/>
    <n v="0"/>
    <n v="0"/>
    <n v="0"/>
    <n v="0"/>
    <n v="0"/>
    <n v="0"/>
    <m/>
    <n v="45.1"/>
    <m/>
    <s v="Unique"/>
    <s v="Valid"/>
  </r>
  <r>
    <s v="USR-100185"/>
    <d v="2025-02-07T00:00:00"/>
    <x v="0"/>
    <x v="3"/>
    <x v="2"/>
    <x v="2"/>
    <x v="2"/>
    <n v="0"/>
    <n v="0"/>
    <n v="0"/>
    <n v="0"/>
    <n v="0"/>
    <n v="0"/>
    <n v="0"/>
    <m/>
    <n v="67.5"/>
    <m/>
    <s v="Unique"/>
    <s v="Valid"/>
  </r>
  <r>
    <s v="USR-100186"/>
    <d v="2025-04-28T00:00:00"/>
    <x v="0"/>
    <x v="2"/>
    <x v="2"/>
    <x v="0"/>
    <x v="0"/>
    <n v="1"/>
    <n v="1"/>
    <n v="1"/>
    <n v="0"/>
    <n v="0"/>
    <n v="0"/>
    <n v="0"/>
    <m/>
    <n v="80"/>
    <m/>
    <s v="Unique"/>
    <s v="Valid"/>
  </r>
  <r>
    <s v="USR-100187"/>
    <d v="2025-05-15T00:00:00"/>
    <x v="0"/>
    <x v="2"/>
    <x v="0"/>
    <x v="3"/>
    <x v="1"/>
    <n v="0"/>
    <n v="0"/>
    <n v="0"/>
    <n v="0"/>
    <n v="0"/>
    <n v="0"/>
    <n v="0"/>
    <m/>
    <n v="56.4"/>
    <m/>
    <s v="Unique"/>
    <s v="Valid"/>
  </r>
  <r>
    <s v="USR-100188"/>
    <d v="2025-01-18T00:00:00"/>
    <x v="0"/>
    <x v="1"/>
    <x v="1"/>
    <x v="2"/>
    <x v="0"/>
    <n v="0"/>
    <n v="0"/>
    <n v="0"/>
    <n v="0"/>
    <n v="0"/>
    <n v="0"/>
    <n v="0"/>
    <m/>
    <n v="55.4"/>
    <m/>
    <s v="Unique"/>
    <s v="Valid"/>
  </r>
  <r>
    <s v="USR-100189"/>
    <d v="2025-02-15T00:00:00"/>
    <x v="0"/>
    <x v="3"/>
    <x v="1"/>
    <x v="4"/>
    <x v="0"/>
    <n v="1"/>
    <n v="0"/>
    <n v="0"/>
    <n v="0"/>
    <n v="0"/>
    <n v="0"/>
    <n v="0"/>
    <m/>
    <n v="67.900000000000006"/>
    <m/>
    <s v="Unique"/>
    <s v="Valid"/>
  </r>
  <r>
    <s v="USR-100190"/>
    <d v="2025-02-18T00:00:00"/>
    <x v="0"/>
    <x v="0"/>
    <x v="2"/>
    <x v="0"/>
    <x v="1"/>
    <n v="1"/>
    <n v="0"/>
    <n v="0"/>
    <n v="0"/>
    <n v="0"/>
    <n v="0"/>
    <n v="0"/>
    <m/>
    <n v="62.5"/>
    <m/>
    <s v="Unique"/>
    <s v="Valid"/>
  </r>
  <r>
    <s v="USR-100191"/>
    <d v="2025-01-30T00:00:00"/>
    <x v="0"/>
    <x v="3"/>
    <x v="0"/>
    <x v="0"/>
    <x v="0"/>
    <n v="1"/>
    <n v="1"/>
    <n v="1"/>
    <n v="0"/>
    <n v="0"/>
    <n v="0"/>
    <n v="0"/>
    <m/>
    <n v="54.3"/>
    <m/>
    <s v="Unique"/>
    <s v="Valid"/>
  </r>
  <r>
    <s v="USR-100192"/>
    <d v="2025-02-09T00:00:00"/>
    <x v="0"/>
    <x v="3"/>
    <x v="0"/>
    <x v="1"/>
    <x v="0"/>
    <n v="1"/>
    <n v="0"/>
    <n v="0"/>
    <n v="0"/>
    <n v="0"/>
    <n v="0"/>
    <n v="0"/>
    <m/>
    <n v="37.5"/>
    <m/>
    <s v="Unique"/>
    <s v="Valid"/>
  </r>
  <r>
    <s v="USR-100193"/>
    <d v="2025-03-16T00:00:00"/>
    <x v="0"/>
    <x v="1"/>
    <x v="1"/>
    <x v="2"/>
    <x v="0"/>
    <n v="1"/>
    <n v="0"/>
    <n v="0"/>
    <n v="0"/>
    <n v="0"/>
    <n v="0"/>
    <n v="0"/>
    <m/>
    <n v="52.6"/>
    <m/>
    <s v="Unique"/>
    <s v="Valid"/>
  </r>
  <r>
    <s v="USR-100194"/>
    <d v="2025-05-19T00:00:00"/>
    <x v="0"/>
    <x v="0"/>
    <x v="1"/>
    <x v="2"/>
    <x v="1"/>
    <n v="1"/>
    <n v="0"/>
    <n v="0"/>
    <n v="0"/>
    <n v="0"/>
    <n v="0"/>
    <n v="0"/>
    <m/>
    <n v="46.1"/>
    <m/>
    <s v="Unique"/>
    <s v="Valid"/>
  </r>
  <r>
    <s v="USR-100195"/>
    <d v="2025-05-16T00:00:00"/>
    <x v="0"/>
    <x v="3"/>
    <x v="0"/>
    <x v="1"/>
    <x v="0"/>
    <n v="1"/>
    <n v="0"/>
    <n v="0"/>
    <n v="0"/>
    <n v="0"/>
    <n v="0"/>
    <n v="0"/>
    <m/>
    <n v="54.7"/>
    <m/>
    <s v="Unique"/>
    <s v="Valid"/>
  </r>
  <r>
    <s v="USR-100196"/>
    <d v="2025-04-25T00:00:00"/>
    <x v="0"/>
    <x v="1"/>
    <x v="0"/>
    <x v="3"/>
    <x v="0"/>
    <n v="0"/>
    <n v="0"/>
    <n v="0"/>
    <n v="0"/>
    <n v="0"/>
    <n v="0"/>
    <n v="0"/>
    <m/>
    <n v="74.2"/>
    <m/>
    <s v="Unique"/>
    <s v="Valid"/>
  </r>
  <r>
    <s v="USR-100197"/>
    <d v="2025-02-27T00:00:00"/>
    <x v="0"/>
    <x v="0"/>
    <x v="1"/>
    <x v="4"/>
    <x v="0"/>
    <n v="1"/>
    <n v="1"/>
    <n v="1"/>
    <n v="1"/>
    <n v="1052.8"/>
    <n v="2"/>
    <n v="0"/>
    <n v="6"/>
    <n v="64.7"/>
    <m/>
    <s v="Unique"/>
    <s v="Valid"/>
  </r>
  <r>
    <s v="USR-100198"/>
    <d v="2025-04-26T00:00:00"/>
    <x v="0"/>
    <x v="3"/>
    <x v="1"/>
    <x v="2"/>
    <x v="0"/>
    <n v="0"/>
    <n v="0"/>
    <n v="0"/>
    <n v="0"/>
    <n v="0"/>
    <n v="0"/>
    <n v="0"/>
    <m/>
    <n v="65.900000000000006"/>
    <m/>
    <s v="Unique"/>
    <s v="Valid"/>
  </r>
  <r>
    <s v="USR-100199"/>
    <d v="2025-05-14T00:00:00"/>
    <x v="0"/>
    <x v="0"/>
    <x v="1"/>
    <x v="1"/>
    <x v="0"/>
    <n v="1"/>
    <n v="0"/>
    <n v="0"/>
    <n v="0"/>
    <n v="0"/>
    <n v="0"/>
    <n v="0"/>
    <m/>
    <n v="64"/>
    <m/>
    <s v="Unique"/>
    <s v="Valid"/>
  </r>
  <r>
    <s v="USR-100200"/>
    <d v="2025-03-05T00:00:00"/>
    <x v="0"/>
    <x v="0"/>
    <x v="1"/>
    <x v="1"/>
    <x v="2"/>
    <n v="1"/>
    <n v="0"/>
    <n v="0"/>
    <n v="0"/>
    <n v="0"/>
    <n v="0"/>
    <n v="0"/>
    <m/>
    <n v="57.2"/>
    <m/>
    <s v="Unique"/>
    <s v="Valid"/>
  </r>
  <r>
    <s v="USR-100201"/>
    <d v="2025-04-02T00:00:00"/>
    <x v="0"/>
    <x v="1"/>
    <x v="0"/>
    <x v="1"/>
    <x v="1"/>
    <n v="1"/>
    <n v="0"/>
    <n v="0"/>
    <n v="0"/>
    <n v="0"/>
    <n v="0"/>
    <n v="0"/>
    <m/>
    <n v="80.5"/>
    <m/>
    <s v="Unique"/>
    <s v="Valid"/>
  </r>
  <r>
    <s v="USR-100202"/>
    <d v="2025-05-14T00:00:00"/>
    <x v="0"/>
    <x v="3"/>
    <x v="2"/>
    <x v="1"/>
    <x v="1"/>
    <n v="0"/>
    <n v="0"/>
    <n v="0"/>
    <n v="0"/>
    <n v="0"/>
    <n v="0"/>
    <n v="0"/>
    <m/>
    <n v="53.9"/>
    <m/>
    <s v="Unique"/>
    <s v="Valid"/>
  </r>
  <r>
    <s v="USR-100203"/>
    <d v="2025-05-21T00:00:00"/>
    <x v="0"/>
    <x v="0"/>
    <x v="1"/>
    <x v="2"/>
    <x v="1"/>
    <n v="1"/>
    <n v="1"/>
    <n v="0"/>
    <n v="0"/>
    <n v="0"/>
    <n v="0"/>
    <n v="0"/>
    <m/>
    <n v="77.5"/>
    <m/>
    <s v="Unique"/>
    <s v="Valid"/>
  </r>
  <r>
    <s v="USR-100204"/>
    <d v="2025-01-27T00:00:00"/>
    <x v="0"/>
    <x v="2"/>
    <x v="1"/>
    <x v="4"/>
    <x v="0"/>
    <n v="0"/>
    <n v="0"/>
    <n v="0"/>
    <n v="0"/>
    <n v="0"/>
    <n v="0"/>
    <n v="0"/>
    <m/>
    <n v="84.2"/>
    <m/>
    <s v="Unique"/>
    <s v="Valid"/>
  </r>
  <r>
    <s v="USR-100205"/>
    <d v="2025-05-22T00:00:00"/>
    <x v="0"/>
    <x v="1"/>
    <x v="0"/>
    <x v="1"/>
    <x v="1"/>
    <n v="1"/>
    <n v="1"/>
    <n v="0"/>
    <n v="0"/>
    <n v="0"/>
    <n v="0"/>
    <n v="0"/>
    <m/>
    <n v="54.9"/>
    <m/>
    <s v="Unique"/>
    <s v="Valid"/>
  </r>
  <r>
    <s v="USR-100206"/>
    <d v="2025-05-19T00:00:00"/>
    <x v="0"/>
    <x v="3"/>
    <x v="1"/>
    <x v="2"/>
    <x v="1"/>
    <n v="0"/>
    <n v="0"/>
    <n v="0"/>
    <n v="0"/>
    <n v="0"/>
    <n v="0"/>
    <n v="0"/>
    <m/>
    <n v="69.3"/>
    <m/>
    <s v="Unique"/>
    <s v="Valid"/>
  </r>
  <r>
    <s v="USR-100207"/>
    <d v="2025-01-14T00:00:00"/>
    <x v="0"/>
    <x v="3"/>
    <x v="0"/>
    <x v="2"/>
    <x v="1"/>
    <n v="1"/>
    <n v="0"/>
    <n v="0"/>
    <n v="0"/>
    <n v="0"/>
    <n v="2"/>
    <n v="0"/>
    <m/>
    <n v="42.3"/>
    <m/>
    <s v="Unique"/>
    <s v="Valid"/>
  </r>
  <r>
    <s v="USR-100208"/>
    <d v="2025-01-21T00:00:00"/>
    <x v="0"/>
    <x v="0"/>
    <x v="0"/>
    <x v="3"/>
    <x v="2"/>
    <n v="1"/>
    <n v="0"/>
    <n v="0"/>
    <n v="0"/>
    <n v="0"/>
    <n v="1"/>
    <n v="0"/>
    <m/>
    <n v="69.599999999999994"/>
    <m/>
    <s v="Unique"/>
    <s v="Valid"/>
  </r>
  <r>
    <s v="USR-100209"/>
    <d v="2025-05-16T00:00:00"/>
    <x v="0"/>
    <x v="2"/>
    <x v="1"/>
    <x v="1"/>
    <x v="1"/>
    <n v="0"/>
    <n v="0"/>
    <n v="0"/>
    <n v="0"/>
    <n v="0"/>
    <n v="0"/>
    <n v="0"/>
    <m/>
    <n v="40.700000000000003"/>
    <m/>
    <s v="Unique"/>
    <s v="Valid"/>
  </r>
  <r>
    <s v="USR-100210"/>
    <d v="2025-02-02T00:00:00"/>
    <x v="0"/>
    <x v="0"/>
    <x v="1"/>
    <x v="0"/>
    <x v="1"/>
    <n v="1"/>
    <n v="0"/>
    <n v="0"/>
    <n v="0"/>
    <n v="0"/>
    <n v="0"/>
    <n v="0"/>
    <m/>
    <n v="54"/>
    <m/>
    <s v="Unique"/>
    <s v="Valid"/>
  </r>
  <r>
    <s v="USR-100211"/>
    <d v="2025-03-23T00:00:00"/>
    <x v="0"/>
    <x v="2"/>
    <x v="3"/>
    <x v="3"/>
    <x v="1"/>
    <n v="1"/>
    <n v="1"/>
    <n v="1"/>
    <n v="1"/>
    <n v="553.37"/>
    <n v="0"/>
    <n v="0"/>
    <n v="5"/>
    <n v="46.3"/>
    <m/>
    <s v="Unique"/>
    <s v="Valid"/>
  </r>
  <r>
    <s v="USR-100212"/>
    <d v="2025-01-24T00:00:00"/>
    <x v="0"/>
    <x v="2"/>
    <x v="1"/>
    <x v="1"/>
    <x v="1"/>
    <n v="1"/>
    <n v="0"/>
    <n v="0"/>
    <n v="0"/>
    <n v="0"/>
    <n v="0"/>
    <n v="0"/>
    <m/>
    <n v="64.2"/>
    <m/>
    <s v="Unique"/>
    <s v="Valid"/>
  </r>
  <r>
    <s v="USR-100213"/>
    <d v="2025-04-12T00:00:00"/>
    <x v="0"/>
    <x v="0"/>
    <x v="0"/>
    <x v="1"/>
    <x v="1"/>
    <n v="1"/>
    <n v="0"/>
    <n v="0"/>
    <n v="0"/>
    <n v="0"/>
    <n v="0"/>
    <n v="0"/>
    <m/>
    <n v="75.2"/>
    <m/>
    <s v="Unique"/>
    <s v="Valid"/>
  </r>
  <r>
    <s v="USR-100214"/>
    <d v="2025-02-18T00:00:00"/>
    <x v="0"/>
    <x v="2"/>
    <x v="0"/>
    <x v="2"/>
    <x v="1"/>
    <n v="1"/>
    <n v="1"/>
    <n v="0"/>
    <n v="0"/>
    <n v="0"/>
    <n v="0"/>
    <n v="0"/>
    <m/>
    <n v="60.9"/>
    <m/>
    <s v="Unique"/>
    <s v="Valid"/>
  </r>
  <r>
    <s v="USR-100215"/>
    <d v="2025-05-28T00:00:00"/>
    <x v="0"/>
    <x v="3"/>
    <x v="1"/>
    <x v="0"/>
    <x v="0"/>
    <n v="1"/>
    <n v="1"/>
    <n v="1"/>
    <n v="0"/>
    <n v="0"/>
    <n v="0"/>
    <n v="0"/>
    <m/>
    <n v="62.1"/>
    <m/>
    <s v="Unique"/>
    <s v="Valid"/>
  </r>
  <r>
    <s v="USR-100216"/>
    <d v="2025-04-18T00:00:00"/>
    <x v="0"/>
    <x v="3"/>
    <x v="1"/>
    <x v="4"/>
    <x v="0"/>
    <n v="0"/>
    <n v="0"/>
    <n v="0"/>
    <n v="0"/>
    <n v="0"/>
    <n v="0"/>
    <n v="0"/>
    <m/>
    <n v="45.4"/>
    <m/>
    <s v="Unique"/>
    <s v="Valid"/>
  </r>
  <r>
    <s v="USR-100217"/>
    <d v="2025-03-27T00:00:00"/>
    <x v="0"/>
    <x v="0"/>
    <x v="1"/>
    <x v="2"/>
    <x v="0"/>
    <n v="1"/>
    <n v="0"/>
    <n v="0"/>
    <n v="0"/>
    <n v="0"/>
    <n v="0"/>
    <n v="0"/>
    <m/>
    <n v="53.3"/>
    <m/>
    <s v="Unique"/>
    <s v="Valid"/>
  </r>
  <r>
    <s v="USR-100218"/>
    <d v="2025-02-25T00:00:00"/>
    <x v="0"/>
    <x v="0"/>
    <x v="2"/>
    <x v="4"/>
    <x v="1"/>
    <n v="1"/>
    <n v="0"/>
    <n v="0"/>
    <n v="0"/>
    <n v="0"/>
    <n v="0"/>
    <n v="0"/>
    <m/>
    <n v="60.02"/>
    <m/>
    <s v="Unique"/>
    <s v="Valid"/>
  </r>
  <r>
    <s v="USR-100219"/>
    <d v="2025-02-19T00:00:00"/>
    <x v="0"/>
    <x v="2"/>
    <x v="1"/>
    <x v="2"/>
    <x v="1"/>
    <n v="0"/>
    <n v="0"/>
    <n v="0"/>
    <n v="0"/>
    <n v="0"/>
    <n v="1"/>
    <n v="0"/>
    <m/>
    <n v="38.200000000000003"/>
    <m/>
    <s v="Unique"/>
    <s v="Valid"/>
  </r>
  <r>
    <s v="USR-100220"/>
    <d v="2025-04-11T00:00:00"/>
    <x v="0"/>
    <x v="1"/>
    <x v="1"/>
    <x v="2"/>
    <x v="1"/>
    <n v="1"/>
    <n v="1"/>
    <n v="0"/>
    <n v="0"/>
    <n v="0"/>
    <n v="3"/>
    <n v="0"/>
    <m/>
    <n v="59"/>
    <m/>
    <s v="Unique"/>
    <s v="Valid"/>
  </r>
  <r>
    <s v="USR-100221"/>
    <d v="2025-01-22T00:00:00"/>
    <x v="0"/>
    <x v="2"/>
    <x v="2"/>
    <x v="3"/>
    <x v="2"/>
    <n v="1"/>
    <n v="1"/>
    <n v="1"/>
    <n v="0"/>
    <n v="0"/>
    <n v="0"/>
    <n v="0"/>
    <m/>
    <n v="80.599999999999994"/>
    <m/>
    <s v="Unique"/>
    <s v="Valid"/>
  </r>
  <r>
    <s v="USR-100222"/>
    <d v="2025-01-12T00:00:00"/>
    <x v="0"/>
    <x v="3"/>
    <x v="1"/>
    <x v="4"/>
    <x v="1"/>
    <n v="1"/>
    <n v="0"/>
    <n v="0"/>
    <n v="0"/>
    <n v="0"/>
    <n v="0"/>
    <n v="0"/>
    <m/>
    <n v="67"/>
    <m/>
    <s v="Unique"/>
    <s v="Valid"/>
  </r>
  <r>
    <s v="USR-100223"/>
    <d v="2025-02-17T00:00:00"/>
    <x v="0"/>
    <x v="1"/>
    <x v="1"/>
    <x v="0"/>
    <x v="1"/>
    <n v="1"/>
    <n v="0"/>
    <n v="0"/>
    <n v="0"/>
    <n v="0"/>
    <n v="1"/>
    <n v="0"/>
    <m/>
    <n v="72.099999999999994"/>
    <m/>
    <s v="Unique"/>
    <s v="Valid"/>
  </r>
  <r>
    <s v="USR-100224"/>
    <d v="2025-04-11T00:00:00"/>
    <x v="0"/>
    <x v="1"/>
    <x v="0"/>
    <x v="1"/>
    <x v="1"/>
    <n v="0"/>
    <n v="0"/>
    <n v="0"/>
    <n v="0"/>
    <n v="0"/>
    <n v="0"/>
    <n v="0"/>
    <m/>
    <n v="74.099999999999994"/>
    <m/>
    <s v="Unique"/>
    <s v="Valid"/>
  </r>
  <r>
    <s v="USR-100225"/>
    <d v="2025-05-25T00:00:00"/>
    <x v="0"/>
    <x v="3"/>
    <x v="1"/>
    <x v="3"/>
    <x v="2"/>
    <n v="0"/>
    <n v="0"/>
    <n v="0"/>
    <n v="0"/>
    <n v="0"/>
    <n v="0"/>
    <n v="0"/>
    <m/>
    <n v="84.8"/>
    <m/>
    <s v="Unique"/>
    <s v="Valid"/>
  </r>
  <r>
    <s v="USR-100226"/>
    <d v="2025-03-12T00:00:00"/>
    <x v="0"/>
    <x v="3"/>
    <x v="1"/>
    <x v="1"/>
    <x v="0"/>
    <n v="1"/>
    <n v="0"/>
    <n v="0"/>
    <n v="0"/>
    <n v="0"/>
    <n v="0"/>
    <n v="0"/>
    <m/>
    <n v="33"/>
    <m/>
    <s v="Unique"/>
    <s v="Valid"/>
  </r>
  <r>
    <s v="USR-100227"/>
    <d v="2025-04-20T00:00:00"/>
    <x v="0"/>
    <x v="0"/>
    <x v="2"/>
    <x v="0"/>
    <x v="1"/>
    <n v="0"/>
    <n v="0"/>
    <n v="0"/>
    <n v="0"/>
    <n v="0"/>
    <n v="0"/>
    <n v="0"/>
    <m/>
    <n v="52.5"/>
    <m/>
    <s v="Unique"/>
    <s v="Valid"/>
  </r>
  <r>
    <s v="USR-100228"/>
    <d v="2025-02-23T00:00:00"/>
    <x v="0"/>
    <x v="0"/>
    <x v="2"/>
    <x v="1"/>
    <x v="1"/>
    <n v="0"/>
    <n v="0"/>
    <n v="0"/>
    <n v="0"/>
    <n v="0"/>
    <n v="0"/>
    <n v="0"/>
    <m/>
    <n v="66.900000000000006"/>
    <m/>
    <s v="Unique"/>
    <s v="Valid"/>
  </r>
  <r>
    <s v="USR-100229"/>
    <d v="2025-01-24T00:00:00"/>
    <x v="0"/>
    <x v="0"/>
    <x v="1"/>
    <x v="1"/>
    <x v="0"/>
    <n v="1"/>
    <n v="1"/>
    <n v="1"/>
    <n v="0"/>
    <n v="0"/>
    <n v="1"/>
    <n v="0"/>
    <m/>
    <n v="32.700000000000003"/>
    <m/>
    <s v="Unique"/>
    <s v="Valid"/>
  </r>
  <r>
    <s v="USR-100230"/>
    <d v="2025-01-16T00:00:00"/>
    <x v="0"/>
    <x v="1"/>
    <x v="1"/>
    <x v="1"/>
    <x v="2"/>
    <n v="1"/>
    <n v="1"/>
    <n v="1"/>
    <n v="0"/>
    <n v="0"/>
    <n v="1"/>
    <n v="0"/>
    <m/>
    <n v="70.599999999999994"/>
    <m/>
    <s v="Unique"/>
    <s v="Valid"/>
  </r>
  <r>
    <s v="USR-100231"/>
    <d v="2025-02-17T00:00:00"/>
    <x v="0"/>
    <x v="0"/>
    <x v="1"/>
    <x v="4"/>
    <x v="1"/>
    <n v="0"/>
    <n v="0"/>
    <n v="0"/>
    <n v="0"/>
    <n v="0"/>
    <n v="0"/>
    <n v="0"/>
    <m/>
    <n v="69.400000000000006"/>
    <m/>
    <s v="Unique"/>
    <s v="Valid"/>
  </r>
  <r>
    <s v="USR-100232"/>
    <d v="2025-05-04T00:00:00"/>
    <x v="0"/>
    <x v="0"/>
    <x v="0"/>
    <x v="1"/>
    <x v="0"/>
    <n v="1"/>
    <n v="0"/>
    <n v="0"/>
    <n v="0"/>
    <n v="0"/>
    <n v="0"/>
    <n v="0"/>
    <m/>
    <n v="56.1"/>
    <m/>
    <s v="Unique"/>
    <s v="Valid"/>
  </r>
  <r>
    <s v="USR-100233"/>
    <d v="2025-01-12T00:00:00"/>
    <x v="0"/>
    <x v="1"/>
    <x v="1"/>
    <x v="1"/>
    <x v="0"/>
    <n v="0"/>
    <n v="0"/>
    <n v="0"/>
    <n v="0"/>
    <n v="0"/>
    <n v="0"/>
    <n v="0"/>
    <m/>
    <n v="55.8"/>
    <m/>
    <s v="Unique"/>
    <s v="Valid"/>
  </r>
  <r>
    <s v="USR-100234"/>
    <d v="2025-04-28T00:00:00"/>
    <x v="0"/>
    <x v="0"/>
    <x v="2"/>
    <x v="1"/>
    <x v="1"/>
    <n v="0"/>
    <n v="0"/>
    <n v="0"/>
    <n v="0"/>
    <n v="0"/>
    <n v="0"/>
    <n v="0"/>
    <m/>
    <n v="49.3"/>
    <m/>
    <s v="Unique"/>
    <s v="Valid"/>
  </r>
  <r>
    <s v="USR-100235"/>
    <d v="2025-02-26T00:00:00"/>
    <x v="0"/>
    <x v="0"/>
    <x v="1"/>
    <x v="1"/>
    <x v="1"/>
    <n v="0"/>
    <n v="0"/>
    <n v="0"/>
    <n v="0"/>
    <n v="0"/>
    <n v="0"/>
    <n v="0"/>
    <m/>
    <n v="71.8"/>
    <m/>
    <s v="Unique"/>
    <s v="Valid"/>
  </r>
  <r>
    <s v="USR-100236"/>
    <d v="2025-03-18T00:00:00"/>
    <x v="0"/>
    <x v="1"/>
    <x v="1"/>
    <x v="4"/>
    <x v="1"/>
    <n v="1"/>
    <n v="0"/>
    <n v="0"/>
    <n v="0"/>
    <n v="0"/>
    <n v="3"/>
    <n v="0"/>
    <m/>
    <n v="39.700000000000003"/>
    <m/>
    <s v="Unique"/>
    <s v="Valid"/>
  </r>
  <r>
    <s v="USR-100237"/>
    <d v="2025-03-01T00:00:00"/>
    <x v="0"/>
    <x v="3"/>
    <x v="0"/>
    <x v="1"/>
    <x v="2"/>
    <n v="1"/>
    <n v="0"/>
    <n v="0"/>
    <n v="0"/>
    <n v="0"/>
    <n v="0"/>
    <n v="0"/>
    <m/>
    <n v="45.4"/>
    <m/>
    <s v="Unique"/>
    <s v="Valid"/>
  </r>
  <r>
    <s v="USR-100238"/>
    <d v="2025-04-05T00:00:00"/>
    <x v="0"/>
    <x v="0"/>
    <x v="0"/>
    <x v="4"/>
    <x v="2"/>
    <n v="1"/>
    <n v="0"/>
    <n v="0"/>
    <n v="0"/>
    <n v="0"/>
    <n v="0"/>
    <n v="0"/>
    <m/>
    <n v="69.900000000000006"/>
    <m/>
    <s v="Unique"/>
    <s v="Valid"/>
  </r>
  <r>
    <s v="USR-100239"/>
    <d v="2025-03-12T00:00:00"/>
    <x v="0"/>
    <x v="0"/>
    <x v="0"/>
    <x v="4"/>
    <x v="1"/>
    <n v="1"/>
    <n v="1"/>
    <n v="1"/>
    <n v="0"/>
    <n v="0"/>
    <n v="0"/>
    <n v="0"/>
    <m/>
    <n v="56.1"/>
    <m/>
    <s v="Unique"/>
    <s v="Valid"/>
  </r>
  <r>
    <s v="USR-100240"/>
    <d v="2025-03-15T00:00:00"/>
    <x v="0"/>
    <x v="1"/>
    <x v="1"/>
    <x v="3"/>
    <x v="0"/>
    <n v="1"/>
    <n v="1"/>
    <n v="0"/>
    <n v="0"/>
    <n v="0"/>
    <n v="0"/>
    <n v="0"/>
    <m/>
    <n v="45.9"/>
    <m/>
    <s v="Unique"/>
    <s v="Valid"/>
  </r>
  <r>
    <s v="USR-100241"/>
    <d v="2025-02-23T00:00:00"/>
    <x v="0"/>
    <x v="1"/>
    <x v="1"/>
    <x v="0"/>
    <x v="1"/>
    <n v="0"/>
    <n v="0"/>
    <n v="0"/>
    <n v="0"/>
    <n v="0"/>
    <n v="0"/>
    <n v="0"/>
    <m/>
    <n v="65.8"/>
    <m/>
    <s v="Unique"/>
    <s v="Valid"/>
  </r>
  <r>
    <s v="USR-100242"/>
    <d v="2025-04-22T00:00:00"/>
    <x v="0"/>
    <x v="0"/>
    <x v="1"/>
    <x v="1"/>
    <x v="0"/>
    <n v="1"/>
    <n v="0"/>
    <n v="0"/>
    <n v="0"/>
    <n v="0"/>
    <n v="0"/>
    <n v="0"/>
    <m/>
    <n v="48.2"/>
    <m/>
    <s v="Unique"/>
    <s v="Valid"/>
  </r>
  <r>
    <s v="USR-100243"/>
    <d v="2025-01-09T00:00:00"/>
    <x v="0"/>
    <x v="2"/>
    <x v="1"/>
    <x v="1"/>
    <x v="0"/>
    <n v="1"/>
    <n v="1"/>
    <n v="1"/>
    <n v="0"/>
    <n v="0"/>
    <n v="0"/>
    <n v="0"/>
    <m/>
    <n v="81.099999999999994"/>
    <m/>
    <s v="Unique"/>
    <s v="Valid"/>
  </r>
  <r>
    <s v="USR-100244"/>
    <d v="2025-03-05T00:00:00"/>
    <x v="0"/>
    <x v="2"/>
    <x v="2"/>
    <x v="4"/>
    <x v="2"/>
    <n v="1"/>
    <n v="1"/>
    <n v="0"/>
    <n v="0"/>
    <n v="0"/>
    <n v="0"/>
    <n v="0"/>
    <m/>
    <n v="53.2"/>
    <m/>
    <s v="Unique"/>
    <s v="Valid"/>
  </r>
  <r>
    <s v="USR-100245"/>
    <d v="2025-01-28T00:00:00"/>
    <x v="0"/>
    <x v="0"/>
    <x v="1"/>
    <x v="4"/>
    <x v="1"/>
    <n v="1"/>
    <n v="1"/>
    <n v="1"/>
    <n v="0"/>
    <n v="0"/>
    <n v="0"/>
    <n v="0"/>
    <m/>
    <n v="57.7"/>
    <m/>
    <s v="Unique"/>
    <s v="Valid"/>
  </r>
  <r>
    <s v="USR-100246"/>
    <d v="2025-01-21T00:00:00"/>
    <x v="0"/>
    <x v="1"/>
    <x v="1"/>
    <x v="2"/>
    <x v="2"/>
    <n v="1"/>
    <n v="1"/>
    <n v="0"/>
    <n v="0"/>
    <n v="0"/>
    <n v="0"/>
    <n v="0"/>
    <m/>
    <n v="78.900000000000006"/>
    <m/>
    <s v="Unique"/>
    <s v="Valid"/>
  </r>
  <r>
    <s v="USR-100247"/>
    <d v="2025-03-14T00:00:00"/>
    <x v="0"/>
    <x v="3"/>
    <x v="1"/>
    <x v="3"/>
    <x v="0"/>
    <n v="0"/>
    <n v="0"/>
    <n v="0"/>
    <n v="0"/>
    <n v="0"/>
    <n v="0"/>
    <n v="0"/>
    <m/>
    <n v="55.7"/>
    <m/>
    <s v="Unique"/>
    <s v="Valid"/>
  </r>
  <r>
    <s v="USR-100248"/>
    <d v="2025-02-03T00:00:00"/>
    <x v="0"/>
    <x v="1"/>
    <x v="1"/>
    <x v="2"/>
    <x v="1"/>
    <n v="0"/>
    <n v="0"/>
    <n v="0"/>
    <n v="0"/>
    <n v="0"/>
    <n v="0"/>
    <n v="0"/>
    <m/>
    <n v="52.3"/>
    <m/>
    <s v="Unique"/>
    <s v="Valid"/>
  </r>
  <r>
    <s v="USR-100249"/>
    <d v="2025-05-22T00:00:00"/>
    <x v="0"/>
    <x v="0"/>
    <x v="1"/>
    <x v="4"/>
    <x v="1"/>
    <n v="1"/>
    <n v="0"/>
    <n v="0"/>
    <n v="0"/>
    <n v="0"/>
    <n v="0"/>
    <n v="0"/>
    <m/>
    <n v="51.5"/>
    <m/>
    <s v="Unique"/>
    <s v="Valid"/>
  </r>
  <r>
    <s v="USR-100250"/>
    <d v="2025-04-25T00:00:00"/>
    <x v="0"/>
    <x v="0"/>
    <x v="0"/>
    <x v="0"/>
    <x v="1"/>
    <n v="1"/>
    <n v="0"/>
    <n v="0"/>
    <n v="0"/>
    <n v="0"/>
    <n v="0"/>
    <n v="0"/>
    <m/>
    <n v="70.8"/>
    <m/>
    <s v="Unique"/>
    <s v="Valid"/>
  </r>
  <r>
    <s v="USR-100251"/>
    <d v="2025-01-30T00:00:00"/>
    <x v="0"/>
    <x v="0"/>
    <x v="0"/>
    <x v="0"/>
    <x v="0"/>
    <n v="1"/>
    <n v="1"/>
    <n v="1"/>
    <n v="1"/>
    <n v="1250.78"/>
    <n v="0"/>
    <n v="0"/>
    <n v="10"/>
    <n v="39"/>
    <m/>
    <s v="Unique"/>
    <s v="Valid"/>
  </r>
  <r>
    <s v="USR-100252"/>
    <d v="2025-05-23T00:00:00"/>
    <x v="0"/>
    <x v="1"/>
    <x v="1"/>
    <x v="1"/>
    <x v="1"/>
    <n v="1"/>
    <n v="0"/>
    <n v="0"/>
    <n v="0"/>
    <n v="0"/>
    <n v="0"/>
    <n v="0"/>
    <m/>
    <n v="61.6"/>
    <m/>
    <s v="Unique"/>
    <s v="Valid"/>
  </r>
  <r>
    <s v="USR-100253"/>
    <d v="2025-02-14T00:00:00"/>
    <x v="0"/>
    <x v="2"/>
    <x v="0"/>
    <x v="1"/>
    <x v="1"/>
    <n v="1"/>
    <n v="1"/>
    <n v="1"/>
    <n v="0"/>
    <n v="0"/>
    <n v="0"/>
    <n v="0"/>
    <m/>
    <n v="46.8"/>
    <m/>
    <s v="Unique"/>
    <s v="Valid"/>
  </r>
  <r>
    <s v="USR-100254"/>
    <d v="2025-03-05T00:00:00"/>
    <x v="0"/>
    <x v="0"/>
    <x v="1"/>
    <x v="2"/>
    <x v="2"/>
    <n v="0"/>
    <n v="0"/>
    <n v="0"/>
    <n v="0"/>
    <n v="0"/>
    <n v="1"/>
    <n v="0"/>
    <m/>
    <n v="58.5"/>
    <m/>
    <s v="Unique"/>
    <s v="Valid"/>
  </r>
  <r>
    <s v="USR-100255"/>
    <d v="2025-05-27T00:00:00"/>
    <x v="0"/>
    <x v="0"/>
    <x v="1"/>
    <x v="2"/>
    <x v="0"/>
    <n v="0"/>
    <n v="0"/>
    <n v="0"/>
    <n v="0"/>
    <n v="0"/>
    <n v="0"/>
    <n v="0"/>
    <m/>
    <n v="70.900000000000006"/>
    <m/>
    <s v="Unique"/>
    <s v="Valid"/>
  </r>
  <r>
    <s v="USR-100256"/>
    <d v="2025-01-07T00:00:00"/>
    <x v="0"/>
    <x v="3"/>
    <x v="1"/>
    <x v="2"/>
    <x v="1"/>
    <n v="1"/>
    <n v="0"/>
    <n v="0"/>
    <n v="0"/>
    <n v="0"/>
    <n v="0"/>
    <n v="0"/>
    <m/>
    <n v="48.4"/>
    <m/>
    <s v="Unique"/>
    <s v="Valid"/>
  </r>
  <r>
    <s v="USR-100257"/>
    <d v="2025-04-21T00:00:00"/>
    <x v="0"/>
    <x v="0"/>
    <x v="1"/>
    <x v="0"/>
    <x v="1"/>
    <n v="1"/>
    <n v="0"/>
    <n v="0"/>
    <n v="0"/>
    <n v="0"/>
    <n v="0"/>
    <n v="0"/>
    <m/>
    <n v="58"/>
    <m/>
    <s v="Unique"/>
    <s v="Valid"/>
  </r>
  <r>
    <s v="USR-100258"/>
    <d v="2025-05-13T00:00:00"/>
    <x v="0"/>
    <x v="0"/>
    <x v="1"/>
    <x v="2"/>
    <x v="1"/>
    <n v="0"/>
    <n v="0"/>
    <n v="0"/>
    <n v="0"/>
    <n v="0"/>
    <n v="0"/>
    <n v="0"/>
    <m/>
    <n v="61.6"/>
    <m/>
    <s v="Unique"/>
    <s v="Valid"/>
  </r>
  <r>
    <s v="USR-100259"/>
    <d v="2025-01-28T00:00:00"/>
    <x v="0"/>
    <x v="2"/>
    <x v="0"/>
    <x v="1"/>
    <x v="1"/>
    <n v="1"/>
    <n v="0"/>
    <n v="0"/>
    <n v="0"/>
    <n v="0"/>
    <n v="0"/>
    <n v="0"/>
    <m/>
    <n v="43.2"/>
    <m/>
    <s v="Unique"/>
    <s v="Valid"/>
  </r>
  <r>
    <s v="USR-100260"/>
    <d v="2025-03-16T00:00:00"/>
    <x v="0"/>
    <x v="2"/>
    <x v="0"/>
    <x v="2"/>
    <x v="0"/>
    <n v="1"/>
    <n v="0"/>
    <n v="0"/>
    <n v="0"/>
    <n v="0"/>
    <n v="1"/>
    <n v="0"/>
    <m/>
    <n v="53.3"/>
    <m/>
    <s v="Unique"/>
    <s v="Valid"/>
  </r>
  <r>
    <s v="USR-100261"/>
    <d v="2025-04-10T00:00:00"/>
    <x v="0"/>
    <x v="2"/>
    <x v="0"/>
    <x v="4"/>
    <x v="0"/>
    <n v="0"/>
    <n v="0"/>
    <n v="0"/>
    <n v="0"/>
    <n v="0"/>
    <n v="0"/>
    <n v="0"/>
    <m/>
    <n v="33.9"/>
    <m/>
    <s v="Unique"/>
    <s v="Valid"/>
  </r>
  <r>
    <s v="USR-100262"/>
    <d v="2025-03-15T00:00:00"/>
    <x v="0"/>
    <x v="2"/>
    <x v="0"/>
    <x v="3"/>
    <x v="1"/>
    <n v="1"/>
    <n v="1"/>
    <n v="1"/>
    <n v="0"/>
    <n v="0"/>
    <n v="0"/>
    <n v="0"/>
    <m/>
    <n v="35.4"/>
    <m/>
    <s v="Unique"/>
    <s v="Valid"/>
  </r>
  <r>
    <s v="USR-100263"/>
    <d v="2025-04-07T00:00:00"/>
    <x v="0"/>
    <x v="1"/>
    <x v="0"/>
    <x v="1"/>
    <x v="0"/>
    <n v="1"/>
    <n v="0"/>
    <n v="0"/>
    <n v="0"/>
    <n v="0"/>
    <n v="0"/>
    <n v="0"/>
    <m/>
    <n v="45"/>
    <m/>
    <s v="Unique"/>
    <s v="Valid"/>
  </r>
  <r>
    <s v="USR-100264"/>
    <d v="2025-02-12T00:00:00"/>
    <x v="0"/>
    <x v="3"/>
    <x v="1"/>
    <x v="1"/>
    <x v="1"/>
    <n v="1"/>
    <n v="1"/>
    <n v="0"/>
    <n v="0"/>
    <n v="0"/>
    <n v="0"/>
    <n v="0"/>
    <m/>
    <n v="86.5"/>
    <m/>
    <s v="Unique"/>
    <s v="Valid"/>
  </r>
  <r>
    <s v="USR-100265"/>
    <d v="2025-05-05T00:00:00"/>
    <x v="0"/>
    <x v="1"/>
    <x v="1"/>
    <x v="4"/>
    <x v="1"/>
    <n v="0"/>
    <n v="0"/>
    <n v="0"/>
    <n v="0"/>
    <n v="0"/>
    <n v="0"/>
    <n v="0"/>
    <m/>
    <n v="58.1"/>
    <m/>
    <s v="Unique"/>
    <s v="Valid"/>
  </r>
  <r>
    <s v="USR-100266"/>
    <d v="2025-03-11T00:00:00"/>
    <x v="0"/>
    <x v="1"/>
    <x v="1"/>
    <x v="3"/>
    <x v="1"/>
    <n v="1"/>
    <n v="0"/>
    <n v="0"/>
    <n v="0"/>
    <n v="0"/>
    <n v="0"/>
    <n v="0"/>
    <m/>
    <n v="36.1"/>
    <m/>
    <s v="Unique"/>
    <s v="Valid"/>
  </r>
  <r>
    <s v="USR-100267"/>
    <d v="2025-02-10T00:00:00"/>
    <x v="0"/>
    <x v="2"/>
    <x v="1"/>
    <x v="4"/>
    <x v="1"/>
    <n v="0"/>
    <n v="0"/>
    <n v="0"/>
    <n v="0"/>
    <n v="0"/>
    <n v="0"/>
    <n v="0"/>
    <m/>
    <n v="62.8"/>
    <m/>
    <s v="Unique"/>
    <s v="Valid"/>
  </r>
  <r>
    <s v="USR-100268"/>
    <d v="2025-04-06T00:00:00"/>
    <x v="0"/>
    <x v="3"/>
    <x v="1"/>
    <x v="1"/>
    <x v="1"/>
    <n v="0"/>
    <n v="0"/>
    <n v="0"/>
    <n v="0"/>
    <n v="0"/>
    <n v="0"/>
    <n v="0"/>
    <m/>
    <n v="54.2"/>
    <m/>
    <s v="Unique"/>
    <s v="Valid"/>
  </r>
  <r>
    <s v="USR-100269"/>
    <d v="2025-01-06T00:00:00"/>
    <x v="0"/>
    <x v="2"/>
    <x v="1"/>
    <x v="3"/>
    <x v="1"/>
    <n v="0"/>
    <n v="0"/>
    <n v="0"/>
    <n v="0"/>
    <n v="0"/>
    <n v="0"/>
    <n v="0"/>
    <m/>
    <n v="50"/>
    <m/>
    <s v="Unique"/>
    <s v="Valid"/>
  </r>
  <r>
    <s v="USR-100270"/>
    <d v="2025-03-25T00:00:00"/>
    <x v="0"/>
    <x v="2"/>
    <x v="2"/>
    <x v="2"/>
    <x v="0"/>
    <n v="1"/>
    <n v="0"/>
    <n v="0"/>
    <n v="0"/>
    <n v="0"/>
    <n v="0"/>
    <n v="0"/>
    <m/>
    <n v="62"/>
    <m/>
    <s v="Unique"/>
    <s v="Valid"/>
  </r>
  <r>
    <s v="USR-100271"/>
    <d v="2025-02-13T00:00:00"/>
    <x v="0"/>
    <x v="2"/>
    <x v="0"/>
    <x v="3"/>
    <x v="1"/>
    <n v="1"/>
    <n v="0"/>
    <n v="0"/>
    <n v="0"/>
    <n v="0"/>
    <n v="0"/>
    <n v="0"/>
    <m/>
    <n v="29.3"/>
    <m/>
    <s v="Unique"/>
    <s v="Valid"/>
  </r>
  <r>
    <s v="USR-100272"/>
    <d v="2025-03-17T00:00:00"/>
    <x v="0"/>
    <x v="1"/>
    <x v="0"/>
    <x v="1"/>
    <x v="1"/>
    <n v="1"/>
    <n v="0"/>
    <n v="0"/>
    <n v="0"/>
    <n v="0"/>
    <n v="0"/>
    <n v="0"/>
    <m/>
    <n v="67.900000000000006"/>
    <m/>
    <s v="Unique"/>
    <s v="Valid"/>
  </r>
  <r>
    <s v="USR-100273"/>
    <d v="2025-05-10T00:00:00"/>
    <x v="0"/>
    <x v="0"/>
    <x v="1"/>
    <x v="3"/>
    <x v="1"/>
    <n v="1"/>
    <n v="1"/>
    <n v="1"/>
    <n v="0"/>
    <n v="0"/>
    <n v="0"/>
    <n v="0"/>
    <m/>
    <n v="67.599999999999994"/>
    <m/>
    <s v="Unique"/>
    <s v="Valid"/>
  </r>
  <r>
    <s v="USR-100274"/>
    <d v="2025-05-07T00:00:00"/>
    <x v="0"/>
    <x v="3"/>
    <x v="1"/>
    <x v="2"/>
    <x v="0"/>
    <n v="0"/>
    <n v="0"/>
    <n v="0"/>
    <n v="0"/>
    <n v="0"/>
    <n v="0"/>
    <n v="0"/>
    <m/>
    <n v="67.400000000000006"/>
    <m/>
    <s v="Unique"/>
    <s v="Valid"/>
  </r>
  <r>
    <s v="USR-100275"/>
    <d v="2025-02-26T00:00:00"/>
    <x v="0"/>
    <x v="1"/>
    <x v="0"/>
    <x v="2"/>
    <x v="2"/>
    <n v="0"/>
    <n v="0"/>
    <n v="0"/>
    <n v="0"/>
    <n v="0"/>
    <n v="2"/>
    <n v="0"/>
    <m/>
    <n v="53"/>
    <m/>
    <s v="Unique"/>
    <s v="Valid"/>
  </r>
  <r>
    <s v="USR-100276"/>
    <d v="2025-05-11T00:00:00"/>
    <x v="0"/>
    <x v="0"/>
    <x v="1"/>
    <x v="1"/>
    <x v="0"/>
    <n v="0"/>
    <n v="0"/>
    <n v="0"/>
    <n v="0"/>
    <n v="0"/>
    <n v="0"/>
    <n v="0"/>
    <m/>
    <n v="65.5"/>
    <m/>
    <s v="Unique"/>
    <s v="Valid"/>
  </r>
  <r>
    <s v="USR-100277"/>
    <d v="2025-03-20T00:00:00"/>
    <x v="0"/>
    <x v="3"/>
    <x v="1"/>
    <x v="1"/>
    <x v="0"/>
    <n v="1"/>
    <n v="1"/>
    <n v="0"/>
    <n v="0"/>
    <n v="0"/>
    <n v="0"/>
    <n v="0"/>
    <m/>
    <n v="49.6"/>
    <m/>
    <s v="Unique"/>
    <s v="Valid"/>
  </r>
  <r>
    <s v="USR-100278"/>
    <d v="2025-01-19T00:00:00"/>
    <x v="0"/>
    <x v="0"/>
    <x v="1"/>
    <x v="0"/>
    <x v="1"/>
    <n v="1"/>
    <n v="1"/>
    <n v="0"/>
    <n v="0"/>
    <n v="0"/>
    <n v="0"/>
    <n v="0"/>
    <m/>
    <n v="74.5"/>
    <m/>
    <s v="Unique"/>
    <s v="Valid"/>
  </r>
  <r>
    <s v="USR-100279"/>
    <d v="2025-03-08T00:00:00"/>
    <x v="0"/>
    <x v="0"/>
    <x v="2"/>
    <x v="2"/>
    <x v="2"/>
    <n v="1"/>
    <n v="0"/>
    <n v="0"/>
    <n v="0"/>
    <n v="0"/>
    <n v="1"/>
    <n v="0"/>
    <m/>
    <n v="46.9"/>
    <m/>
    <s v="Unique"/>
    <s v="Valid"/>
  </r>
  <r>
    <s v="USR-100280"/>
    <d v="2025-04-25T00:00:00"/>
    <x v="0"/>
    <x v="0"/>
    <x v="1"/>
    <x v="1"/>
    <x v="1"/>
    <n v="0"/>
    <n v="0"/>
    <n v="0"/>
    <n v="0"/>
    <n v="0"/>
    <n v="0"/>
    <n v="0"/>
    <m/>
    <n v="87.1"/>
    <m/>
    <s v="Unique"/>
    <s v="Valid"/>
  </r>
  <r>
    <s v="USR-100281"/>
    <d v="2025-04-04T00:00:00"/>
    <x v="0"/>
    <x v="0"/>
    <x v="0"/>
    <x v="1"/>
    <x v="1"/>
    <n v="1"/>
    <n v="0"/>
    <n v="0"/>
    <n v="0"/>
    <n v="0"/>
    <n v="0"/>
    <n v="0"/>
    <m/>
    <n v="56"/>
    <m/>
    <s v="Unique"/>
    <s v="Valid"/>
  </r>
  <r>
    <s v="USR-100282"/>
    <d v="2025-05-01T00:00:00"/>
    <x v="0"/>
    <x v="2"/>
    <x v="1"/>
    <x v="2"/>
    <x v="2"/>
    <n v="1"/>
    <n v="0"/>
    <n v="0"/>
    <n v="0"/>
    <n v="0"/>
    <n v="1"/>
    <n v="0"/>
    <m/>
    <n v="61.7"/>
    <m/>
    <s v="Unique"/>
    <s v="Valid"/>
  </r>
  <r>
    <s v="USR-100283"/>
    <d v="2025-01-21T00:00:00"/>
    <x v="0"/>
    <x v="3"/>
    <x v="1"/>
    <x v="4"/>
    <x v="1"/>
    <n v="1"/>
    <n v="0"/>
    <n v="0"/>
    <n v="0"/>
    <n v="0"/>
    <n v="1"/>
    <n v="0"/>
    <m/>
    <n v="70.5"/>
    <m/>
    <s v="Unique"/>
    <s v="Valid"/>
  </r>
  <r>
    <s v="USR-100284"/>
    <d v="2025-02-10T00:00:00"/>
    <x v="0"/>
    <x v="0"/>
    <x v="0"/>
    <x v="3"/>
    <x v="0"/>
    <n v="1"/>
    <n v="0"/>
    <n v="0"/>
    <n v="0"/>
    <n v="0"/>
    <n v="0"/>
    <n v="0"/>
    <m/>
    <n v="33.4"/>
    <m/>
    <s v="Unique"/>
    <s v="Valid"/>
  </r>
  <r>
    <s v="USR-100285"/>
    <d v="2025-05-06T00:00:00"/>
    <x v="0"/>
    <x v="3"/>
    <x v="0"/>
    <x v="1"/>
    <x v="1"/>
    <n v="1"/>
    <n v="0"/>
    <n v="0"/>
    <n v="0"/>
    <n v="0"/>
    <n v="0"/>
    <n v="0"/>
    <m/>
    <n v="57.5"/>
    <m/>
    <s v="Unique"/>
    <s v="Valid"/>
  </r>
  <r>
    <s v="USR-100286"/>
    <d v="2025-02-08T00:00:00"/>
    <x v="0"/>
    <x v="0"/>
    <x v="0"/>
    <x v="2"/>
    <x v="0"/>
    <n v="1"/>
    <n v="1"/>
    <n v="0"/>
    <n v="0"/>
    <n v="0"/>
    <n v="0"/>
    <n v="0"/>
    <m/>
    <n v="85.7"/>
    <m/>
    <s v="Unique"/>
    <s v="Valid"/>
  </r>
  <r>
    <s v="USR-100287"/>
    <d v="2025-05-31T00:00:00"/>
    <x v="0"/>
    <x v="2"/>
    <x v="1"/>
    <x v="4"/>
    <x v="1"/>
    <n v="1"/>
    <n v="0"/>
    <n v="0"/>
    <n v="0"/>
    <n v="0"/>
    <n v="0"/>
    <n v="0"/>
    <m/>
    <n v="41.9"/>
    <m/>
    <s v="Unique"/>
    <s v="Valid"/>
  </r>
  <r>
    <s v="USR-100288"/>
    <d v="2025-02-07T00:00:00"/>
    <x v="0"/>
    <x v="1"/>
    <x v="1"/>
    <x v="0"/>
    <x v="0"/>
    <n v="1"/>
    <n v="0"/>
    <n v="0"/>
    <n v="0"/>
    <n v="0"/>
    <n v="0"/>
    <n v="0"/>
    <m/>
    <n v="70.2"/>
    <m/>
    <s v="Unique"/>
    <s v="Valid"/>
  </r>
  <r>
    <s v="USR-100289"/>
    <d v="2025-02-10T00:00:00"/>
    <x v="0"/>
    <x v="0"/>
    <x v="1"/>
    <x v="4"/>
    <x v="1"/>
    <n v="1"/>
    <n v="0"/>
    <n v="0"/>
    <n v="0"/>
    <n v="0"/>
    <n v="0"/>
    <n v="0"/>
    <m/>
    <n v="42.6"/>
    <m/>
    <s v="Unique"/>
    <s v="Valid"/>
  </r>
  <r>
    <s v="USR-100290"/>
    <d v="2025-01-31T00:00:00"/>
    <x v="0"/>
    <x v="1"/>
    <x v="1"/>
    <x v="4"/>
    <x v="0"/>
    <n v="0"/>
    <n v="0"/>
    <n v="0"/>
    <n v="0"/>
    <n v="0"/>
    <n v="2"/>
    <n v="0"/>
    <m/>
    <n v="30.4"/>
    <m/>
    <s v="Unique"/>
    <s v="Valid"/>
  </r>
  <r>
    <s v="USR-100291"/>
    <d v="2025-03-16T00:00:00"/>
    <x v="0"/>
    <x v="2"/>
    <x v="1"/>
    <x v="2"/>
    <x v="0"/>
    <n v="1"/>
    <n v="0"/>
    <n v="0"/>
    <n v="0"/>
    <n v="0"/>
    <n v="0"/>
    <n v="0"/>
    <m/>
    <n v="63.7"/>
    <m/>
    <s v="Unique"/>
    <s v="Valid"/>
  </r>
  <r>
    <s v="USR-100292"/>
    <d v="2025-04-24T00:00:00"/>
    <x v="0"/>
    <x v="3"/>
    <x v="1"/>
    <x v="4"/>
    <x v="0"/>
    <n v="0"/>
    <n v="0"/>
    <n v="0"/>
    <n v="0"/>
    <n v="0"/>
    <n v="0"/>
    <n v="0"/>
    <m/>
    <n v="42.7"/>
    <m/>
    <s v="Unique"/>
    <s v="Valid"/>
  </r>
  <r>
    <s v="USR-100293"/>
    <d v="2025-01-28T00:00:00"/>
    <x v="0"/>
    <x v="0"/>
    <x v="1"/>
    <x v="1"/>
    <x v="1"/>
    <n v="0"/>
    <n v="0"/>
    <n v="0"/>
    <n v="0"/>
    <n v="0"/>
    <n v="0"/>
    <n v="0"/>
    <m/>
    <n v="74.3"/>
    <m/>
    <s v="Unique"/>
    <s v="Valid"/>
  </r>
  <r>
    <s v="USR-100294"/>
    <d v="2025-02-16T00:00:00"/>
    <x v="0"/>
    <x v="1"/>
    <x v="0"/>
    <x v="0"/>
    <x v="1"/>
    <n v="1"/>
    <n v="0"/>
    <n v="0"/>
    <n v="0"/>
    <n v="0"/>
    <n v="0"/>
    <n v="0"/>
    <m/>
    <n v="40.6"/>
    <m/>
    <s v="Unique"/>
    <s v="Valid"/>
  </r>
  <r>
    <s v="USR-100295"/>
    <d v="2025-03-23T00:00:00"/>
    <x v="0"/>
    <x v="2"/>
    <x v="1"/>
    <x v="1"/>
    <x v="2"/>
    <n v="0"/>
    <n v="0"/>
    <n v="0"/>
    <n v="0"/>
    <n v="0"/>
    <n v="0"/>
    <n v="0"/>
    <m/>
    <n v="67"/>
    <m/>
    <s v="Unique"/>
    <s v="Valid"/>
  </r>
  <r>
    <s v="USR-100296"/>
    <d v="2025-05-31T00:00:00"/>
    <x v="0"/>
    <x v="2"/>
    <x v="1"/>
    <x v="2"/>
    <x v="2"/>
    <n v="0"/>
    <n v="0"/>
    <n v="0"/>
    <n v="0"/>
    <n v="0"/>
    <n v="0"/>
    <n v="0"/>
    <m/>
    <n v="51"/>
    <m/>
    <s v="Unique"/>
    <s v="Valid"/>
  </r>
  <r>
    <s v="USR-100297"/>
    <d v="2025-04-13T00:00:00"/>
    <x v="0"/>
    <x v="1"/>
    <x v="1"/>
    <x v="4"/>
    <x v="0"/>
    <n v="1"/>
    <n v="1"/>
    <n v="0"/>
    <n v="0"/>
    <n v="0"/>
    <n v="1"/>
    <n v="0"/>
    <m/>
    <n v="54.8"/>
    <m/>
    <s v="Unique"/>
    <s v="Valid"/>
  </r>
  <r>
    <s v="USR-100298"/>
    <d v="2025-05-14T00:00:00"/>
    <x v="0"/>
    <x v="0"/>
    <x v="2"/>
    <x v="0"/>
    <x v="0"/>
    <n v="0"/>
    <n v="0"/>
    <n v="0"/>
    <n v="0"/>
    <n v="0"/>
    <n v="0"/>
    <n v="0"/>
    <m/>
    <n v="40.799999999999997"/>
    <m/>
    <s v="Unique"/>
    <s v="Valid"/>
  </r>
  <r>
    <s v="USR-100299"/>
    <d v="2025-02-19T00:00:00"/>
    <x v="0"/>
    <x v="2"/>
    <x v="1"/>
    <x v="2"/>
    <x v="1"/>
    <n v="0"/>
    <n v="0"/>
    <n v="0"/>
    <n v="0"/>
    <n v="0"/>
    <n v="0"/>
    <n v="0"/>
    <m/>
    <n v="48.8"/>
    <m/>
    <s v="Unique"/>
    <s v="Valid"/>
  </r>
  <r>
    <s v="USR-100300"/>
    <d v="2025-01-24T00:00:00"/>
    <x v="0"/>
    <x v="3"/>
    <x v="1"/>
    <x v="5"/>
    <x v="0"/>
    <n v="1"/>
    <n v="1"/>
    <n v="1"/>
    <n v="1"/>
    <n v="1198.69"/>
    <n v="1"/>
    <n v="0"/>
    <n v="6"/>
    <n v="88.9"/>
    <m/>
    <s v="Unique"/>
    <s v="Valid"/>
  </r>
  <r>
    <s v="USR-100301"/>
    <d v="2025-05-09T00:00:00"/>
    <x v="0"/>
    <x v="0"/>
    <x v="1"/>
    <x v="0"/>
    <x v="0"/>
    <n v="1"/>
    <n v="1"/>
    <n v="1"/>
    <n v="0"/>
    <n v="0"/>
    <n v="1"/>
    <n v="0"/>
    <m/>
    <n v="60.5"/>
    <m/>
    <s v="Unique"/>
    <s v="Valid"/>
  </r>
  <r>
    <s v="USR-100302"/>
    <d v="2025-02-11T00:00:00"/>
    <x v="0"/>
    <x v="0"/>
    <x v="1"/>
    <x v="1"/>
    <x v="0"/>
    <n v="1"/>
    <n v="0"/>
    <n v="0"/>
    <n v="0"/>
    <n v="0"/>
    <n v="0"/>
    <n v="0"/>
    <m/>
    <n v="63.6"/>
    <m/>
    <s v="Unique"/>
    <s v="Valid"/>
  </r>
  <r>
    <s v="USR-100303"/>
    <d v="2025-02-26T00:00:00"/>
    <x v="0"/>
    <x v="0"/>
    <x v="0"/>
    <x v="1"/>
    <x v="0"/>
    <n v="1"/>
    <n v="1"/>
    <n v="1"/>
    <n v="1"/>
    <n v="6788.95"/>
    <n v="0"/>
    <n v="0"/>
    <n v="17"/>
    <n v="58.4"/>
    <m/>
    <s v="Unique"/>
    <s v="Valid"/>
  </r>
  <r>
    <s v="USR-100304"/>
    <d v="2025-02-12T00:00:00"/>
    <x v="0"/>
    <x v="3"/>
    <x v="1"/>
    <x v="4"/>
    <x v="2"/>
    <n v="0"/>
    <n v="0"/>
    <n v="0"/>
    <n v="0"/>
    <n v="0"/>
    <n v="0"/>
    <n v="0"/>
    <m/>
    <n v="52.7"/>
    <m/>
    <s v="Unique"/>
    <s v="Valid"/>
  </r>
  <r>
    <s v="USR-100305"/>
    <d v="2025-01-05T00:00:00"/>
    <x v="0"/>
    <x v="3"/>
    <x v="2"/>
    <x v="4"/>
    <x v="2"/>
    <n v="1"/>
    <n v="1"/>
    <n v="1"/>
    <n v="0"/>
    <n v="0"/>
    <n v="2"/>
    <n v="0"/>
    <m/>
    <n v="48.9"/>
    <m/>
    <s v="Unique"/>
    <s v="Valid"/>
  </r>
  <r>
    <s v="USR-100306"/>
    <d v="2025-05-19T00:00:00"/>
    <x v="0"/>
    <x v="1"/>
    <x v="1"/>
    <x v="1"/>
    <x v="2"/>
    <n v="0"/>
    <n v="0"/>
    <n v="0"/>
    <n v="0"/>
    <n v="0"/>
    <n v="0"/>
    <n v="0"/>
    <m/>
    <n v="79.7"/>
    <m/>
    <s v="Unique"/>
    <s v="Valid"/>
  </r>
  <r>
    <s v="USR-100307"/>
    <d v="2025-02-02T00:00:00"/>
    <x v="0"/>
    <x v="0"/>
    <x v="1"/>
    <x v="4"/>
    <x v="1"/>
    <n v="1"/>
    <n v="0"/>
    <n v="0"/>
    <n v="0"/>
    <n v="0"/>
    <n v="0"/>
    <n v="0"/>
    <m/>
    <n v="44.9"/>
    <m/>
    <s v="Unique"/>
    <s v="Valid"/>
  </r>
  <r>
    <s v="USR-100308"/>
    <d v="2025-01-30T00:00:00"/>
    <x v="0"/>
    <x v="1"/>
    <x v="2"/>
    <x v="2"/>
    <x v="1"/>
    <n v="1"/>
    <n v="1"/>
    <n v="1"/>
    <n v="1"/>
    <n v="409.39"/>
    <n v="0"/>
    <n v="0"/>
    <n v="10"/>
    <n v="38.799999999999997"/>
    <m/>
    <s v="Unique"/>
    <s v="Valid"/>
  </r>
  <r>
    <s v="USR-100309"/>
    <d v="2025-05-01T00:00:00"/>
    <x v="0"/>
    <x v="3"/>
    <x v="0"/>
    <x v="0"/>
    <x v="1"/>
    <n v="0"/>
    <n v="0"/>
    <n v="0"/>
    <n v="0"/>
    <n v="0"/>
    <n v="0"/>
    <n v="0"/>
    <m/>
    <n v="70"/>
    <m/>
    <s v="Unique"/>
    <s v="Valid"/>
  </r>
  <r>
    <s v="USR-100310"/>
    <d v="2025-05-16T00:00:00"/>
    <x v="0"/>
    <x v="3"/>
    <x v="0"/>
    <x v="3"/>
    <x v="0"/>
    <n v="1"/>
    <n v="0"/>
    <n v="0"/>
    <n v="0"/>
    <n v="0"/>
    <n v="0"/>
    <n v="0"/>
    <m/>
    <n v="77.7"/>
    <m/>
    <s v="Unique"/>
    <s v="Valid"/>
  </r>
  <r>
    <s v="USR-100311"/>
    <d v="2025-03-08T00:00:00"/>
    <x v="0"/>
    <x v="1"/>
    <x v="1"/>
    <x v="1"/>
    <x v="1"/>
    <n v="0"/>
    <n v="0"/>
    <n v="0"/>
    <n v="0"/>
    <n v="0"/>
    <n v="0"/>
    <n v="0"/>
    <m/>
    <n v="71.2"/>
    <m/>
    <s v="Unique"/>
    <s v="Valid"/>
  </r>
  <r>
    <s v="USR-100312"/>
    <d v="2025-04-04T00:00:00"/>
    <x v="0"/>
    <x v="0"/>
    <x v="1"/>
    <x v="1"/>
    <x v="0"/>
    <n v="1"/>
    <n v="0"/>
    <n v="0"/>
    <n v="0"/>
    <n v="0"/>
    <n v="0"/>
    <n v="0"/>
    <m/>
    <n v="43.8"/>
    <m/>
    <s v="Unique"/>
    <s v="Valid"/>
  </r>
  <r>
    <s v="USR-100313"/>
    <d v="2025-05-30T00:00:00"/>
    <x v="0"/>
    <x v="3"/>
    <x v="2"/>
    <x v="1"/>
    <x v="1"/>
    <n v="1"/>
    <n v="0"/>
    <n v="0"/>
    <n v="0"/>
    <n v="0"/>
    <n v="0"/>
    <n v="0"/>
    <m/>
    <n v="50.9"/>
    <m/>
    <s v="Unique"/>
    <s v="Valid"/>
  </r>
  <r>
    <s v="USR-100314"/>
    <d v="2025-01-05T00:00:00"/>
    <x v="0"/>
    <x v="1"/>
    <x v="1"/>
    <x v="1"/>
    <x v="2"/>
    <n v="0"/>
    <n v="0"/>
    <n v="0"/>
    <n v="0"/>
    <n v="0"/>
    <n v="0"/>
    <n v="0"/>
    <m/>
    <n v="58.5"/>
    <m/>
    <s v="Unique"/>
    <s v="Valid"/>
  </r>
  <r>
    <s v="USR-100315"/>
    <d v="2025-01-20T00:00:00"/>
    <x v="0"/>
    <x v="2"/>
    <x v="1"/>
    <x v="1"/>
    <x v="1"/>
    <n v="1"/>
    <n v="1"/>
    <n v="1"/>
    <n v="0"/>
    <n v="0"/>
    <n v="0"/>
    <n v="0"/>
    <m/>
    <n v="53.6"/>
    <m/>
    <s v="Unique"/>
    <s v="Valid"/>
  </r>
  <r>
    <s v="USR-100316"/>
    <d v="2025-05-01T00:00:00"/>
    <x v="0"/>
    <x v="2"/>
    <x v="1"/>
    <x v="0"/>
    <x v="1"/>
    <n v="0"/>
    <n v="0"/>
    <n v="0"/>
    <n v="0"/>
    <n v="0"/>
    <n v="0"/>
    <n v="0"/>
    <m/>
    <n v="54.9"/>
    <m/>
    <s v="Unique"/>
    <s v="Valid"/>
  </r>
  <r>
    <s v="USR-100317"/>
    <d v="2025-03-05T00:00:00"/>
    <x v="0"/>
    <x v="0"/>
    <x v="0"/>
    <x v="1"/>
    <x v="2"/>
    <n v="0"/>
    <n v="0"/>
    <n v="0"/>
    <n v="0"/>
    <n v="0"/>
    <n v="0"/>
    <n v="0"/>
    <m/>
    <n v="57.3"/>
    <m/>
    <s v="Unique"/>
    <s v="Valid"/>
  </r>
  <r>
    <s v="USR-100318"/>
    <d v="2025-04-01T00:00:00"/>
    <x v="0"/>
    <x v="2"/>
    <x v="0"/>
    <x v="3"/>
    <x v="1"/>
    <n v="1"/>
    <n v="0"/>
    <n v="0"/>
    <n v="0"/>
    <n v="0"/>
    <n v="0"/>
    <n v="0"/>
    <m/>
    <n v="52.1"/>
    <m/>
    <s v="Unique"/>
    <s v="Valid"/>
  </r>
  <r>
    <s v="USR-100319"/>
    <d v="2025-05-03T00:00:00"/>
    <x v="0"/>
    <x v="0"/>
    <x v="1"/>
    <x v="1"/>
    <x v="1"/>
    <n v="1"/>
    <n v="0"/>
    <n v="0"/>
    <n v="0"/>
    <n v="0"/>
    <n v="0"/>
    <n v="0"/>
    <m/>
    <n v="80"/>
    <m/>
    <s v="Unique"/>
    <s v="Valid"/>
  </r>
  <r>
    <s v="USR-100320"/>
    <d v="2025-03-06T00:00:00"/>
    <x v="0"/>
    <x v="3"/>
    <x v="0"/>
    <x v="2"/>
    <x v="2"/>
    <n v="1"/>
    <n v="0"/>
    <n v="0"/>
    <n v="0"/>
    <n v="0"/>
    <n v="0"/>
    <n v="0"/>
    <m/>
    <n v="39.299999999999997"/>
    <m/>
    <s v="Unique"/>
    <s v="Valid"/>
  </r>
  <r>
    <s v="USR-100321"/>
    <d v="2025-04-01T00:00:00"/>
    <x v="0"/>
    <x v="0"/>
    <x v="0"/>
    <x v="3"/>
    <x v="2"/>
    <n v="0"/>
    <n v="0"/>
    <n v="0"/>
    <n v="0"/>
    <n v="0"/>
    <n v="0"/>
    <n v="0"/>
    <m/>
    <n v="45.7"/>
    <m/>
    <s v="Unique"/>
    <s v="Valid"/>
  </r>
  <r>
    <s v="USR-100322"/>
    <d v="2025-02-09T00:00:00"/>
    <x v="0"/>
    <x v="0"/>
    <x v="0"/>
    <x v="4"/>
    <x v="0"/>
    <n v="1"/>
    <n v="0"/>
    <n v="0"/>
    <n v="0"/>
    <n v="0"/>
    <n v="2"/>
    <n v="0"/>
    <m/>
    <n v="61.2"/>
    <m/>
    <s v="Unique"/>
    <s v="Valid"/>
  </r>
  <r>
    <s v="USR-100323"/>
    <d v="2025-04-12T00:00:00"/>
    <x v="0"/>
    <x v="1"/>
    <x v="1"/>
    <x v="1"/>
    <x v="0"/>
    <n v="1"/>
    <n v="1"/>
    <n v="0"/>
    <n v="0"/>
    <n v="0"/>
    <n v="0"/>
    <n v="0"/>
    <m/>
    <n v="66.2"/>
    <m/>
    <s v="Unique"/>
    <s v="Valid"/>
  </r>
  <r>
    <s v="USR-100324"/>
    <d v="2025-03-18T00:00:00"/>
    <x v="0"/>
    <x v="2"/>
    <x v="1"/>
    <x v="4"/>
    <x v="1"/>
    <n v="1"/>
    <n v="1"/>
    <n v="1"/>
    <n v="0"/>
    <n v="0"/>
    <n v="0"/>
    <n v="0"/>
    <m/>
    <n v="61.3"/>
    <m/>
    <s v="Unique"/>
    <s v="Valid"/>
  </r>
  <r>
    <s v="USR-100325"/>
    <d v="2025-04-03T00:00:00"/>
    <x v="0"/>
    <x v="2"/>
    <x v="1"/>
    <x v="2"/>
    <x v="1"/>
    <n v="1"/>
    <n v="0"/>
    <n v="0"/>
    <n v="0"/>
    <n v="0"/>
    <n v="0"/>
    <n v="0"/>
    <m/>
    <n v="72.2"/>
    <m/>
    <s v="Unique"/>
    <s v="Valid"/>
  </r>
  <r>
    <s v="USR-100326"/>
    <d v="2025-04-02T00:00:00"/>
    <x v="0"/>
    <x v="1"/>
    <x v="1"/>
    <x v="0"/>
    <x v="2"/>
    <n v="1"/>
    <n v="1"/>
    <n v="1"/>
    <n v="0"/>
    <n v="0"/>
    <n v="0"/>
    <n v="0"/>
    <m/>
    <n v="84"/>
    <m/>
    <s v="Unique"/>
    <s v="Valid"/>
  </r>
  <r>
    <s v="USR-100327"/>
    <d v="2025-05-10T00:00:00"/>
    <x v="0"/>
    <x v="1"/>
    <x v="0"/>
    <x v="0"/>
    <x v="0"/>
    <n v="0"/>
    <n v="0"/>
    <n v="0"/>
    <n v="0"/>
    <n v="0"/>
    <n v="0"/>
    <n v="0"/>
    <m/>
    <n v="59.8"/>
    <m/>
    <s v="Unique"/>
    <s v="Valid"/>
  </r>
  <r>
    <s v="USR-100328"/>
    <d v="2025-04-29T00:00:00"/>
    <x v="0"/>
    <x v="1"/>
    <x v="0"/>
    <x v="2"/>
    <x v="1"/>
    <n v="1"/>
    <n v="0"/>
    <n v="0"/>
    <n v="0"/>
    <n v="0"/>
    <n v="0"/>
    <n v="0"/>
    <m/>
    <n v="64.900000000000006"/>
    <m/>
    <s v="Unique"/>
    <s v="Valid"/>
  </r>
  <r>
    <s v="USR-100329"/>
    <d v="2025-02-27T00:00:00"/>
    <x v="0"/>
    <x v="3"/>
    <x v="1"/>
    <x v="2"/>
    <x v="1"/>
    <n v="1"/>
    <n v="0"/>
    <n v="0"/>
    <n v="0"/>
    <n v="0"/>
    <n v="0"/>
    <n v="0"/>
    <m/>
    <n v="66.8"/>
    <m/>
    <s v="Unique"/>
    <s v="Valid"/>
  </r>
  <r>
    <s v="USR-100330"/>
    <d v="2025-04-10T00:00:00"/>
    <x v="0"/>
    <x v="0"/>
    <x v="0"/>
    <x v="1"/>
    <x v="2"/>
    <n v="0"/>
    <n v="0"/>
    <n v="0"/>
    <n v="0"/>
    <n v="0"/>
    <n v="0"/>
    <n v="0"/>
    <m/>
    <n v="70.900000000000006"/>
    <m/>
    <s v="Unique"/>
    <s v="Valid"/>
  </r>
  <r>
    <s v="USR-100331"/>
    <d v="2025-02-13T00:00:00"/>
    <x v="0"/>
    <x v="2"/>
    <x v="1"/>
    <x v="1"/>
    <x v="1"/>
    <n v="1"/>
    <n v="1"/>
    <n v="1"/>
    <n v="1"/>
    <n v="426.82"/>
    <n v="1"/>
    <n v="0"/>
    <n v="14"/>
    <n v="68.8"/>
    <m/>
    <s v="Unique"/>
    <s v="Valid"/>
  </r>
  <r>
    <s v="USR-100332"/>
    <d v="2025-05-03T00:00:00"/>
    <x v="0"/>
    <x v="0"/>
    <x v="1"/>
    <x v="1"/>
    <x v="0"/>
    <n v="1"/>
    <n v="0"/>
    <n v="0"/>
    <n v="0"/>
    <n v="0"/>
    <n v="0"/>
    <n v="0"/>
    <m/>
    <n v="72.400000000000006"/>
    <m/>
    <s v="Unique"/>
    <s v="Valid"/>
  </r>
  <r>
    <s v="USR-100333"/>
    <d v="2025-03-10T00:00:00"/>
    <x v="0"/>
    <x v="2"/>
    <x v="1"/>
    <x v="1"/>
    <x v="0"/>
    <n v="0"/>
    <n v="0"/>
    <n v="0"/>
    <n v="0"/>
    <n v="0"/>
    <n v="0"/>
    <n v="0"/>
    <m/>
    <n v="63.3"/>
    <m/>
    <s v="Unique"/>
    <s v="Valid"/>
  </r>
  <r>
    <s v="USR-100334"/>
    <d v="2025-01-10T00:00:00"/>
    <x v="0"/>
    <x v="1"/>
    <x v="2"/>
    <x v="4"/>
    <x v="1"/>
    <n v="1"/>
    <n v="0"/>
    <n v="0"/>
    <n v="0"/>
    <n v="0"/>
    <n v="0"/>
    <n v="0"/>
    <m/>
    <n v="30.8"/>
    <m/>
    <s v="Unique"/>
    <s v="Valid"/>
  </r>
  <r>
    <s v="USR-100335"/>
    <d v="2025-01-16T00:00:00"/>
    <x v="0"/>
    <x v="3"/>
    <x v="1"/>
    <x v="0"/>
    <x v="0"/>
    <n v="1"/>
    <n v="1"/>
    <n v="1"/>
    <n v="1"/>
    <n v="874.55"/>
    <n v="0"/>
    <n v="0"/>
    <n v="9"/>
    <n v="44.2"/>
    <m/>
    <s v="Unique"/>
    <s v="Valid"/>
  </r>
  <r>
    <s v="USR-100336"/>
    <d v="2025-02-11T00:00:00"/>
    <x v="0"/>
    <x v="3"/>
    <x v="0"/>
    <x v="1"/>
    <x v="2"/>
    <n v="1"/>
    <n v="1"/>
    <n v="1"/>
    <n v="1"/>
    <n v="2206.88"/>
    <n v="0"/>
    <n v="0"/>
    <n v="10"/>
    <n v="56.2"/>
    <m/>
    <s v="Unique"/>
    <s v="Valid"/>
  </r>
  <r>
    <s v="USR-100337"/>
    <d v="2025-04-13T00:00:00"/>
    <x v="0"/>
    <x v="1"/>
    <x v="1"/>
    <x v="1"/>
    <x v="1"/>
    <n v="0"/>
    <n v="0"/>
    <n v="0"/>
    <n v="0"/>
    <n v="0"/>
    <n v="0"/>
    <n v="0"/>
    <m/>
    <n v="40.4"/>
    <m/>
    <s v="Unique"/>
    <s v="Valid"/>
  </r>
  <r>
    <s v="USR-100338"/>
    <d v="2025-02-08T00:00:00"/>
    <x v="0"/>
    <x v="2"/>
    <x v="1"/>
    <x v="2"/>
    <x v="1"/>
    <n v="1"/>
    <n v="1"/>
    <n v="1"/>
    <n v="0"/>
    <n v="0"/>
    <n v="0"/>
    <n v="0"/>
    <m/>
    <n v="68.099999999999994"/>
    <m/>
    <s v="Unique"/>
    <s v="Valid"/>
  </r>
  <r>
    <s v="USR-100339"/>
    <d v="2025-03-31T00:00:00"/>
    <x v="0"/>
    <x v="1"/>
    <x v="0"/>
    <x v="3"/>
    <x v="1"/>
    <n v="1"/>
    <n v="0"/>
    <n v="0"/>
    <n v="0"/>
    <n v="0"/>
    <n v="0"/>
    <n v="0"/>
    <m/>
    <n v="86.3"/>
    <m/>
    <s v="Unique"/>
    <s v="Valid"/>
  </r>
  <r>
    <s v="USR-100340"/>
    <d v="2025-01-31T00:00:00"/>
    <x v="0"/>
    <x v="1"/>
    <x v="0"/>
    <x v="3"/>
    <x v="1"/>
    <n v="1"/>
    <n v="1"/>
    <n v="0"/>
    <n v="0"/>
    <n v="0"/>
    <n v="0"/>
    <n v="0"/>
    <m/>
    <n v="42.9"/>
    <m/>
    <s v="Unique"/>
    <s v="Valid"/>
  </r>
  <r>
    <s v="USR-100341"/>
    <d v="2025-05-08T00:00:00"/>
    <x v="0"/>
    <x v="1"/>
    <x v="2"/>
    <x v="1"/>
    <x v="1"/>
    <n v="0"/>
    <n v="0"/>
    <n v="0"/>
    <n v="0"/>
    <n v="0"/>
    <n v="0"/>
    <n v="0"/>
    <m/>
    <n v="61.4"/>
    <m/>
    <s v="Unique"/>
    <s v="Valid"/>
  </r>
  <r>
    <s v="USR-100342"/>
    <d v="2025-03-15T00:00:00"/>
    <x v="0"/>
    <x v="0"/>
    <x v="1"/>
    <x v="2"/>
    <x v="1"/>
    <n v="1"/>
    <n v="0"/>
    <n v="0"/>
    <n v="0"/>
    <n v="0"/>
    <n v="1"/>
    <n v="0"/>
    <m/>
    <n v="73.3"/>
    <m/>
    <s v="Unique"/>
    <s v="Valid"/>
  </r>
  <r>
    <s v="USR-100343"/>
    <d v="2025-01-13T00:00:00"/>
    <x v="0"/>
    <x v="3"/>
    <x v="1"/>
    <x v="3"/>
    <x v="0"/>
    <n v="1"/>
    <n v="0"/>
    <n v="0"/>
    <n v="0"/>
    <n v="0"/>
    <n v="0"/>
    <n v="0"/>
    <m/>
    <n v="59.4"/>
    <m/>
    <s v="Unique"/>
    <s v="Valid"/>
  </r>
  <r>
    <s v="USR-100344"/>
    <d v="2025-03-07T00:00:00"/>
    <x v="0"/>
    <x v="3"/>
    <x v="2"/>
    <x v="1"/>
    <x v="0"/>
    <n v="1"/>
    <n v="0"/>
    <n v="0"/>
    <n v="0"/>
    <n v="0"/>
    <n v="0"/>
    <n v="0"/>
    <m/>
    <n v="35.200000000000003"/>
    <m/>
    <s v="Unique"/>
    <s v="Valid"/>
  </r>
  <r>
    <s v="USR-100345"/>
    <d v="2025-02-10T00:00:00"/>
    <x v="0"/>
    <x v="3"/>
    <x v="1"/>
    <x v="4"/>
    <x v="2"/>
    <n v="1"/>
    <n v="1"/>
    <n v="0"/>
    <n v="0"/>
    <n v="0"/>
    <n v="0"/>
    <n v="0"/>
    <m/>
    <n v="55.3"/>
    <m/>
    <s v="Unique"/>
    <s v="Valid"/>
  </r>
  <r>
    <s v="USR-100346"/>
    <d v="2025-03-12T00:00:00"/>
    <x v="0"/>
    <x v="2"/>
    <x v="1"/>
    <x v="2"/>
    <x v="1"/>
    <n v="0"/>
    <n v="0"/>
    <n v="0"/>
    <n v="0"/>
    <n v="0"/>
    <n v="0"/>
    <n v="0"/>
    <m/>
    <n v="37.5"/>
    <m/>
    <s v="Unique"/>
    <s v="Valid"/>
  </r>
  <r>
    <s v="USR-100347"/>
    <d v="2025-01-03T00:00:00"/>
    <x v="0"/>
    <x v="3"/>
    <x v="0"/>
    <x v="2"/>
    <x v="1"/>
    <n v="0"/>
    <n v="0"/>
    <n v="0"/>
    <n v="0"/>
    <n v="0"/>
    <n v="1"/>
    <n v="0"/>
    <m/>
    <n v="66.400000000000006"/>
    <m/>
    <s v="Unique"/>
    <s v="Valid"/>
  </r>
  <r>
    <s v="USR-100348"/>
    <d v="2025-04-28T00:00:00"/>
    <x v="0"/>
    <x v="0"/>
    <x v="2"/>
    <x v="4"/>
    <x v="0"/>
    <n v="1"/>
    <n v="0"/>
    <n v="0"/>
    <n v="0"/>
    <n v="0"/>
    <n v="0"/>
    <n v="0"/>
    <m/>
    <n v="61.9"/>
    <m/>
    <s v="Unique"/>
    <s v="Valid"/>
  </r>
  <r>
    <s v="USR-100349"/>
    <d v="2025-04-17T00:00:00"/>
    <x v="0"/>
    <x v="2"/>
    <x v="1"/>
    <x v="1"/>
    <x v="1"/>
    <n v="0"/>
    <n v="0"/>
    <n v="0"/>
    <n v="0"/>
    <n v="0"/>
    <n v="0"/>
    <n v="0"/>
    <m/>
    <n v="56"/>
    <m/>
    <s v="Unique"/>
    <s v="Valid"/>
  </r>
  <r>
    <s v="USR-100350"/>
    <d v="2025-05-23T00:00:00"/>
    <x v="0"/>
    <x v="3"/>
    <x v="0"/>
    <x v="4"/>
    <x v="0"/>
    <n v="1"/>
    <n v="0"/>
    <n v="0"/>
    <n v="0"/>
    <n v="0"/>
    <n v="0"/>
    <n v="0"/>
    <m/>
    <n v="55.5"/>
    <m/>
    <s v="Unique"/>
    <s v="Valid"/>
  </r>
  <r>
    <s v="USR-100351"/>
    <d v="2025-02-19T00:00:00"/>
    <x v="0"/>
    <x v="1"/>
    <x v="2"/>
    <x v="3"/>
    <x v="0"/>
    <n v="1"/>
    <n v="0"/>
    <n v="0"/>
    <n v="0"/>
    <n v="0"/>
    <n v="0"/>
    <n v="0"/>
    <m/>
    <n v="37.200000000000003"/>
    <m/>
    <s v="Unique"/>
    <s v="Valid"/>
  </r>
  <r>
    <s v="USR-100352"/>
    <d v="2025-01-18T00:00:00"/>
    <x v="0"/>
    <x v="3"/>
    <x v="0"/>
    <x v="1"/>
    <x v="1"/>
    <n v="1"/>
    <n v="1"/>
    <n v="0"/>
    <n v="0"/>
    <n v="0"/>
    <n v="1"/>
    <n v="0"/>
    <m/>
    <n v="70.5"/>
    <m/>
    <s v="Unique"/>
    <s v="Valid"/>
  </r>
  <r>
    <s v="USR-100353"/>
    <d v="2025-04-17T00:00:00"/>
    <x v="0"/>
    <x v="0"/>
    <x v="1"/>
    <x v="1"/>
    <x v="1"/>
    <n v="0"/>
    <n v="0"/>
    <n v="0"/>
    <n v="0"/>
    <n v="0"/>
    <n v="0"/>
    <n v="0"/>
    <m/>
    <n v="61.2"/>
    <m/>
    <s v="Unique"/>
    <s v="Valid"/>
  </r>
  <r>
    <s v="USR-100354"/>
    <d v="2025-04-12T00:00:00"/>
    <x v="0"/>
    <x v="2"/>
    <x v="2"/>
    <x v="4"/>
    <x v="1"/>
    <n v="1"/>
    <n v="1"/>
    <n v="1"/>
    <n v="0"/>
    <n v="0"/>
    <n v="0"/>
    <n v="0"/>
    <m/>
    <n v="64.599999999999994"/>
    <m/>
    <s v="Unique"/>
    <s v="Valid"/>
  </r>
  <r>
    <s v="USR-100355"/>
    <d v="2025-05-16T00:00:00"/>
    <x v="0"/>
    <x v="2"/>
    <x v="1"/>
    <x v="0"/>
    <x v="1"/>
    <n v="1"/>
    <n v="1"/>
    <n v="0"/>
    <n v="0"/>
    <n v="0"/>
    <n v="0"/>
    <n v="0"/>
    <m/>
    <n v="91.7"/>
    <m/>
    <s v="Unique"/>
    <s v="Valid"/>
  </r>
  <r>
    <s v="USR-100356"/>
    <d v="2025-03-24T00:00:00"/>
    <x v="0"/>
    <x v="1"/>
    <x v="1"/>
    <x v="4"/>
    <x v="1"/>
    <n v="0"/>
    <n v="0"/>
    <n v="0"/>
    <n v="0"/>
    <n v="0"/>
    <n v="0"/>
    <n v="0"/>
    <m/>
    <n v="46"/>
    <m/>
    <s v="Unique"/>
    <s v="Valid"/>
  </r>
  <r>
    <s v="USR-100357"/>
    <d v="2025-02-16T00:00:00"/>
    <x v="0"/>
    <x v="1"/>
    <x v="1"/>
    <x v="1"/>
    <x v="0"/>
    <n v="0"/>
    <n v="0"/>
    <n v="0"/>
    <n v="0"/>
    <n v="0"/>
    <n v="0"/>
    <n v="0"/>
    <m/>
    <n v="50.8"/>
    <m/>
    <s v="Unique"/>
    <s v="Valid"/>
  </r>
  <r>
    <s v="USR-100358"/>
    <d v="2025-03-19T00:00:00"/>
    <x v="0"/>
    <x v="0"/>
    <x v="2"/>
    <x v="1"/>
    <x v="1"/>
    <n v="1"/>
    <n v="1"/>
    <n v="1"/>
    <n v="0"/>
    <n v="0"/>
    <n v="0"/>
    <n v="0"/>
    <m/>
    <n v="52.8"/>
    <m/>
    <s v="Unique"/>
    <s v="Valid"/>
  </r>
  <r>
    <s v="USR-100359"/>
    <d v="2025-04-21T00:00:00"/>
    <x v="0"/>
    <x v="3"/>
    <x v="1"/>
    <x v="1"/>
    <x v="0"/>
    <n v="1"/>
    <n v="1"/>
    <n v="1"/>
    <n v="0"/>
    <n v="0"/>
    <n v="0"/>
    <n v="0"/>
    <m/>
    <n v="63"/>
    <m/>
    <s v="Unique"/>
    <s v="Valid"/>
  </r>
  <r>
    <s v="USR-100360"/>
    <d v="2025-01-11T00:00:00"/>
    <x v="0"/>
    <x v="1"/>
    <x v="1"/>
    <x v="1"/>
    <x v="1"/>
    <n v="0"/>
    <n v="0"/>
    <n v="0"/>
    <n v="0"/>
    <n v="0"/>
    <n v="0"/>
    <n v="0"/>
    <m/>
    <n v="28.4"/>
    <m/>
    <s v="Unique"/>
    <s v="Valid"/>
  </r>
  <r>
    <s v="USR-100361"/>
    <d v="2025-04-24T00:00:00"/>
    <x v="0"/>
    <x v="1"/>
    <x v="0"/>
    <x v="1"/>
    <x v="1"/>
    <n v="1"/>
    <n v="1"/>
    <n v="0"/>
    <n v="0"/>
    <n v="0"/>
    <n v="0"/>
    <n v="0"/>
    <m/>
    <n v="65.599999999999994"/>
    <m/>
    <s v="Unique"/>
    <s v="Valid"/>
  </r>
  <r>
    <s v="USR-100362"/>
    <d v="2025-03-13T00:00:00"/>
    <x v="0"/>
    <x v="0"/>
    <x v="1"/>
    <x v="4"/>
    <x v="2"/>
    <n v="1"/>
    <n v="1"/>
    <n v="1"/>
    <n v="0"/>
    <n v="0"/>
    <n v="0"/>
    <n v="0"/>
    <m/>
    <n v="54.7"/>
    <m/>
    <s v="Unique"/>
    <s v="Valid"/>
  </r>
  <r>
    <s v="USR-100363"/>
    <d v="2025-01-30T00:00:00"/>
    <x v="0"/>
    <x v="0"/>
    <x v="1"/>
    <x v="4"/>
    <x v="0"/>
    <n v="0"/>
    <n v="0"/>
    <n v="0"/>
    <n v="0"/>
    <n v="0"/>
    <n v="0"/>
    <n v="0"/>
    <m/>
    <n v="36.1"/>
    <m/>
    <s v="Unique"/>
    <s v="Valid"/>
  </r>
  <r>
    <s v="USR-100364"/>
    <d v="2025-05-08T00:00:00"/>
    <x v="0"/>
    <x v="3"/>
    <x v="1"/>
    <x v="4"/>
    <x v="0"/>
    <n v="1"/>
    <n v="1"/>
    <n v="1"/>
    <n v="0"/>
    <n v="0"/>
    <n v="0"/>
    <n v="0"/>
    <m/>
    <n v="70.400000000000006"/>
    <m/>
    <s v="Unique"/>
    <s v="Valid"/>
  </r>
  <r>
    <s v="USR-100365"/>
    <d v="2025-01-08T00:00:00"/>
    <x v="0"/>
    <x v="2"/>
    <x v="0"/>
    <x v="4"/>
    <x v="1"/>
    <n v="1"/>
    <n v="0"/>
    <n v="0"/>
    <n v="0"/>
    <n v="0"/>
    <n v="0"/>
    <n v="0"/>
    <m/>
    <n v="56.4"/>
    <m/>
    <s v="Unique"/>
    <s v="Valid"/>
  </r>
  <r>
    <s v="USR-100366"/>
    <d v="2025-05-03T00:00:00"/>
    <x v="0"/>
    <x v="3"/>
    <x v="1"/>
    <x v="1"/>
    <x v="1"/>
    <n v="1"/>
    <n v="0"/>
    <n v="0"/>
    <n v="0"/>
    <n v="0"/>
    <n v="0"/>
    <n v="0"/>
    <m/>
    <n v="79.2"/>
    <m/>
    <s v="Unique"/>
    <s v="Valid"/>
  </r>
  <r>
    <s v="USR-100367"/>
    <d v="2025-02-12T00:00:00"/>
    <x v="0"/>
    <x v="2"/>
    <x v="1"/>
    <x v="2"/>
    <x v="1"/>
    <n v="1"/>
    <n v="1"/>
    <n v="1"/>
    <n v="0"/>
    <n v="0"/>
    <n v="0"/>
    <n v="0"/>
    <m/>
    <n v="60.1"/>
    <m/>
    <s v="Unique"/>
    <s v="Valid"/>
  </r>
  <r>
    <s v="USR-100368"/>
    <d v="2025-02-25T00:00:00"/>
    <x v="0"/>
    <x v="3"/>
    <x v="2"/>
    <x v="1"/>
    <x v="1"/>
    <n v="0"/>
    <n v="0"/>
    <n v="0"/>
    <n v="0"/>
    <n v="0"/>
    <n v="0"/>
    <n v="0"/>
    <m/>
    <n v="58"/>
    <m/>
    <s v="Unique"/>
    <s v="Valid"/>
  </r>
  <r>
    <s v="USR-100369"/>
    <d v="2025-04-14T00:00:00"/>
    <x v="0"/>
    <x v="3"/>
    <x v="1"/>
    <x v="3"/>
    <x v="1"/>
    <n v="1"/>
    <n v="1"/>
    <n v="1"/>
    <n v="0"/>
    <n v="0"/>
    <n v="0"/>
    <n v="0"/>
    <m/>
    <n v="69"/>
    <m/>
    <s v="Unique"/>
    <s v="Valid"/>
  </r>
  <r>
    <s v="USR-100370"/>
    <d v="2025-01-08T00:00:00"/>
    <x v="0"/>
    <x v="0"/>
    <x v="1"/>
    <x v="3"/>
    <x v="2"/>
    <n v="1"/>
    <n v="1"/>
    <n v="1"/>
    <n v="0"/>
    <n v="0"/>
    <n v="1"/>
    <n v="0"/>
    <m/>
    <n v="80.8"/>
    <m/>
    <s v="Unique"/>
    <s v="Valid"/>
  </r>
  <r>
    <s v="USR-100371"/>
    <d v="2025-03-14T00:00:00"/>
    <x v="0"/>
    <x v="2"/>
    <x v="1"/>
    <x v="0"/>
    <x v="1"/>
    <n v="0"/>
    <n v="0"/>
    <n v="0"/>
    <n v="0"/>
    <n v="0"/>
    <n v="0"/>
    <n v="0"/>
    <m/>
    <n v="32.799999999999997"/>
    <m/>
    <s v="Unique"/>
    <s v="Valid"/>
  </r>
  <r>
    <s v="USR-100372"/>
    <d v="2025-04-29T00:00:00"/>
    <x v="0"/>
    <x v="0"/>
    <x v="0"/>
    <x v="2"/>
    <x v="2"/>
    <n v="1"/>
    <n v="0"/>
    <n v="0"/>
    <n v="0"/>
    <n v="0"/>
    <n v="0"/>
    <n v="0"/>
    <m/>
    <n v="56"/>
    <m/>
    <s v="Unique"/>
    <s v="Valid"/>
  </r>
  <r>
    <s v="USR-100373"/>
    <d v="2025-05-01T00:00:00"/>
    <x v="0"/>
    <x v="2"/>
    <x v="0"/>
    <x v="4"/>
    <x v="1"/>
    <n v="1"/>
    <n v="0"/>
    <n v="0"/>
    <n v="0"/>
    <n v="0"/>
    <n v="0"/>
    <n v="0"/>
    <m/>
    <n v="76.400000000000006"/>
    <m/>
    <s v="Unique"/>
    <s v="Valid"/>
  </r>
  <r>
    <s v="USR-100374"/>
    <d v="2025-03-19T00:00:00"/>
    <x v="0"/>
    <x v="0"/>
    <x v="1"/>
    <x v="3"/>
    <x v="1"/>
    <n v="1"/>
    <n v="0"/>
    <n v="0"/>
    <n v="0"/>
    <n v="0"/>
    <n v="0"/>
    <n v="0"/>
    <m/>
    <n v="28.5"/>
    <m/>
    <s v="Unique"/>
    <s v="Valid"/>
  </r>
  <r>
    <s v="USR-100375"/>
    <d v="2025-05-01T00:00:00"/>
    <x v="0"/>
    <x v="3"/>
    <x v="0"/>
    <x v="4"/>
    <x v="0"/>
    <n v="1"/>
    <n v="1"/>
    <n v="1"/>
    <n v="0"/>
    <n v="0"/>
    <n v="0"/>
    <n v="0"/>
    <m/>
    <n v="48.3"/>
    <m/>
    <s v="Unique"/>
    <s v="Valid"/>
  </r>
  <r>
    <s v="USR-100376"/>
    <d v="2025-03-14T00:00:00"/>
    <x v="0"/>
    <x v="1"/>
    <x v="1"/>
    <x v="1"/>
    <x v="1"/>
    <n v="1"/>
    <n v="1"/>
    <n v="0"/>
    <n v="0"/>
    <n v="0"/>
    <n v="0"/>
    <n v="0"/>
    <m/>
    <n v="43.4"/>
    <m/>
    <s v="Unique"/>
    <s v="Valid"/>
  </r>
  <r>
    <s v="USR-100377"/>
    <d v="2025-03-23T00:00:00"/>
    <x v="0"/>
    <x v="0"/>
    <x v="1"/>
    <x v="2"/>
    <x v="1"/>
    <n v="0"/>
    <n v="0"/>
    <n v="0"/>
    <n v="0"/>
    <n v="0"/>
    <n v="0"/>
    <n v="0"/>
    <m/>
    <n v="43"/>
    <m/>
    <s v="Unique"/>
    <s v="Valid"/>
  </r>
  <r>
    <s v="USR-100378"/>
    <d v="2025-02-08T00:00:00"/>
    <x v="0"/>
    <x v="2"/>
    <x v="1"/>
    <x v="3"/>
    <x v="0"/>
    <n v="1"/>
    <n v="1"/>
    <n v="1"/>
    <n v="0"/>
    <n v="0"/>
    <n v="0"/>
    <n v="0"/>
    <m/>
    <n v="91.8"/>
    <m/>
    <s v="Unique"/>
    <s v="Valid"/>
  </r>
  <r>
    <s v="USR-100379"/>
    <d v="2025-04-15T00:00:00"/>
    <x v="0"/>
    <x v="1"/>
    <x v="2"/>
    <x v="2"/>
    <x v="0"/>
    <n v="1"/>
    <n v="0"/>
    <n v="0"/>
    <n v="0"/>
    <n v="0"/>
    <n v="1"/>
    <n v="0"/>
    <m/>
    <n v="69.3"/>
    <m/>
    <s v="Unique"/>
    <s v="Valid"/>
  </r>
  <r>
    <s v="USR-100380"/>
    <d v="2025-01-03T00:00:00"/>
    <x v="0"/>
    <x v="3"/>
    <x v="0"/>
    <x v="2"/>
    <x v="0"/>
    <n v="1"/>
    <n v="0"/>
    <n v="0"/>
    <n v="0"/>
    <n v="0"/>
    <n v="0"/>
    <n v="0"/>
    <m/>
    <n v="58.9"/>
    <m/>
    <s v="Unique"/>
    <s v="Valid"/>
  </r>
  <r>
    <s v="USR-100381"/>
    <d v="2025-03-23T00:00:00"/>
    <x v="0"/>
    <x v="1"/>
    <x v="1"/>
    <x v="4"/>
    <x v="1"/>
    <n v="1"/>
    <n v="1"/>
    <n v="1"/>
    <n v="0"/>
    <n v="0"/>
    <n v="0"/>
    <n v="0"/>
    <m/>
    <n v="76"/>
    <m/>
    <s v="Unique"/>
    <s v="Valid"/>
  </r>
  <r>
    <s v="USR-100382"/>
    <d v="2025-05-27T00:00:00"/>
    <x v="0"/>
    <x v="3"/>
    <x v="1"/>
    <x v="3"/>
    <x v="2"/>
    <n v="1"/>
    <n v="0"/>
    <n v="0"/>
    <n v="0"/>
    <n v="0"/>
    <n v="0"/>
    <n v="0"/>
    <m/>
    <n v="46"/>
    <m/>
    <s v="Unique"/>
    <s v="Valid"/>
  </r>
  <r>
    <s v="USR-100383"/>
    <d v="2025-04-30T00:00:00"/>
    <x v="0"/>
    <x v="2"/>
    <x v="1"/>
    <x v="1"/>
    <x v="1"/>
    <n v="1"/>
    <n v="0"/>
    <n v="0"/>
    <n v="0"/>
    <n v="0"/>
    <n v="0"/>
    <n v="0"/>
    <m/>
    <n v="54.1"/>
    <m/>
    <s v="Unique"/>
    <s v="Valid"/>
  </r>
  <r>
    <s v="USR-100384"/>
    <d v="2025-03-07T00:00:00"/>
    <x v="0"/>
    <x v="1"/>
    <x v="1"/>
    <x v="4"/>
    <x v="0"/>
    <n v="1"/>
    <n v="0"/>
    <n v="0"/>
    <n v="0"/>
    <n v="0"/>
    <n v="0"/>
    <n v="0"/>
    <m/>
    <n v="82.4"/>
    <m/>
    <s v="Unique"/>
    <s v="Valid"/>
  </r>
  <r>
    <s v="USR-100385"/>
    <d v="2025-05-10T00:00:00"/>
    <x v="0"/>
    <x v="3"/>
    <x v="1"/>
    <x v="1"/>
    <x v="0"/>
    <n v="1"/>
    <n v="1"/>
    <n v="1"/>
    <n v="0"/>
    <n v="0"/>
    <n v="0"/>
    <n v="0"/>
    <m/>
    <n v="71.900000000000006"/>
    <m/>
    <s v="Unique"/>
    <s v="Valid"/>
  </r>
  <r>
    <s v="USR-100386"/>
    <d v="2025-05-22T00:00:00"/>
    <x v="0"/>
    <x v="2"/>
    <x v="1"/>
    <x v="1"/>
    <x v="1"/>
    <n v="0"/>
    <n v="0"/>
    <n v="0"/>
    <n v="0"/>
    <n v="0"/>
    <n v="2"/>
    <n v="0"/>
    <m/>
    <n v="38"/>
    <m/>
    <s v="Unique"/>
    <s v="Valid"/>
  </r>
  <r>
    <s v="USR-100387"/>
    <d v="2025-02-09T00:00:00"/>
    <x v="0"/>
    <x v="2"/>
    <x v="1"/>
    <x v="2"/>
    <x v="1"/>
    <n v="1"/>
    <n v="1"/>
    <n v="0"/>
    <n v="0"/>
    <n v="0"/>
    <n v="0"/>
    <n v="0"/>
    <m/>
    <n v="43.7"/>
    <m/>
    <s v="Unique"/>
    <s v="Valid"/>
  </r>
  <r>
    <s v="USR-100388"/>
    <d v="2025-05-30T00:00:00"/>
    <x v="0"/>
    <x v="1"/>
    <x v="0"/>
    <x v="1"/>
    <x v="2"/>
    <n v="1"/>
    <n v="0"/>
    <n v="0"/>
    <n v="0"/>
    <n v="0"/>
    <n v="1"/>
    <n v="0"/>
    <m/>
    <n v="32.200000000000003"/>
    <m/>
    <s v="Unique"/>
    <s v="Valid"/>
  </r>
  <r>
    <s v="USR-100389"/>
    <d v="2025-05-01T00:00:00"/>
    <x v="0"/>
    <x v="3"/>
    <x v="1"/>
    <x v="1"/>
    <x v="2"/>
    <n v="1"/>
    <n v="0"/>
    <n v="0"/>
    <n v="0"/>
    <n v="0"/>
    <n v="0"/>
    <n v="0"/>
    <m/>
    <n v="61"/>
    <m/>
    <s v="Unique"/>
    <s v="Valid"/>
  </r>
  <r>
    <s v="USR-100390"/>
    <d v="2025-01-03T00:00:00"/>
    <x v="0"/>
    <x v="3"/>
    <x v="1"/>
    <x v="2"/>
    <x v="1"/>
    <n v="1"/>
    <n v="0"/>
    <n v="0"/>
    <n v="0"/>
    <n v="0"/>
    <n v="0"/>
    <n v="0"/>
    <m/>
    <n v="49"/>
    <m/>
    <s v="Unique"/>
    <s v="Valid"/>
  </r>
  <r>
    <s v="USR-100391"/>
    <d v="2025-02-13T00:00:00"/>
    <x v="0"/>
    <x v="2"/>
    <x v="1"/>
    <x v="1"/>
    <x v="1"/>
    <n v="0"/>
    <n v="0"/>
    <n v="0"/>
    <n v="0"/>
    <n v="0"/>
    <n v="0"/>
    <n v="0"/>
    <m/>
    <n v="48.1"/>
    <m/>
    <s v="Unique"/>
    <s v="Valid"/>
  </r>
  <r>
    <s v="USR-100392"/>
    <d v="2025-01-14T00:00:00"/>
    <x v="0"/>
    <x v="3"/>
    <x v="0"/>
    <x v="1"/>
    <x v="1"/>
    <n v="0"/>
    <n v="0"/>
    <n v="0"/>
    <n v="0"/>
    <n v="0"/>
    <n v="2"/>
    <n v="0"/>
    <m/>
    <n v="46.3"/>
    <m/>
    <s v="Unique"/>
    <s v="Valid"/>
  </r>
  <r>
    <s v="USR-100393"/>
    <d v="2025-02-24T00:00:00"/>
    <x v="0"/>
    <x v="0"/>
    <x v="1"/>
    <x v="3"/>
    <x v="1"/>
    <n v="0"/>
    <n v="0"/>
    <n v="0"/>
    <n v="0"/>
    <n v="0"/>
    <n v="0"/>
    <n v="0"/>
    <m/>
    <n v="64"/>
    <m/>
    <s v="Unique"/>
    <s v="Valid"/>
  </r>
  <r>
    <s v="USR-100394"/>
    <d v="2025-05-16T00:00:00"/>
    <x v="0"/>
    <x v="1"/>
    <x v="0"/>
    <x v="1"/>
    <x v="0"/>
    <n v="1"/>
    <n v="1"/>
    <n v="0"/>
    <n v="0"/>
    <n v="0"/>
    <n v="0"/>
    <n v="0"/>
    <m/>
    <n v="56.2"/>
    <m/>
    <s v="Unique"/>
    <s v="Valid"/>
  </r>
  <r>
    <s v="USR-100395"/>
    <d v="2025-04-29T00:00:00"/>
    <x v="0"/>
    <x v="0"/>
    <x v="1"/>
    <x v="2"/>
    <x v="1"/>
    <n v="1"/>
    <n v="1"/>
    <n v="1"/>
    <n v="0"/>
    <n v="0"/>
    <n v="0"/>
    <n v="0"/>
    <m/>
    <n v="77.5"/>
    <m/>
    <s v="Unique"/>
    <s v="Valid"/>
  </r>
  <r>
    <s v="USR-100396"/>
    <d v="2025-04-30T00:00:00"/>
    <x v="0"/>
    <x v="3"/>
    <x v="0"/>
    <x v="0"/>
    <x v="0"/>
    <n v="1"/>
    <n v="0"/>
    <n v="0"/>
    <n v="0"/>
    <n v="0"/>
    <n v="0"/>
    <n v="0"/>
    <m/>
    <n v="59.9"/>
    <m/>
    <s v="Unique"/>
    <s v="Valid"/>
  </r>
  <r>
    <s v="USR-100397"/>
    <d v="2025-01-09T00:00:00"/>
    <x v="0"/>
    <x v="3"/>
    <x v="0"/>
    <x v="1"/>
    <x v="1"/>
    <n v="1"/>
    <n v="1"/>
    <n v="0"/>
    <n v="0"/>
    <n v="0"/>
    <n v="0"/>
    <n v="0"/>
    <m/>
    <n v="63"/>
    <m/>
    <s v="Unique"/>
    <s v="Valid"/>
  </r>
  <r>
    <s v="USR-100398"/>
    <d v="2025-04-25T00:00:00"/>
    <x v="0"/>
    <x v="3"/>
    <x v="1"/>
    <x v="1"/>
    <x v="1"/>
    <n v="1"/>
    <n v="1"/>
    <n v="0"/>
    <n v="0"/>
    <n v="0"/>
    <n v="0"/>
    <n v="0"/>
    <m/>
    <n v="76.5"/>
    <m/>
    <s v="Unique"/>
    <s v="Valid"/>
  </r>
  <r>
    <s v="USR-100399"/>
    <d v="2025-03-12T00:00:00"/>
    <x v="0"/>
    <x v="0"/>
    <x v="0"/>
    <x v="2"/>
    <x v="1"/>
    <n v="1"/>
    <n v="0"/>
    <n v="0"/>
    <n v="0"/>
    <n v="0"/>
    <n v="0"/>
    <n v="0"/>
    <m/>
    <n v="39.700000000000003"/>
    <m/>
    <s v="Unique"/>
    <s v="Valid"/>
  </r>
  <r>
    <s v="USR-100400"/>
    <d v="2025-03-20T00:00:00"/>
    <x v="0"/>
    <x v="0"/>
    <x v="1"/>
    <x v="1"/>
    <x v="1"/>
    <n v="1"/>
    <n v="1"/>
    <n v="0"/>
    <n v="0"/>
    <n v="0"/>
    <n v="0"/>
    <n v="0"/>
    <m/>
    <n v="80.2"/>
    <m/>
    <s v="Unique"/>
    <s v="Valid"/>
  </r>
  <r>
    <s v="USR-100401"/>
    <d v="2025-02-18T00:00:00"/>
    <x v="0"/>
    <x v="1"/>
    <x v="1"/>
    <x v="2"/>
    <x v="1"/>
    <n v="1"/>
    <n v="0"/>
    <n v="0"/>
    <n v="0"/>
    <n v="0"/>
    <n v="0"/>
    <n v="0"/>
    <m/>
    <n v="72.2"/>
    <m/>
    <s v="Unique"/>
    <s v="Valid"/>
  </r>
  <r>
    <s v="USR-100402"/>
    <d v="2025-01-22T00:00:00"/>
    <x v="0"/>
    <x v="0"/>
    <x v="1"/>
    <x v="4"/>
    <x v="0"/>
    <n v="0"/>
    <n v="0"/>
    <n v="0"/>
    <n v="0"/>
    <n v="0"/>
    <n v="0"/>
    <n v="0"/>
    <m/>
    <n v="56"/>
    <m/>
    <s v="Unique"/>
    <s v="Valid"/>
  </r>
  <r>
    <s v="USR-100403"/>
    <d v="2025-02-08T00:00:00"/>
    <x v="0"/>
    <x v="1"/>
    <x v="1"/>
    <x v="0"/>
    <x v="0"/>
    <n v="1"/>
    <n v="1"/>
    <n v="1"/>
    <n v="0"/>
    <n v="0"/>
    <n v="0"/>
    <n v="0"/>
    <m/>
    <n v="69.099999999999994"/>
    <m/>
    <s v="Unique"/>
    <s v="Valid"/>
  </r>
  <r>
    <s v="USR-100404"/>
    <d v="2025-01-20T00:00:00"/>
    <x v="0"/>
    <x v="0"/>
    <x v="1"/>
    <x v="0"/>
    <x v="2"/>
    <n v="0"/>
    <n v="0"/>
    <n v="0"/>
    <n v="0"/>
    <n v="0"/>
    <n v="1"/>
    <n v="0"/>
    <m/>
    <n v="70.599999999999994"/>
    <m/>
    <s v="Unique"/>
    <s v="Valid"/>
  </r>
  <r>
    <s v="USR-100405"/>
    <d v="2025-04-22T00:00:00"/>
    <x v="0"/>
    <x v="1"/>
    <x v="0"/>
    <x v="3"/>
    <x v="1"/>
    <n v="1"/>
    <n v="0"/>
    <n v="0"/>
    <n v="0"/>
    <n v="0"/>
    <n v="0"/>
    <n v="0"/>
    <m/>
    <n v="57.9"/>
    <m/>
    <s v="Unique"/>
    <s v="Valid"/>
  </r>
  <r>
    <s v="USR-100406"/>
    <d v="2025-01-22T00:00:00"/>
    <x v="0"/>
    <x v="2"/>
    <x v="1"/>
    <x v="1"/>
    <x v="0"/>
    <n v="1"/>
    <n v="1"/>
    <n v="0"/>
    <n v="0"/>
    <n v="0"/>
    <n v="0"/>
    <n v="0"/>
    <m/>
    <n v="41.4"/>
    <m/>
    <s v="Unique"/>
    <s v="Valid"/>
  </r>
  <r>
    <s v="USR-100407"/>
    <d v="2025-05-11T00:00:00"/>
    <x v="0"/>
    <x v="1"/>
    <x v="1"/>
    <x v="1"/>
    <x v="0"/>
    <n v="1"/>
    <n v="0"/>
    <n v="0"/>
    <n v="0"/>
    <n v="0"/>
    <n v="0"/>
    <n v="0"/>
    <m/>
    <n v="60.9"/>
    <m/>
    <s v="Unique"/>
    <s v="Valid"/>
  </r>
  <r>
    <s v="USR-100408"/>
    <d v="2025-02-06T00:00:00"/>
    <x v="0"/>
    <x v="3"/>
    <x v="1"/>
    <x v="1"/>
    <x v="0"/>
    <n v="0"/>
    <n v="0"/>
    <n v="0"/>
    <n v="0"/>
    <n v="0"/>
    <n v="1"/>
    <n v="0"/>
    <m/>
    <n v="63.8"/>
    <m/>
    <s v="Unique"/>
    <s v="Valid"/>
  </r>
  <r>
    <s v="USR-100409"/>
    <d v="2025-02-21T00:00:00"/>
    <x v="0"/>
    <x v="0"/>
    <x v="0"/>
    <x v="1"/>
    <x v="2"/>
    <n v="1"/>
    <n v="0"/>
    <n v="0"/>
    <n v="0"/>
    <n v="0"/>
    <n v="0"/>
    <n v="0"/>
    <m/>
    <n v="79.2"/>
    <m/>
    <s v="Unique"/>
    <s v="Valid"/>
  </r>
  <r>
    <s v="USR-100410"/>
    <d v="2025-01-13T00:00:00"/>
    <x v="0"/>
    <x v="1"/>
    <x v="1"/>
    <x v="0"/>
    <x v="2"/>
    <n v="1"/>
    <n v="1"/>
    <n v="1"/>
    <n v="0"/>
    <n v="0"/>
    <n v="0"/>
    <n v="0"/>
    <m/>
    <n v="53.3"/>
    <m/>
    <s v="Unique"/>
    <s v="Valid"/>
  </r>
  <r>
    <s v="USR-100411"/>
    <d v="2025-03-07T00:00:00"/>
    <x v="0"/>
    <x v="0"/>
    <x v="1"/>
    <x v="3"/>
    <x v="2"/>
    <n v="1"/>
    <n v="1"/>
    <n v="1"/>
    <n v="1"/>
    <n v="2144.8200000000002"/>
    <n v="0"/>
    <n v="0"/>
    <n v="6"/>
    <n v="52.3"/>
    <m/>
    <s v="Unique"/>
    <s v="Valid"/>
  </r>
  <r>
    <s v="USR-100412"/>
    <d v="2025-02-26T00:00:00"/>
    <x v="0"/>
    <x v="1"/>
    <x v="0"/>
    <x v="1"/>
    <x v="0"/>
    <n v="1"/>
    <n v="1"/>
    <n v="0"/>
    <n v="0"/>
    <n v="0"/>
    <n v="0"/>
    <n v="0"/>
    <m/>
    <n v="62.4"/>
    <m/>
    <s v="Unique"/>
    <s v="Valid"/>
  </r>
  <r>
    <s v="USR-100413"/>
    <d v="2025-05-05T00:00:00"/>
    <x v="0"/>
    <x v="0"/>
    <x v="1"/>
    <x v="3"/>
    <x v="2"/>
    <n v="1"/>
    <n v="0"/>
    <n v="0"/>
    <n v="0"/>
    <n v="0"/>
    <n v="0"/>
    <n v="0"/>
    <m/>
    <n v="45.5"/>
    <m/>
    <s v="Unique"/>
    <s v="Valid"/>
  </r>
  <r>
    <s v="USR-100414"/>
    <d v="2025-01-08T00:00:00"/>
    <x v="0"/>
    <x v="2"/>
    <x v="0"/>
    <x v="1"/>
    <x v="0"/>
    <n v="0"/>
    <n v="0"/>
    <n v="0"/>
    <n v="0"/>
    <n v="0"/>
    <n v="1"/>
    <n v="0"/>
    <m/>
    <n v="72.599999999999994"/>
    <m/>
    <s v="Unique"/>
    <s v="Valid"/>
  </r>
  <r>
    <s v="USR-100415"/>
    <d v="2025-03-19T00:00:00"/>
    <x v="0"/>
    <x v="3"/>
    <x v="1"/>
    <x v="0"/>
    <x v="2"/>
    <n v="1"/>
    <n v="1"/>
    <n v="1"/>
    <n v="0"/>
    <n v="0"/>
    <n v="0"/>
    <n v="0"/>
    <m/>
    <n v="50.1"/>
    <m/>
    <s v="Unique"/>
    <s v="Valid"/>
  </r>
  <r>
    <s v="USR-100416"/>
    <d v="2025-01-30T00:00:00"/>
    <x v="0"/>
    <x v="2"/>
    <x v="0"/>
    <x v="2"/>
    <x v="1"/>
    <n v="1"/>
    <n v="1"/>
    <n v="1"/>
    <n v="0"/>
    <n v="0"/>
    <n v="2"/>
    <n v="0"/>
    <m/>
    <n v="58.1"/>
    <m/>
    <s v="Unique"/>
    <s v="Valid"/>
  </r>
  <r>
    <s v="USR-100417"/>
    <d v="2025-04-28T00:00:00"/>
    <x v="0"/>
    <x v="2"/>
    <x v="1"/>
    <x v="1"/>
    <x v="0"/>
    <n v="1"/>
    <n v="0"/>
    <n v="0"/>
    <n v="0"/>
    <n v="0"/>
    <n v="0"/>
    <n v="0"/>
    <m/>
    <n v="42.9"/>
    <m/>
    <s v="Unique"/>
    <s v="Valid"/>
  </r>
  <r>
    <s v="USR-100418"/>
    <d v="2025-03-07T00:00:00"/>
    <x v="0"/>
    <x v="0"/>
    <x v="1"/>
    <x v="3"/>
    <x v="0"/>
    <n v="0"/>
    <n v="0"/>
    <n v="0"/>
    <n v="0"/>
    <n v="0"/>
    <n v="0"/>
    <n v="0"/>
    <m/>
    <n v="69.7"/>
    <m/>
    <s v="Unique"/>
    <s v="Valid"/>
  </r>
  <r>
    <s v="USR-100419"/>
    <d v="2025-04-07T00:00:00"/>
    <x v="0"/>
    <x v="0"/>
    <x v="0"/>
    <x v="1"/>
    <x v="1"/>
    <n v="0"/>
    <n v="0"/>
    <n v="0"/>
    <n v="0"/>
    <n v="0"/>
    <n v="0"/>
    <n v="0"/>
    <m/>
    <n v="63.3"/>
    <m/>
    <s v="Unique"/>
    <s v="Valid"/>
  </r>
  <r>
    <s v="USR-100420"/>
    <d v="2025-05-08T00:00:00"/>
    <x v="0"/>
    <x v="0"/>
    <x v="0"/>
    <x v="1"/>
    <x v="2"/>
    <n v="1"/>
    <n v="0"/>
    <n v="0"/>
    <n v="0"/>
    <n v="0"/>
    <n v="0"/>
    <n v="0"/>
    <m/>
    <n v="71.2"/>
    <m/>
    <s v="Unique"/>
    <s v="Valid"/>
  </r>
  <r>
    <s v="USR-100421"/>
    <d v="2025-04-15T00:00:00"/>
    <x v="0"/>
    <x v="3"/>
    <x v="1"/>
    <x v="0"/>
    <x v="1"/>
    <n v="1"/>
    <n v="0"/>
    <n v="0"/>
    <n v="0"/>
    <n v="0"/>
    <n v="0"/>
    <n v="0"/>
    <m/>
    <n v="39.1"/>
    <m/>
    <s v="Unique"/>
    <s v="Valid"/>
  </r>
  <r>
    <s v="USR-100422"/>
    <d v="2025-04-20T00:00:00"/>
    <x v="0"/>
    <x v="2"/>
    <x v="0"/>
    <x v="4"/>
    <x v="1"/>
    <n v="1"/>
    <n v="0"/>
    <n v="0"/>
    <n v="0"/>
    <n v="0"/>
    <n v="0"/>
    <n v="0"/>
    <m/>
    <n v="42.6"/>
    <m/>
    <s v="Unique"/>
    <s v="Valid"/>
  </r>
  <r>
    <s v="USR-100423"/>
    <d v="2025-05-30T00:00:00"/>
    <x v="0"/>
    <x v="3"/>
    <x v="2"/>
    <x v="1"/>
    <x v="1"/>
    <n v="0"/>
    <n v="0"/>
    <n v="0"/>
    <n v="0"/>
    <n v="0"/>
    <n v="0"/>
    <n v="0"/>
    <m/>
    <n v="74.400000000000006"/>
    <m/>
    <s v="Unique"/>
    <s v="Valid"/>
  </r>
  <r>
    <s v="USR-100424"/>
    <d v="2025-02-13T00:00:00"/>
    <x v="0"/>
    <x v="1"/>
    <x v="1"/>
    <x v="3"/>
    <x v="1"/>
    <n v="0"/>
    <n v="0"/>
    <n v="0"/>
    <n v="0"/>
    <n v="0"/>
    <n v="0"/>
    <n v="0"/>
    <m/>
    <n v="55.6"/>
    <m/>
    <s v="Unique"/>
    <s v="Valid"/>
  </r>
  <r>
    <s v="USR-100425"/>
    <d v="2025-04-28T00:00:00"/>
    <x v="0"/>
    <x v="1"/>
    <x v="1"/>
    <x v="4"/>
    <x v="1"/>
    <n v="1"/>
    <n v="0"/>
    <n v="0"/>
    <n v="0"/>
    <n v="0"/>
    <n v="0"/>
    <n v="0"/>
    <m/>
    <n v="35.799999999999997"/>
    <m/>
    <s v="Unique"/>
    <s v="Valid"/>
  </r>
  <r>
    <s v="USR-100426"/>
    <d v="2025-02-12T00:00:00"/>
    <x v="0"/>
    <x v="0"/>
    <x v="1"/>
    <x v="2"/>
    <x v="0"/>
    <n v="1"/>
    <n v="0"/>
    <n v="0"/>
    <n v="0"/>
    <n v="0"/>
    <n v="1"/>
    <n v="0"/>
    <m/>
    <n v="28.2"/>
    <m/>
    <s v="Unique"/>
    <s v="Valid"/>
  </r>
  <r>
    <s v="USR-100427"/>
    <d v="2025-02-12T00:00:00"/>
    <x v="0"/>
    <x v="2"/>
    <x v="1"/>
    <x v="1"/>
    <x v="1"/>
    <n v="0"/>
    <n v="0"/>
    <n v="0"/>
    <n v="0"/>
    <n v="0"/>
    <n v="2"/>
    <n v="0"/>
    <m/>
    <n v="44.4"/>
    <m/>
    <s v="Unique"/>
    <s v="Valid"/>
  </r>
  <r>
    <s v="USR-100428"/>
    <d v="2025-03-27T00:00:00"/>
    <x v="0"/>
    <x v="0"/>
    <x v="1"/>
    <x v="0"/>
    <x v="2"/>
    <n v="1"/>
    <n v="0"/>
    <n v="0"/>
    <n v="0"/>
    <n v="0"/>
    <n v="0"/>
    <n v="0"/>
    <m/>
    <n v="49.9"/>
    <m/>
    <s v="Unique"/>
    <s v="Valid"/>
  </r>
  <r>
    <s v="USR-100429"/>
    <d v="2025-04-12T00:00:00"/>
    <x v="0"/>
    <x v="3"/>
    <x v="0"/>
    <x v="1"/>
    <x v="1"/>
    <n v="0"/>
    <n v="0"/>
    <n v="0"/>
    <n v="0"/>
    <n v="0"/>
    <n v="0"/>
    <n v="0"/>
    <m/>
    <n v="40.4"/>
    <m/>
    <s v="Unique"/>
    <s v="Valid"/>
  </r>
  <r>
    <s v="USR-100430"/>
    <d v="2025-01-30T00:00:00"/>
    <x v="0"/>
    <x v="1"/>
    <x v="1"/>
    <x v="4"/>
    <x v="1"/>
    <n v="0"/>
    <n v="0"/>
    <n v="0"/>
    <n v="0"/>
    <n v="0"/>
    <n v="0"/>
    <n v="0"/>
    <m/>
    <n v="60.4"/>
    <m/>
    <s v="Unique"/>
    <s v="Valid"/>
  </r>
  <r>
    <s v="USR-100431"/>
    <d v="2025-05-28T00:00:00"/>
    <x v="0"/>
    <x v="1"/>
    <x v="1"/>
    <x v="4"/>
    <x v="2"/>
    <n v="0"/>
    <n v="0"/>
    <n v="0"/>
    <n v="0"/>
    <n v="0"/>
    <n v="1"/>
    <n v="0"/>
    <m/>
    <n v="52.4"/>
    <m/>
    <s v="Unique"/>
    <s v="Valid"/>
  </r>
  <r>
    <s v="USR-100432"/>
    <d v="2025-05-01T00:00:00"/>
    <x v="0"/>
    <x v="3"/>
    <x v="1"/>
    <x v="1"/>
    <x v="0"/>
    <n v="1"/>
    <n v="1"/>
    <n v="0"/>
    <n v="0"/>
    <n v="0"/>
    <n v="0"/>
    <n v="0"/>
    <m/>
    <n v="48.8"/>
    <m/>
    <s v="Unique"/>
    <s v="Valid"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m/>
    <s v="Duplicate"/>
    <s v="Valid"/>
  </r>
  <r>
    <s v="USR-100434"/>
    <d v="2025-01-10T00:00:00"/>
    <x v="0"/>
    <x v="3"/>
    <x v="0"/>
    <x v="4"/>
    <x v="0"/>
    <n v="0"/>
    <n v="0"/>
    <n v="0"/>
    <n v="0"/>
    <n v="0"/>
    <n v="0"/>
    <n v="0"/>
    <m/>
    <n v="68.2"/>
    <m/>
    <s v="Unique"/>
    <s v="Valid"/>
  </r>
  <r>
    <s v="USR-100435"/>
    <d v="2025-05-02T00:00:00"/>
    <x v="0"/>
    <x v="0"/>
    <x v="0"/>
    <x v="1"/>
    <x v="0"/>
    <n v="1"/>
    <n v="0"/>
    <n v="0"/>
    <n v="0"/>
    <n v="0"/>
    <n v="0"/>
    <n v="0"/>
    <m/>
    <n v="65.599999999999994"/>
    <m/>
    <s v="Unique"/>
    <s v="Valid"/>
  </r>
  <r>
    <s v="USR-100436"/>
    <d v="2025-05-26T00:00:00"/>
    <x v="0"/>
    <x v="0"/>
    <x v="0"/>
    <x v="1"/>
    <x v="0"/>
    <n v="1"/>
    <n v="0"/>
    <n v="0"/>
    <n v="0"/>
    <n v="0"/>
    <n v="0"/>
    <n v="0"/>
    <m/>
    <n v="65.400000000000006"/>
    <m/>
    <s v="Unique"/>
    <s v="Valid"/>
  </r>
  <r>
    <s v="USR-100437"/>
    <d v="2025-01-12T00:00:00"/>
    <x v="0"/>
    <x v="1"/>
    <x v="1"/>
    <x v="1"/>
    <x v="0"/>
    <n v="1"/>
    <n v="0"/>
    <n v="0"/>
    <n v="0"/>
    <n v="0"/>
    <n v="0"/>
    <n v="0"/>
    <m/>
    <n v="78.900000000000006"/>
    <m/>
    <s v="Unique"/>
    <s v="Valid"/>
  </r>
  <r>
    <s v="USR-100438"/>
    <d v="2025-05-27T00:00:00"/>
    <x v="0"/>
    <x v="2"/>
    <x v="1"/>
    <x v="2"/>
    <x v="0"/>
    <n v="1"/>
    <n v="1"/>
    <n v="1"/>
    <n v="0"/>
    <n v="0"/>
    <n v="0"/>
    <n v="0"/>
    <m/>
    <n v="78.3"/>
    <m/>
    <s v="Unique"/>
    <s v="Valid"/>
  </r>
  <r>
    <s v="USR-100439"/>
    <d v="2025-05-22T00:00:00"/>
    <x v="0"/>
    <x v="1"/>
    <x v="0"/>
    <x v="0"/>
    <x v="0"/>
    <n v="0"/>
    <n v="0"/>
    <n v="0"/>
    <n v="0"/>
    <n v="0"/>
    <n v="0"/>
    <n v="0"/>
    <m/>
    <n v="49.2"/>
    <m/>
    <s v="Unique"/>
    <s v="Valid"/>
  </r>
  <r>
    <s v="USR-100440"/>
    <d v="2025-04-01T00:00:00"/>
    <x v="0"/>
    <x v="2"/>
    <x v="1"/>
    <x v="4"/>
    <x v="2"/>
    <n v="1"/>
    <n v="1"/>
    <n v="1"/>
    <n v="1"/>
    <n v="1518.83"/>
    <n v="0"/>
    <n v="0"/>
    <n v="9"/>
    <n v="32.200000000000003"/>
    <m/>
    <s v="Unique"/>
    <s v="Valid"/>
  </r>
  <r>
    <s v="USR-100441"/>
    <d v="2025-01-22T00:00:00"/>
    <x v="0"/>
    <x v="0"/>
    <x v="1"/>
    <x v="2"/>
    <x v="0"/>
    <n v="1"/>
    <n v="1"/>
    <n v="1"/>
    <n v="0"/>
    <n v="0"/>
    <n v="0"/>
    <n v="0"/>
    <m/>
    <n v="46.3"/>
    <m/>
    <s v="Unique"/>
    <s v="Valid"/>
  </r>
  <r>
    <s v="USR-100442"/>
    <d v="2025-05-24T00:00:00"/>
    <x v="0"/>
    <x v="2"/>
    <x v="1"/>
    <x v="2"/>
    <x v="0"/>
    <n v="1"/>
    <n v="0"/>
    <n v="0"/>
    <n v="0"/>
    <n v="0"/>
    <n v="0"/>
    <n v="0"/>
    <m/>
    <n v="55.7"/>
    <m/>
    <s v="Unique"/>
    <s v="Valid"/>
  </r>
  <r>
    <s v="USR-100443"/>
    <d v="2025-04-25T00:00:00"/>
    <x v="0"/>
    <x v="3"/>
    <x v="1"/>
    <x v="4"/>
    <x v="1"/>
    <n v="1"/>
    <n v="0"/>
    <n v="0"/>
    <n v="0"/>
    <n v="0"/>
    <n v="0"/>
    <n v="0"/>
    <m/>
    <n v="44.5"/>
    <m/>
    <s v="Unique"/>
    <s v="Valid"/>
  </r>
  <r>
    <s v="USR-100444"/>
    <d v="2025-04-12T00:00:00"/>
    <x v="0"/>
    <x v="1"/>
    <x v="0"/>
    <x v="3"/>
    <x v="1"/>
    <n v="1"/>
    <n v="1"/>
    <n v="1"/>
    <n v="0"/>
    <n v="0"/>
    <n v="1"/>
    <n v="0"/>
    <m/>
    <n v="47.9"/>
    <m/>
    <s v="Unique"/>
    <s v="Valid"/>
  </r>
  <r>
    <s v="USR-100445"/>
    <d v="2025-04-23T00:00:00"/>
    <x v="0"/>
    <x v="3"/>
    <x v="1"/>
    <x v="1"/>
    <x v="2"/>
    <n v="1"/>
    <n v="0"/>
    <n v="0"/>
    <n v="0"/>
    <n v="0"/>
    <n v="0"/>
    <n v="0"/>
    <m/>
    <n v="43.9"/>
    <m/>
    <s v="Unique"/>
    <s v="Valid"/>
  </r>
  <r>
    <s v="USR-100446"/>
    <d v="2025-03-30T00:00:00"/>
    <x v="0"/>
    <x v="0"/>
    <x v="0"/>
    <x v="3"/>
    <x v="1"/>
    <n v="1"/>
    <n v="1"/>
    <n v="1"/>
    <n v="0"/>
    <n v="0"/>
    <n v="1"/>
    <n v="0"/>
    <m/>
    <n v="67.7"/>
    <m/>
    <s v="Unique"/>
    <s v="Valid"/>
  </r>
  <r>
    <s v="USR-100447"/>
    <d v="2025-01-18T00:00:00"/>
    <x v="0"/>
    <x v="2"/>
    <x v="1"/>
    <x v="3"/>
    <x v="0"/>
    <n v="0"/>
    <n v="0"/>
    <n v="0"/>
    <n v="0"/>
    <n v="0"/>
    <n v="0"/>
    <n v="0"/>
    <m/>
    <n v="43.7"/>
    <m/>
    <s v="Unique"/>
    <s v="Valid"/>
  </r>
  <r>
    <s v="USR-100448"/>
    <d v="2025-04-09T00:00:00"/>
    <x v="0"/>
    <x v="2"/>
    <x v="1"/>
    <x v="1"/>
    <x v="1"/>
    <n v="1"/>
    <n v="0"/>
    <n v="0"/>
    <n v="0"/>
    <n v="0"/>
    <n v="0"/>
    <n v="0"/>
    <m/>
    <n v="68.8"/>
    <m/>
    <s v="Unique"/>
    <s v="Valid"/>
  </r>
  <r>
    <s v="USR-100449"/>
    <d v="2025-01-11T00:00:00"/>
    <x v="0"/>
    <x v="1"/>
    <x v="1"/>
    <x v="1"/>
    <x v="1"/>
    <n v="1"/>
    <n v="1"/>
    <n v="1"/>
    <n v="0"/>
    <n v="0"/>
    <n v="0"/>
    <n v="0"/>
    <m/>
    <n v="59.2"/>
    <m/>
    <s v="Unique"/>
    <s v="Valid"/>
  </r>
  <r>
    <s v="USR-100450"/>
    <d v="2025-03-05T00:00:00"/>
    <x v="0"/>
    <x v="2"/>
    <x v="1"/>
    <x v="2"/>
    <x v="1"/>
    <n v="1"/>
    <n v="0"/>
    <n v="0"/>
    <n v="0"/>
    <n v="0"/>
    <n v="0"/>
    <n v="0"/>
    <m/>
    <n v="48.6"/>
    <m/>
    <s v="Unique"/>
    <s v="Valid"/>
  </r>
  <r>
    <s v="USR-100451"/>
    <d v="2025-02-17T00:00:00"/>
    <x v="0"/>
    <x v="0"/>
    <x v="2"/>
    <x v="4"/>
    <x v="1"/>
    <n v="1"/>
    <n v="1"/>
    <n v="1"/>
    <n v="0"/>
    <n v="0"/>
    <n v="0"/>
    <n v="0"/>
    <m/>
    <n v="56.9"/>
    <m/>
    <s v="Unique"/>
    <s v="Valid"/>
  </r>
  <r>
    <s v="USR-100452"/>
    <d v="2025-05-07T00:00:00"/>
    <x v="0"/>
    <x v="0"/>
    <x v="0"/>
    <x v="2"/>
    <x v="1"/>
    <n v="0"/>
    <n v="0"/>
    <n v="0"/>
    <n v="0"/>
    <n v="0"/>
    <n v="0"/>
    <n v="0"/>
    <m/>
    <n v="55.8"/>
    <m/>
    <s v="Unique"/>
    <s v="Valid"/>
  </r>
  <r>
    <s v="USR-100453"/>
    <d v="2025-04-10T00:00:00"/>
    <x v="0"/>
    <x v="2"/>
    <x v="1"/>
    <x v="2"/>
    <x v="2"/>
    <n v="0"/>
    <n v="0"/>
    <n v="0"/>
    <n v="0"/>
    <n v="0"/>
    <n v="0"/>
    <n v="0"/>
    <m/>
    <n v="63.3"/>
    <m/>
    <s v="Unique"/>
    <s v="Valid"/>
  </r>
  <r>
    <s v="USR-100454"/>
    <d v="2025-04-21T00:00:00"/>
    <x v="0"/>
    <x v="0"/>
    <x v="1"/>
    <x v="4"/>
    <x v="1"/>
    <n v="1"/>
    <n v="0"/>
    <n v="0"/>
    <n v="0"/>
    <n v="0"/>
    <n v="0"/>
    <n v="0"/>
    <m/>
    <n v="52.2"/>
    <m/>
    <s v="Unique"/>
    <s v="Valid"/>
  </r>
  <r>
    <s v="USR-100455"/>
    <d v="2025-02-25T00:00:00"/>
    <x v="0"/>
    <x v="3"/>
    <x v="2"/>
    <x v="5"/>
    <x v="1"/>
    <n v="0"/>
    <n v="0"/>
    <n v="0"/>
    <n v="0"/>
    <n v="0"/>
    <n v="0"/>
    <n v="0"/>
    <m/>
    <n v="51.5"/>
    <m/>
    <s v="Unique"/>
    <s v="Valid"/>
  </r>
  <r>
    <s v="USR-100456"/>
    <d v="2025-05-14T00:00:00"/>
    <x v="0"/>
    <x v="2"/>
    <x v="0"/>
    <x v="1"/>
    <x v="1"/>
    <n v="0"/>
    <n v="0"/>
    <n v="0"/>
    <n v="0"/>
    <n v="0"/>
    <n v="0"/>
    <n v="0"/>
    <m/>
    <n v="50.3"/>
    <m/>
    <s v="Unique"/>
    <s v="Valid"/>
  </r>
  <r>
    <s v="USR-100457"/>
    <d v="2025-03-10T00:00:00"/>
    <x v="0"/>
    <x v="0"/>
    <x v="1"/>
    <x v="0"/>
    <x v="0"/>
    <n v="1"/>
    <n v="0"/>
    <n v="0"/>
    <n v="0"/>
    <n v="0"/>
    <n v="1"/>
    <n v="0"/>
    <m/>
    <n v="35.4"/>
    <m/>
    <s v="Unique"/>
    <s v="Valid"/>
  </r>
  <r>
    <s v="USR-100458"/>
    <d v="2025-01-31T00:00:00"/>
    <x v="0"/>
    <x v="1"/>
    <x v="0"/>
    <x v="1"/>
    <x v="2"/>
    <n v="1"/>
    <n v="0"/>
    <n v="0"/>
    <n v="0"/>
    <n v="0"/>
    <n v="1"/>
    <n v="0"/>
    <m/>
    <n v="54.1"/>
    <m/>
    <s v="Unique"/>
    <s v="Valid"/>
  </r>
  <r>
    <s v="USR-100459"/>
    <d v="2025-01-17T00:00:00"/>
    <x v="0"/>
    <x v="3"/>
    <x v="1"/>
    <x v="1"/>
    <x v="2"/>
    <n v="1"/>
    <n v="0"/>
    <n v="0"/>
    <n v="0"/>
    <n v="0"/>
    <n v="0"/>
    <n v="0"/>
    <m/>
    <n v="56.2"/>
    <m/>
    <s v="Unique"/>
    <s v="Valid"/>
  </r>
  <r>
    <s v="USR-100460"/>
    <d v="2025-03-12T00:00:00"/>
    <x v="0"/>
    <x v="3"/>
    <x v="1"/>
    <x v="2"/>
    <x v="1"/>
    <n v="0"/>
    <n v="0"/>
    <n v="0"/>
    <n v="0"/>
    <n v="0"/>
    <n v="3"/>
    <n v="0"/>
    <m/>
    <n v="43.7"/>
    <m/>
    <s v="Unique"/>
    <s v="Valid"/>
  </r>
  <r>
    <s v="USR-100461"/>
    <d v="2025-02-28T00:00:00"/>
    <x v="0"/>
    <x v="1"/>
    <x v="0"/>
    <x v="1"/>
    <x v="2"/>
    <n v="1"/>
    <n v="1"/>
    <n v="0"/>
    <n v="0"/>
    <n v="0"/>
    <n v="0"/>
    <n v="0"/>
    <m/>
    <n v="51.3"/>
    <m/>
    <s v="Unique"/>
    <s v="Valid"/>
  </r>
  <r>
    <s v="USR-100462"/>
    <d v="2025-05-19T00:00:00"/>
    <x v="0"/>
    <x v="0"/>
    <x v="3"/>
    <x v="1"/>
    <x v="0"/>
    <n v="1"/>
    <n v="0"/>
    <n v="0"/>
    <n v="0"/>
    <n v="0"/>
    <n v="0"/>
    <n v="0"/>
    <m/>
    <n v="50.5"/>
    <m/>
    <s v="Unique"/>
    <s v="Valid"/>
  </r>
  <r>
    <s v="USR-100463"/>
    <d v="2025-02-23T00:00:00"/>
    <x v="0"/>
    <x v="0"/>
    <x v="1"/>
    <x v="3"/>
    <x v="0"/>
    <n v="1"/>
    <n v="0"/>
    <n v="0"/>
    <n v="0"/>
    <n v="0"/>
    <n v="0"/>
    <n v="0"/>
    <m/>
    <n v="57.3"/>
    <m/>
    <s v="Unique"/>
    <s v="Valid"/>
  </r>
  <r>
    <s v="USR-100464"/>
    <d v="2025-02-20T00:00:00"/>
    <x v="0"/>
    <x v="1"/>
    <x v="0"/>
    <x v="1"/>
    <x v="1"/>
    <n v="1"/>
    <n v="1"/>
    <n v="1"/>
    <n v="0"/>
    <n v="0"/>
    <n v="0"/>
    <n v="0"/>
    <m/>
    <n v="58.4"/>
    <m/>
    <s v="Unique"/>
    <s v="Valid"/>
  </r>
  <r>
    <s v="USR-100465"/>
    <d v="2025-04-12T00:00:00"/>
    <x v="0"/>
    <x v="0"/>
    <x v="1"/>
    <x v="5"/>
    <x v="1"/>
    <n v="0"/>
    <n v="0"/>
    <n v="0"/>
    <n v="0"/>
    <n v="0"/>
    <n v="0"/>
    <n v="0"/>
    <m/>
    <n v="56.5"/>
    <m/>
    <s v="Unique"/>
    <s v="Valid"/>
  </r>
  <r>
    <s v="USR-100466"/>
    <d v="2025-01-08T00:00:00"/>
    <x v="0"/>
    <x v="1"/>
    <x v="1"/>
    <x v="0"/>
    <x v="1"/>
    <n v="0"/>
    <n v="0"/>
    <n v="0"/>
    <n v="0"/>
    <n v="0"/>
    <n v="0"/>
    <n v="0"/>
    <m/>
    <n v="69.599999999999994"/>
    <m/>
    <s v="Unique"/>
    <s v="Valid"/>
  </r>
  <r>
    <s v="USR-100467"/>
    <d v="2025-02-13T00:00:00"/>
    <x v="0"/>
    <x v="1"/>
    <x v="1"/>
    <x v="1"/>
    <x v="0"/>
    <n v="0"/>
    <n v="0"/>
    <n v="0"/>
    <n v="0"/>
    <n v="0"/>
    <n v="0"/>
    <n v="0"/>
    <m/>
    <n v="6.2"/>
    <m/>
    <s v="Unique"/>
    <s v="Valid"/>
  </r>
  <r>
    <s v="USR-100468"/>
    <d v="2025-05-21T00:00:00"/>
    <x v="0"/>
    <x v="2"/>
    <x v="0"/>
    <x v="0"/>
    <x v="1"/>
    <n v="1"/>
    <n v="1"/>
    <n v="1"/>
    <n v="0"/>
    <n v="0"/>
    <n v="0"/>
    <n v="0"/>
    <m/>
    <n v="54.3"/>
    <m/>
    <s v="Unique"/>
    <s v="Valid"/>
  </r>
  <r>
    <s v="USR-100469"/>
    <d v="2025-05-30T00:00:00"/>
    <x v="0"/>
    <x v="0"/>
    <x v="1"/>
    <x v="1"/>
    <x v="0"/>
    <n v="0"/>
    <n v="0"/>
    <n v="0"/>
    <n v="0"/>
    <n v="0"/>
    <n v="0"/>
    <n v="0"/>
    <m/>
    <n v="59.8"/>
    <m/>
    <s v="Unique"/>
    <s v="Valid"/>
  </r>
  <r>
    <s v="USR-100470"/>
    <d v="2025-05-20T00:00:00"/>
    <x v="0"/>
    <x v="1"/>
    <x v="1"/>
    <x v="2"/>
    <x v="1"/>
    <n v="0"/>
    <n v="0"/>
    <n v="0"/>
    <n v="0"/>
    <n v="0"/>
    <n v="0"/>
    <n v="0"/>
    <m/>
    <n v="58.9"/>
    <m/>
    <s v="Unique"/>
    <s v="Valid"/>
  </r>
  <r>
    <s v="USR-100471"/>
    <d v="2025-01-09T00:00:00"/>
    <x v="0"/>
    <x v="2"/>
    <x v="0"/>
    <x v="1"/>
    <x v="1"/>
    <n v="0"/>
    <n v="0"/>
    <n v="0"/>
    <n v="0"/>
    <n v="0"/>
    <n v="1"/>
    <n v="0"/>
    <m/>
    <n v="52.9"/>
    <m/>
    <s v="Unique"/>
    <s v="Valid"/>
  </r>
  <r>
    <s v="USR-100472"/>
    <d v="2025-03-07T00:00:00"/>
    <x v="0"/>
    <x v="1"/>
    <x v="1"/>
    <x v="1"/>
    <x v="1"/>
    <n v="0"/>
    <n v="0"/>
    <n v="0"/>
    <n v="0"/>
    <n v="0"/>
    <n v="0"/>
    <n v="0"/>
    <m/>
    <n v="67.8"/>
    <m/>
    <s v="Unique"/>
    <s v="Valid"/>
  </r>
  <r>
    <s v="USR-100473"/>
    <d v="2025-04-23T00:00:00"/>
    <x v="0"/>
    <x v="3"/>
    <x v="1"/>
    <x v="4"/>
    <x v="1"/>
    <n v="0"/>
    <n v="0"/>
    <n v="0"/>
    <n v="0"/>
    <n v="0"/>
    <n v="0"/>
    <n v="0"/>
    <m/>
    <n v="48.7"/>
    <m/>
    <s v="Unique"/>
    <s v="Valid"/>
  </r>
  <r>
    <s v="USR-100474"/>
    <d v="2025-03-08T00:00:00"/>
    <x v="0"/>
    <x v="2"/>
    <x v="1"/>
    <x v="1"/>
    <x v="0"/>
    <n v="0"/>
    <n v="0"/>
    <n v="0"/>
    <n v="0"/>
    <n v="0"/>
    <n v="0"/>
    <n v="0"/>
    <m/>
    <n v="59"/>
    <m/>
    <s v="Unique"/>
    <s v="Valid"/>
  </r>
  <r>
    <s v="USR-100475"/>
    <d v="2025-02-14T00:00:00"/>
    <x v="0"/>
    <x v="3"/>
    <x v="1"/>
    <x v="3"/>
    <x v="1"/>
    <n v="0"/>
    <n v="0"/>
    <n v="0"/>
    <n v="0"/>
    <n v="0"/>
    <n v="0"/>
    <n v="0"/>
    <m/>
    <n v="63.2"/>
    <m/>
    <s v="Unique"/>
    <s v="Valid"/>
  </r>
  <r>
    <s v="USR-100476"/>
    <d v="2025-05-17T00:00:00"/>
    <x v="0"/>
    <x v="1"/>
    <x v="1"/>
    <x v="3"/>
    <x v="0"/>
    <n v="1"/>
    <n v="0"/>
    <n v="0"/>
    <n v="0"/>
    <n v="0"/>
    <n v="0"/>
    <n v="0"/>
    <m/>
    <n v="68.7"/>
    <m/>
    <s v="Unique"/>
    <s v="Valid"/>
  </r>
  <r>
    <s v="USR-100477"/>
    <d v="2025-04-25T00:00:00"/>
    <x v="0"/>
    <x v="3"/>
    <x v="1"/>
    <x v="3"/>
    <x v="1"/>
    <n v="0"/>
    <n v="0"/>
    <n v="0"/>
    <n v="0"/>
    <n v="0"/>
    <n v="0"/>
    <n v="0"/>
    <m/>
    <n v="52.1"/>
    <m/>
    <s v="Unique"/>
    <s v="Valid"/>
  </r>
  <r>
    <s v="USR-100478"/>
    <d v="2025-03-04T00:00:00"/>
    <x v="0"/>
    <x v="3"/>
    <x v="0"/>
    <x v="4"/>
    <x v="0"/>
    <n v="0"/>
    <n v="0"/>
    <n v="0"/>
    <n v="0"/>
    <n v="0"/>
    <n v="0"/>
    <n v="0"/>
    <m/>
    <n v="56.5"/>
    <m/>
    <s v="Unique"/>
    <s v="Valid"/>
  </r>
  <r>
    <s v="USR-100479"/>
    <d v="2025-03-18T00:00:00"/>
    <x v="0"/>
    <x v="3"/>
    <x v="1"/>
    <x v="1"/>
    <x v="1"/>
    <n v="1"/>
    <n v="0"/>
    <n v="0"/>
    <n v="0"/>
    <n v="0"/>
    <n v="0"/>
    <n v="0"/>
    <m/>
    <n v="64.400000000000006"/>
    <m/>
    <s v="Unique"/>
    <s v="Valid"/>
  </r>
  <r>
    <s v="USR-100480"/>
    <d v="2025-01-30T00:00:00"/>
    <x v="0"/>
    <x v="1"/>
    <x v="1"/>
    <x v="2"/>
    <x v="2"/>
    <n v="1"/>
    <n v="0"/>
    <n v="0"/>
    <n v="0"/>
    <n v="0"/>
    <n v="0"/>
    <n v="0"/>
    <m/>
    <n v="65.900000000000006"/>
    <m/>
    <s v="Unique"/>
    <s v="Valid"/>
  </r>
  <r>
    <s v="USR-100481"/>
    <d v="2025-05-20T00:00:00"/>
    <x v="0"/>
    <x v="1"/>
    <x v="2"/>
    <x v="3"/>
    <x v="1"/>
    <n v="1"/>
    <n v="1"/>
    <n v="1"/>
    <n v="0"/>
    <n v="0"/>
    <n v="0"/>
    <n v="0"/>
    <m/>
    <n v="100"/>
    <m/>
    <s v="Unique"/>
    <s v="Valid"/>
  </r>
  <r>
    <s v="USR-100482"/>
    <d v="2025-02-13T00:00:00"/>
    <x v="0"/>
    <x v="0"/>
    <x v="3"/>
    <x v="1"/>
    <x v="0"/>
    <n v="1"/>
    <n v="1"/>
    <n v="1"/>
    <n v="0"/>
    <n v="0"/>
    <n v="0"/>
    <n v="0"/>
    <m/>
    <n v="50.4"/>
    <m/>
    <s v="Unique"/>
    <s v="Valid"/>
  </r>
  <r>
    <s v="USR-100483"/>
    <d v="2025-04-12T00:00:00"/>
    <x v="0"/>
    <x v="1"/>
    <x v="0"/>
    <x v="1"/>
    <x v="0"/>
    <n v="0"/>
    <n v="0"/>
    <n v="0"/>
    <n v="0"/>
    <n v="0"/>
    <n v="0"/>
    <n v="0"/>
    <m/>
    <n v="41.5"/>
    <m/>
    <s v="Unique"/>
    <s v="Valid"/>
  </r>
  <r>
    <s v="USR-100484"/>
    <d v="2025-04-07T00:00:00"/>
    <x v="0"/>
    <x v="0"/>
    <x v="1"/>
    <x v="0"/>
    <x v="1"/>
    <n v="0"/>
    <n v="0"/>
    <n v="0"/>
    <n v="0"/>
    <n v="0"/>
    <n v="0"/>
    <n v="0"/>
    <m/>
    <n v="86.2"/>
    <m/>
    <s v="Unique"/>
    <s v="Valid"/>
  </r>
  <r>
    <s v="USR-100485"/>
    <d v="2025-03-12T00:00:00"/>
    <x v="0"/>
    <x v="0"/>
    <x v="0"/>
    <x v="4"/>
    <x v="1"/>
    <n v="1"/>
    <n v="1"/>
    <n v="1"/>
    <n v="0"/>
    <n v="0"/>
    <n v="2"/>
    <n v="0"/>
    <m/>
    <n v="50.8"/>
    <m/>
    <s v="Unique"/>
    <s v="Valid"/>
  </r>
  <r>
    <s v="USR-100486"/>
    <d v="2025-02-07T00:00:00"/>
    <x v="0"/>
    <x v="1"/>
    <x v="1"/>
    <x v="1"/>
    <x v="1"/>
    <n v="1"/>
    <n v="0"/>
    <n v="0"/>
    <n v="0"/>
    <n v="0"/>
    <n v="0"/>
    <n v="0"/>
    <m/>
    <n v="50.9"/>
    <m/>
    <s v="Unique"/>
    <s v="Valid"/>
  </r>
  <r>
    <s v="USR-100487"/>
    <d v="2025-05-05T00:00:00"/>
    <x v="0"/>
    <x v="0"/>
    <x v="1"/>
    <x v="1"/>
    <x v="2"/>
    <n v="1"/>
    <n v="1"/>
    <n v="0"/>
    <n v="0"/>
    <n v="0"/>
    <n v="0"/>
    <n v="0"/>
    <m/>
    <n v="87.5"/>
    <m/>
    <s v="Unique"/>
    <s v="Valid"/>
  </r>
  <r>
    <s v="USR-100488"/>
    <d v="2025-03-18T00:00:00"/>
    <x v="0"/>
    <x v="3"/>
    <x v="1"/>
    <x v="3"/>
    <x v="1"/>
    <n v="0"/>
    <n v="0"/>
    <n v="0"/>
    <n v="0"/>
    <n v="0"/>
    <n v="0"/>
    <n v="0"/>
    <m/>
    <n v="43.6"/>
    <m/>
    <s v="Unique"/>
    <s v="Valid"/>
  </r>
  <r>
    <s v="USR-100489"/>
    <d v="2025-01-05T00:00:00"/>
    <x v="0"/>
    <x v="3"/>
    <x v="1"/>
    <x v="2"/>
    <x v="0"/>
    <n v="1"/>
    <n v="0"/>
    <n v="0"/>
    <n v="0"/>
    <n v="0"/>
    <n v="0"/>
    <n v="0"/>
    <m/>
    <n v="55.5"/>
    <m/>
    <s v="Unique"/>
    <s v="Valid"/>
  </r>
  <r>
    <s v="USR-100490"/>
    <d v="2025-05-10T00:00:00"/>
    <x v="0"/>
    <x v="3"/>
    <x v="0"/>
    <x v="3"/>
    <x v="0"/>
    <n v="0"/>
    <n v="0"/>
    <n v="0"/>
    <n v="0"/>
    <n v="0"/>
    <n v="0"/>
    <n v="0"/>
    <m/>
    <n v="78.599999999999994"/>
    <m/>
    <s v="Unique"/>
    <s v="Valid"/>
  </r>
  <r>
    <s v="USR-100491"/>
    <d v="2025-01-03T00:00:00"/>
    <x v="0"/>
    <x v="3"/>
    <x v="1"/>
    <x v="4"/>
    <x v="0"/>
    <n v="1"/>
    <n v="1"/>
    <n v="0"/>
    <n v="0"/>
    <n v="0"/>
    <n v="1"/>
    <n v="0"/>
    <m/>
    <n v="44.3"/>
    <m/>
    <s v="Unique"/>
    <s v="Valid"/>
  </r>
  <r>
    <s v="USR-100492"/>
    <d v="2025-05-08T00:00:00"/>
    <x v="0"/>
    <x v="3"/>
    <x v="1"/>
    <x v="2"/>
    <x v="1"/>
    <n v="1"/>
    <n v="1"/>
    <n v="0"/>
    <n v="0"/>
    <n v="0"/>
    <n v="0"/>
    <n v="0"/>
    <m/>
    <n v="45.2"/>
    <m/>
    <s v="Unique"/>
    <s v="Valid"/>
  </r>
  <r>
    <s v="USR-100493"/>
    <d v="2025-03-05T00:00:00"/>
    <x v="0"/>
    <x v="3"/>
    <x v="0"/>
    <x v="0"/>
    <x v="0"/>
    <n v="1"/>
    <n v="0"/>
    <n v="0"/>
    <n v="0"/>
    <n v="0"/>
    <n v="2"/>
    <n v="0"/>
    <m/>
    <n v="46.1"/>
    <m/>
    <s v="Unique"/>
    <s v="Valid"/>
  </r>
  <r>
    <s v="USR-100494"/>
    <d v="2025-02-17T00:00:00"/>
    <x v="0"/>
    <x v="0"/>
    <x v="1"/>
    <x v="1"/>
    <x v="2"/>
    <n v="1"/>
    <n v="0"/>
    <n v="0"/>
    <n v="0"/>
    <n v="0"/>
    <n v="0"/>
    <n v="0"/>
    <m/>
    <n v="49.6"/>
    <m/>
    <s v="Unique"/>
    <s v="Valid"/>
  </r>
  <r>
    <s v="USR-100495"/>
    <d v="2025-01-09T00:00:00"/>
    <x v="0"/>
    <x v="3"/>
    <x v="1"/>
    <x v="3"/>
    <x v="0"/>
    <n v="0"/>
    <n v="0"/>
    <n v="0"/>
    <n v="0"/>
    <n v="0"/>
    <n v="0"/>
    <n v="0"/>
    <m/>
    <n v="70.5"/>
    <m/>
    <s v="Unique"/>
    <s v="Valid"/>
  </r>
  <r>
    <s v="USR-100496"/>
    <d v="2025-05-05T00:00:00"/>
    <x v="0"/>
    <x v="3"/>
    <x v="1"/>
    <x v="0"/>
    <x v="0"/>
    <n v="0"/>
    <n v="0"/>
    <n v="0"/>
    <n v="0"/>
    <n v="0"/>
    <n v="1"/>
    <n v="0"/>
    <m/>
    <n v="60.8"/>
    <m/>
    <s v="Unique"/>
    <s v="Valid"/>
  </r>
  <r>
    <s v="USR-100497"/>
    <d v="2025-04-16T00:00:00"/>
    <x v="0"/>
    <x v="2"/>
    <x v="1"/>
    <x v="0"/>
    <x v="0"/>
    <n v="0"/>
    <n v="0"/>
    <n v="0"/>
    <n v="0"/>
    <n v="0"/>
    <n v="1"/>
    <n v="0"/>
    <m/>
    <n v="50.5"/>
    <m/>
    <s v="Unique"/>
    <s v="Valid"/>
  </r>
  <r>
    <s v="USR-100498"/>
    <d v="2025-03-02T00:00:00"/>
    <x v="0"/>
    <x v="3"/>
    <x v="0"/>
    <x v="1"/>
    <x v="1"/>
    <n v="1"/>
    <n v="0"/>
    <n v="0"/>
    <n v="0"/>
    <n v="0"/>
    <n v="0"/>
    <n v="0"/>
    <m/>
    <n v="54.9"/>
    <m/>
    <s v="Unique"/>
    <s v="Valid"/>
  </r>
  <r>
    <s v="USR-100499"/>
    <d v="2025-04-14T00:00:00"/>
    <x v="0"/>
    <x v="3"/>
    <x v="1"/>
    <x v="4"/>
    <x v="2"/>
    <n v="0"/>
    <n v="0"/>
    <n v="0"/>
    <n v="0"/>
    <n v="0"/>
    <n v="0"/>
    <n v="0"/>
    <m/>
    <n v="29.9"/>
    <m/>
    <s v="Unique"/>
    <s v="Valid"/>
  </r>
  <r>
    <s v="USR-100500"/>
    <d v="2025-02-15T00:00:00"/>
    <x v="0"/>
    <x v="2"/>
    <x v="0"/>
    <x v="2"/>
    <x v="0"/>
    <n v="0"/>
    <n v="0"/>
    <n v="0"/>
    <n v="0"/>
    <n v="0"/>
    <n v="0"/>
    <n v="0"/>
    <m/>
    <n v="48.3"/>
    <m/>
    <s v="Unique"/>
    <s v="Valid"/>
  </r>
  <r>
    <s v="USR-100501"/>
    <d v="2025-02-13T00:00:00"/>
    <x v="0"/>
    <x v="1"/>
    <x v="1"/>
    <x v="4"/>
    <x v="1"/>
    <n v="1"/>
    <n v="1"/>
    <n v="1"/>
    <n v="1"/>
    <n v="513.61"/>
    <n v="0"/>
    <n v="0"/>
    <n v="7"/>
    <n v="41.3"/>
    <m/>
    <s v="Unique"/>
    <s v="Valid"/>
  </r>
  <r>
    <s v="USR-100502"/>
    <d v="2025-03-06T00:00:00"/>
    <x v="0"/>
    <x v="0"/>
    <x v="1"/>
    <x v="0"/>
    <x v="1"/>
    <n v="0"/>
    <n v="0"/>
    <n v="0"/>
    <n v="0"/>
    <n v="0"/>
    <n v="0"/>
    <n v="0"/>
    <m/>
    <n v="61.4"/>
    <m/>
    <s v="Unique"/>
    <s v="Valid"/>
  </r>
  <r>
    <s v="USR-100503"/>
    <d v="2025-02-18T00:00:00"/>
    <x v="0"/>
    <x v="3"/>
    <x v="0"/>
    <x v="4"/>
    <x v="1"/>
    <n v="0"/>
    <n v="0"/>
    <n v="0"/>
    <n v="0"/>
    <n v="0"/>
    <n v="0"/>
    <n v="0"/>
    <m/>
    <n v="57.8"/>
    <m/>
    <s v="Unique"/>
    <s v="Valid"/>
  </r>
  <r>
    <s v="USR-100504"/>
    <d v="2025-04-07T00:00:00"/>
    <x v="0"/>
    <x v="0"/>
    <x v="0"/>
    <x v="1"/>
    <x v="1"/>
    <n v="0"/>
    <n v="0"/>
    <n v="0"/>
    <n v="0"/>
    <n v="0"/>
    <n v="0"/>
    <n v="0"/>
    <m/>
    <n v="78.2"/>
    <m/>
    <s v="Unique"/>
    <s v="Valid"/>
  </r>
  <r>
    <s v="USR-100505"/>
    <d v="2025-04-06T00:00:00"/>
    <x v="0"/>
    <x v="0"/>
    <x v="1"/>
    <x v="3"/>
    <x v="1"/>
    <n v="0"/>
    <n v="0"/>
    <n v="0"/>
    <n v="0"/>
    <n v="0"/>
    <n v="0"/>
    <n v="0"/>
    <m/>
    <n v="63.8"/>
    <m/>
    <s v="Unique"/>
    <s v="Valid"/>
  </r>
  <r>
    <s v="USR-100506"/>
    <d v="2025-01-30T00:00:00"/>
    <x v="0"/>
    <x v="0"/>
    <x v="0"/>
    <x v="4"/>
    <x v="1"/>
    <n v="1"/>
    <n v="0"/>
    <n v="0"/>
    <n v="0"/>
    <n v="0"/>
    <n v="0"/>
    <n v="0"/>
    <m/>
    <n v="56.8"/>
    <m/>
    <s v="Unique"/>
    <s v="Valid"/>
  </r>
  <r>
    <s v="USR-100507"/>
    <d v="2025-05-13T00:00:00"/>
    <x v="0"/>
    <x v="3"/>
    <x v="0"/>
    <x v="1"/>
    <x v="0"/>
    <n v="1"/>
    <n v="1"/>
    <n v="0"/>
    <n v="0"/>
    <n v="0"/>
    <n v="0"/>
    <n v="0"/>
    <m/>
    <n v="59.6"/>
    <m/>
    <s v="Unique"/>
    <s v="Valid"/>
  </r>
  <r>
    <s v="USR-100508"/>
    <d v="2025-01-20T00:00:00"/>
    <x v="0"/>
    <x v="1"/>
    <x v="1"/>
    <x v="2"/>
    <x v="2"/>
    <n v="1"/>
    <n v="1"/>
    <n v="0"/>
    <n v="0"/>
    <n v="0"/>
    <n v="0"/>
    <n v="0"/>
    <m/>
    <n v="50"/>
    <m/>
    <s v="Unique"/>
    <s v="Valid"/>
  </r>
  <r>
    <s v="USR-100509"/>
    <d v="2025-01-30T00:00:00"/>
    <x v="0"/>
    <x v="0"/>
    <x v="2"/>
    <x v="1"/>
    <x v="1"/>
    <n v="1"/>
    <n v="0"/>
    <n v="0"/>
    <n v="0"/>
    <n v="0"/>
    <n v="0"/>
    <n v="0"/>
    <m/>
    <n v="35.700000000000003"/>
    <m/>
    <s v="Unique"/>
    <s v="Valid"/>
  </r>
  <r>
    <s v="USR-100510"/>
    <d v="2025-01-13T00:00:00"/>
    <x v="0"/>
    <x v="3"/>
    <x v="1"/>
    <x v="1"/>
    <x v="1"/>
    <n v="0"/>
    <n v="0"/>
    <n v="0"/>
    <n v="0"/>
    <n v="0"/>
    <n v="2"/>
    <n v="0"/>
    <m/>
    <n v="47.2"/>
    <m/>
    <s v="Unique"/>
    <s v="Valid"/>
  </r>
  <r>
    <s v="USR-100511"/>
    <d v="2025-02-11T00:00:00"/>
    <x v="0"/>
    <x v="0"/>
    <x v="1"/>
    <x v="4"/>
    <x v="1"/>
    <n v="1"/>
    <n v="1"/>
    <n v="0"/>
    <n v="0"/>
    <n v="0"/>
    <n v="0"/>
    <n v="0"/>
    <m/>
    <n v="56.9"/>
    <m/>
    <s v="Unique"/>
    <s v="Valid"/>
  </r>
  <r>
    <s v="USR-100512"/>
    <d v="2025-04-15T00:00:00"/>
    <x v="0"/>
    <x v="3"/>
    <x v="1"/>
    <x v="1"/>
    <x v="1"/>
    <n v="0"/>
    <n v="0"/>
    <n v="0"/>
    <n v="0"/>
    <n v="0"/>
    <n v="1"/>
    <n v="0"/>
    <m/>
    <n v="57.2"/>
    <m/>
    <s v="Unique"/>
    <s v="Valid"/>
  </r>
  <r>
    <s v="USR-100513"/>
    <d v="2025-02-13T00:00:00"/>
    <x v="0"/>
    <x v="3"/>
    <x v="1"/>
    <x v="5"/>
    <x v="1"/>
    <n v="1"/>
    <n v="1"/>
    <n v="0"/>
    <n v="0"/>
    <n v="0"/>
    <n v="0"/>
    <n v="0"/>
    <m/>
    <n v="31.4"/>
    <m/>
    <s v="Unique"/>
    <s v="Valid"/>
  </r>
  <r>
    <s v="USR-100514"/>
    <d v="2025-05-09T00:00:00"/>
    <x v="0"/>
    <x v="3"/>
    <x v="0"/>
    <x v="1"/>
    <x v="1"/>
    <n v="0"/>
    <n v="0"/>
    <n v="0"/>
    <n v="0"/>
    <n v="0"/>
    <n v="0"/>
    <n v="0"/>
    <m/>
    <n v="71.2"/>
    <m/>
    <s v="Unique"/>
    <s v="Valid"/>
  </r>
  <r>
    <s v="USR-100515"/>
    <d v="2025-03-10T00:00:00"/>
    <x v="0"/>
    <x v="0"/>
    <x v="1"/>
    <x v="2"/>
    <x v="1"/>
    <n v="1"/>
    <n v="1"/>
    <n v="1"/>
    <n v="0"/>
    <n v="0"/>
    <n v="1"/>
    <n v="0"/>
    <m/>
    <n v="38.299999999999997"/>
    <m/>
    <s v="Unique"/>
    <s v="Valid"/>
  </r>
  <r>
    <s v="USR-100516"/>
    <d v="2025-04-01T00:00:00"/>
    <x v="0"/>
    <x v="0"/>
    <x v="1"/>
    <x v="1"/>
    <x v="1"/>
    <n v="1"/>
    <n v="1"/>
    <n v="0"/>
    <n v="0"/>
    <n v="0"/>
    <n v="0"/>
    <n v="0"/>
    <m/>
    <n v="63.1"/>
    <m/>
    <s v="Unique"/>
    <s v="Valid"/>
  </r>
  <r>
    <s v="USR-100517"/>
    <d v="2025-05-15T00:00:00"/>
    <x v="0"/>
    <x v="2"/>
    <x v="1"/>
    <x v="3"/>
    <x v="0"/>
    <n v="1"/>
    <n v="0"/>
    <n v="0"/>
    <n v="0"/>
    <n v="0"/>
    <n v="0"/>
    <n v="0"/>
    <m/>
    <n v="59.7"/>
    <m/>
    <s v="Unique"/>
    <s v="Valid"/>
  </r>
  <r>
    <s v="USR-100518"/>
    <d v="2025-05-04T00:00:00"/>
    <x v="0"/>
    <x v="3"/>
    <x v="0"/>
    <x v="4"/>
    <x v="2"/>
    <n v="1"/>
    <n v="1"/>
    <n v="1"/>
    <n v="0"/>
    <n v="0"/>
    <n v="0"/>
    <n v="0"/>
    <m/>
    <n v="59.5"/>
    <m/>
    <s v="Unique"/>
    <s v="Valid"/>
  </r>
  <r>
    <s v="USR-100519"/>
    <d v="2025-05-20T00:00:00"/>
    <x v="0"/>
    <x v="2"/>
    <x v="1"/>
    <x v="2"/>
    <x v="1"/>
    <n v="0"/>
    <n v="0"/>
    <n v="0"/>
    <n v="0"/>
    <n v="0"/>
    <n v="0"/>
    <n v="0"/>
    <m/>
    <n v="78.8"/>
    <m/>
    <s v="Unique"/>
    <s v="Valid"/>
  </r>
  <r>
    <s v="USR-100520"/>
    <d v="2025-05-16T00:00:00"/>
    <x v="0"/>
    <x v="1"/>
    <x v="0"/>
    <x v="3"/>
    <x v="1"/>
    <n v="0"/>
    <n v="0"/>
    <n v="0"/>
    <n v="0"/>
    <n v="0"/>
    <n v="0"/>
    <n v="0"/>
    <m/>
    <n v="54"/>
    <m/>
    <s v="Unique"/>
    <s v="Valid"/>
  </r>
  <r>
    <s v="USR-100521"/>
    <d v="2025-03-17T00:00:00"/>
    <x v="0"/>
    <x v="1"/>
    <x v="1"/>
    <x v="1"/>
    <x v="1"/>
    <n v="1"/>
    <n v="0"/>
    <n v="0"/>
    <n v="0"/>
    <n v="0"/>
    <n v="0"/>
    <n v="0"/>
    <m/>
    <n v="66.3"/>
    <m/>
    <s v="Unique"/>
    <s v="Valid"/>
  </r>
  <r>
    <s v="USR-100522"/>
    <d v="2025-01-27T00:00:00"/>
    <x v="0"/>
    <x v="2"/>
    <x v="2"/>
    <x v="2"/>
    <x v="1"/>
    <n v="1"/>
    <n v="1"/>
    <n v="0"/>
    <n v="0"/>
    <n v="0"/>
    <n v="0"/>
    <n v="0"/>
    <m/>
    <n v="54.7"/>
    <m/>
    <s v="Unique"/>
    <s v="Valid"/>
  </r>
  <r>
    <s v="USR-100523"/>
    <d v="2025-04-13T00:00:00"/>
    <x v="0"/>
    <x v="3"/>
    <x v="1"/>
    <x v="1"/>
    <x v="0"/>
    <n v="1"/>
    <n v="0"/>
    <n v="0"/>
    <n v="0"/>
    <n v="0"/>
    <n v="0"/>
    <n v="0"/>
    <m/>
    <n v="76.7"/>
    <m/>
    <s v="Unique"/>
    <s v="Valid"/>
  </r>
  <r>
    <s v="USR-100524"/>
    <d v="2025-05-03T00:00:00"/>
    <x v="0"/>
    <x v="3"/>
    <x v="0"/>
    <x v="0"/>
    <x v="0"/>
    <n v="1"/>
    <n v="0"/>
    <n v="0"/>
    <n v="0"/>
    <n v="0"/>
    <n v="2"/>
    <n v="0"/>
    <m/>
    <n v="47.4"/>
    <m/>
    <s v="Unique"/>
    <s v="Valid"/>
  </r>
  <r>
    <s v="USR-100525"/>
    <d v="2025-03-30T00:00:00"/>
    <x v="0"/>
    <x v="0"/>
    <x v="1"/>
    <x v="1"/>
    <x v="1"/>
    <n v="1"/>
    <n v="1"/>
    <n v="1"/>
    <n v="0"/>
    <n v="0"/>
    <n v="0"/>
    <n v="0"/>
    <m/>
    <n v="81.7"/>
    <m/>
    <s v="Unique"/>
    <s v="Valid"/>
  </r>
  <r>
    <s v="USR-100526"/>
    <d v="2025-01-01T00:00:00"/>
    <x v="0"/>
    <x v="1"/>
    <x v="1"/>
    <x v="2"/>
    <x v="0"/>
    <n v="1"/>
    <n v="1"/>
    <n v="1"/>
    <n v="0"/>
    <n v="0"/>
    <n v="0"/>
    <n v="0"/>
    <m/>
    <n v="67.5"/>
    <m/>
    <s v="Unique"/>
    <s v="Valid"/>
  </r>
  <r>
    <s v="USR-100527"/>
    <d v="2025-02-06T00:00:00"/>
    <x v="0"/>
    <x v="1"/>
    <x v="1"/>
    <x v="2"/>
    <x v="0"/>
    <n v="1"/>
    <n v="0"/>
    <n v="0"/>
    <n v="0"/>
    <n v="0"/>
    <n v="0"/>
    <n v="0"/>
    <m/>
    <n v="36.799999999999997"/>
    <m/>
    <s v="Unique"/>
    <s v="Valid"/>
  </r>
  <r>
    <s v="USR-100528"/>
    <d v="2025-02-25T00:00:00"/>
    <x v="0"/>
    <x v="0"/>
    <x v="0"/>
    <x v="1"/>
    <x v="1"/>
    <n v="0"/>
    <n v="0"/>
    <n v="0"/>
    <n v="0"/>
    <n v="0"/>
    <n v="0"/>
    <n v="0"/>
    <m/>
    <n v="66.5"/>
    <m/>
    <s v="Unique"/>
    <s v="Valid"/>
  </r>
  <r>
    <s v="USR-100529"/>
    <d v="2025-05-14T00:00:00"/>
    <x v="0"/>
    <x v="2"/>
    <x v="2"/>
    <x v="4"/>
    <x v="1"/>
    <n v="1"/>
    <n v="0"/>
    <n v="0"/>
    <n v="0"/>
    <n v="0"/>
    <n v="0"/>
    <n v="0"/>
    <m/>
    <n v="35.4"/>
    <m/>
    <s v="Unique"/>
    <s v="Valid"/>
  </r>
  <r>
    <s v="USR-100530"/>
    <d v="2025-05-20T00:00:00"/>
    <x v="0"/>
    <x v="3"/>
    <x v="1"/>
    <x v="1"/>
    <x v="0"/>
    <n v="0"/>
    <n v="0"/>
    <n v="0"/>
    <n v="0"/>
    <n v="0"/>
    <n v="0"/>
    <n v="0"/>
    <m/>
    <n v="64.3"/>
    <m/>
    <s v="Unique"/>
    <s v="Valid"/>
  </r>
  <r>
    <s v="USR-100531"/>
    <d v="2025-02-11T00:00:00"/>
    <x v="0"/>
    <x v="3"/>
    <x v="1"/>
    <x v="1"/>
    <x v="1"/>
    <n v="0"/>
    <n v="0"/>
    <n v="0"/>
    <n v="0"/>
    <n v="0"/>
    <n v="0"/>
    <n v="0"/>
    <m/>
    <n v="49.1"/>
    <m/>
    <s v="Unique"/>
    <s v="Valid"/>
  </r>
  <r>
    <s v="USR-100532"/>
    <d v="2025-02-13T00:00:00"/>
    <x v="0"/>
    <x v="1"/>
    <x v="1"/>
    <x v="1"/>
    <x v="1"/>
    <n v="1"/>
    <n v="0"/>
    <n v="0"/>
    <n v="0"/>
    <n v="0"/>
    <n v="0"/>
    <n v="0"/>
    <m/>
    <n v="84.3"/>
    <m/>
    <s v="Unique"/>
    <s v="Valid"/>
  </r>
  <r>
    <s v="USR-100533"/>
    <d v="2025-04-07T00:00:00"/>
    <x v="0"/>
    <x v="3"/>
    <x v="1"/>
    <x v="2"/>
    <x v="2"/>
    <n v="1"/>
    <n v="0"/>
    <n v="0"/>
    <n v="0"/>
    <n v="0"/>
    <n v="0"/>
    <n v="0"/>
    <m/>
    <n v="65.599999999999994"/>
    <m/>
    <s v="Unique"/>
    <s v="Valid"/>
  </r>
  <r>
    <s v="USR-100534"/>
    <d v="2025-03-08T00:00:00"/>
    <x v="0"/>
    <x v="2"/>
    <x v="1"/>
    <x v="0"/>
    <x v="1"/>
    <n v="1"/>
    <n v="0"/>
    <n v="0"/>
    <n v="0"/>
    <n v="0"/>
    <n v="0"/>
    <n v="0"/>
    <m/>
    <n v="47.1"/>
    <m/>
    <s v="Unique"/>
    <s v="Valid"/>
  </r>
  <r>
    <s v="USR-100535"/>
    <d v="2025-02-16T00:00:00"/>
    <x v="0"/>
    <x v="0"/>
    <x v="0"/>
    <x v="2"/>
    <x v="1"/>
    <n v="1"/>
    <n v="1"/>
    <n v="1"/>
    <n v="0"/>
    <n v="0"/>
    <n v="0"/>
    <n v="0"/>
    <m/>
    <n v="70"/>
    <m/>
    <s v="Unique"/>
    <s v="Valid"/>
  </r>
  <r>
    <s v="USR-100536"/>
    <d v="2025-04-28T00:00:00"/>
    <x v="0"/>
    <x v="3"/>
    <x v="1"/>
    <x v="2"/>
    <x v="2"/>
    <n v="1"/>
    <n v="0"/>
    <n v="0"/>
    <n v="0"/>
    <n v="0"/>
    <n v="0"/>
    <n v="0"/>
    <m/>
    <n v="54.6"/>
    <m/>
    <s v="Unique"/>
    <s v="Valid"/>
  </r>
  <r>
    <s v="USR-100537"/>
    <d v="2025-03-10T00:00:00"/>
    <x v="0"/>
    <x v="1"/>
    <x v="2"/>
    <x v="4"/>
    <x v="0"/>
    <n v="1"/>
    <n v="1"/>
    <n v="0"/>
    <n v="0"/>
    <n v="0"/>
    <n v="1"/>
    <n v="0"/>
    <m/>
    <n v="65.2"/>
    <m/>
    <s v="Unique"/>
    <s v="Valid"/>
  </r>
  <r>
    <s v="USR-100538"/>
    <d v="2025-01-25T00:00:00"/>
    <x v="0"/>
    <x v="2"/>
    <x v="1"/>
    <x v="4"/>
    <x v="1"/>
    <n v="1"/>
    <n v="0"/>
    <n v="0"/>
    <n v="0"/>
    <n v="0"/>
    <n v="0"/>
    <n v="0"/>
    <m/>
    <n v="65"/>
    <m/>
    <s v="Unique"/>
    <s v="Valid"/>
  </r>
  <r>
    <s v="USR-100539"/>
    <d v="2025-01-11T00:00:00"/>
    <x v="0"/>
    <x v="1"/>
    <x v="1"/>
    <x v="2"/>
    <x v="2"/>
    <n v="1"/>
    <n v="1"/>
    <n v="1"/>
    <n v="0"/>
    <n v="0"/>
    <n v="1"/>
    <n v="0"/>
    <m/>
    <n v="42.1"/>
    <m/>
    <s v="Unique"/>
    <s v="Valid"/>
  </r>
  <r>
    <s v="USR-100540"/>
    <d v="2025-03-31T00:00:00"/>
    <x v="0"/>
    <x v="1"/>
    <x v="2"/>
    <x v="2"/>
    <x v="1"/>
    <n v="1"/>
    <n v="0"/>
    <n v="0"/>
    <n v="0"/>
    <n v="0"/>
    <n v="0"/>
    <n v="0"/>
    <m/>
    <n v="43.4"/>
    <m/>
    <s v="Unique"/>
    <s v="Valid"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m/>
    <s v="Duplicate"/>
    <s v="Valid"/>
  </r>
  <r>
    <s v="USR-100542"/>
    <d v="2025-05-16T00:00:00"/>
    <x v="0"/>
    <x v="0"/>
    <x v="1"/>
    <x v="3"/>
    <x v="0"/>
    <n v="0"/>
    <n v="0"/>
    <n v="0"/>
    <n v="0"/>
    <n v="0"/>
    <n v="0"/>
    <n v="0"/>
    <m/>
    <n v="74.099999999999994"/>
    <m/>
    <s v="Unique"/>
    <s v="Valid"/>
  </r>
  <r>
    <s v="USR-100543"/>
    <d v="2025-04-25T00:00:00"/>
    <x v="0"/>
    <x v="2"/>
    <x v="0"/>
    <x v="2"/>
    <x v="1"/>
    <n v="1"/>
    <n v="0"/>
    <n v="0"/>
    <n v="0"/>
    <n v="0"/>
    <n v="0"/>
    <n v="0"/>
    <m/>
    <n v="61.4"/>
    <m/>
    <s v="Unique"/>
    <s v="Valid"/>
  </r>
  <r>
    <s v="USR-100544"/>
    <d v="2025-04-17T00:00:00"/>
    <x v="0"/>
    <x v="2"/>
    <x v="1"/>
    <x v="4"/>
    <x v="2"/>
    <n v="1"/>
    <n v="1"/>
    <n v="1"/>
    <n v="0"/>
    <n v="0"/>
    <n v="0"/>
    <n v="0"/>
    <m/>
    <n v="76.8"/>
    <m/>
    <s v="Unique"/>
    <s v="Valid"/>
  </r>
  <r>
    <s v="USR-100545"/>
    <d v="2025-01-01T00:00:00"/>
    <x v="0"/>
    <x v="3"/>
    <x v="0"/>
    <x v="4"/>
    <x v="0"/>
    <n v="0"/>
    <n v="0"/>
    <n v="0"/>
    <n v="0"/>
    <n v="0"/>
    <n v="0"/>
    <n v="0"/>
    <m/>
    <n v="60.02"/>
    <m/>
    <s v="Unique"/>
    <s v="Valid"/>
  </r>
  <r>
    <s v="USR-100546"/>
    <d v="2025-03-18T00:00:00"/>
    <x v="0"/>
    <x v="2"/>
    <x v="1"/>
    <x v="2"/>
    <x v="0"/>
    <n v="1"/>
    <n v="1"/>
    <n v="1"/>
    <n v="0"/>
    <n v="0"/>
    <n v="0"/>
    <n v="0"/>
    <m/>
    <n v="45.3"/>
    <m/>
    <s v="Unique"/>
    <s v="Valid"/>
  </r>
  <r>
    <s v="USR-100547"/>
    <d v="2025-05-20T00:00:00"/>
    <x v="0"/>
    <x v="0"/>
    <x v="2"/>
    <x v="2"/>
    <x v="1"/>
    <n v="1"/>
    <n v="0"/>
    <n v="0"/>
    <n v="0"/>
    <n v="0"/>
    <n v="0"/>
    <n v="0"/>
    <m/>
    <n v="41.4"/>
    <m/>
    <s v="Unique"/>
    <s v="Valid"/>
  </r>
  <r>
    <s v="USR-100548"/>
    <d v="2025-03-16T00:00:00"/>
    <x v="0"/>
    <x v="0"/>
    <x v="1"/>
    <x v="1"/>
    <x v="0"/>
    <n v="1"/>
    <n v="0"/>
    <n v="0"/>
    <n v="0"/>
    <n v="0"/>
    <n v="0"/>
    <n v="0"/>
    <m/>
    <n v="37.1"/>
    <m/>
    <s v="Unique"/>
    <s v="Valid"/>
  </r>
  <r>
    <s v="USR-100549"/>
    <d v="2025-05-30T00:00:00"/>
    <x v="0"/>
    <x v="2"/>
    <x v="0"/>
    <x v="4"/>
    <x v="1"/>
    <n v="1"/>
    <n v="0"/>
    <n v="0"/>
    <n v="0"/>
    <n v="0"/>
    <n v="0"/>
    <n v="0"/>
    <m/>
    <n v="40.700000000000003"/>
    <m/>
    <s v="Unique"/>
    <s v="Valid"/>
  </r>
  <r>
    <s v="USR-100550"/>
    <d v="2025-02-20T00:00:00"/>
    <x v="0"/>
    <x v="0"/>
    <x v="1"/>
    <x v="4"/>
    <x v="2"/>
    <n v="0"/>
    <n v="0"/>
    <n v="0"/>
    <n v="0"/>
    <n v="0"/>
    <n v="2"/>
    <n v="0"/>
    <m/>
    <n v="55.9"/>
    <m/>
    <s v="Unique"/>
    <s v="Valid"/>
  </r>
  <r>
    <s v="USR-100551"/>
    <d v="2025-02-11T00:00:00"/>
    <x v="0"/>
    <x v="2"/>
    <x v="3"/>
    <x v="4"/>
    <x v="1"/>
    <n v="1"/>
    <n v="1"/>
    <n v="0"/>
    <n v="0"/>
    <n v="0"/>
    <n v="0"/>
    <n v="0"/>
    <m/>
    <n v="55.8"/>
    <m/>
    <s v="Unique"/>
    <s v="Valid"/>
  </r>
  <r>
    <s v="USR-100552"/>
    <d v="2025-01-02T00:00:00"/>
    <x v="0"/>
    <x v="3"/>
    <x v="2"/>
    <x v="3"/>
    <x v="0"/>
    <n v="1"/>
    <n v="0"/>
    <n v="0"/>
    <n v="0"/>
    <n v="0"/>
    <n v="0"/>
    <n v="0"/>
    <m/>
    <n v="64.3"/>
    <m/>
    <s v="Unique"/>
    <s v="Valid"/>
  </r>
  <r>
    <s v="USR-100553"/>
    <d v="2025-05-03T00:00:00"/>
    <x v="0"/>
    <x v="0"/>
    <x v="1"/>
    <x v="1"/>
    <x v="1"/>
    <n v="0"/>
    <n v="0"/>
    <n v="0"/>
    <n v="0"/>
    <n v="0"/>
    <n v="0"/>
    <n v="0"/>
    <m/>
    <n v="65.400000000000006"/>
    <m/>
    <s v="Unique"/>
    <s v="Valid"/>
  </r>
  <r>
    <s v="USR-100554"/>
    <d v="2025-02-24T00:00:00"/>
    <x v="0"/>
    <x v="1"/>
    <x v="1"/>
    <x v="1"/>
    <x v="1"/>
    <n v="1"/>
    <n v="0"/>
    <n v="0"/>
    <n v="0"/>
    <n v="0"/>
    <n v="0"/>
    <n v="0"/>
    <m/>
    <n v="89.8"/>
    <m/>
    <s v="Unique"/>
    <s v="Valid"/>
  </r>
  <r>
    <s v="USR-100555"/>
    <d v="2025-02-11T00:00:00"/>
    <x v="0"/>
    <x v="3"/>
    <x v="3"/>
    <x v="1"/>
    <x v="1"/>
    <n v="1"/>
    <n v="1"/>
    <n v="1"/>
    <n v="0"/>
    <n v="0"/>
    <n v="0"/>
    <n v="0"/>
    <m/>
    <n v="58.3"/>
    <m/>
    <s v="Unique"/>
    <s v="Valid"/>
  </r>
  <r>
    <s v="USR-100556"/>
    <d v="2025-05-06T00:00:00"/>
    <x v="0"/>
    <x v="3"/>
    <x v="1"/>
    <x v="4"/>
    <x v="0"/>
    <n v="1"/>
    <n v="0"/>
    <n v="0"/>
    <n v="0"/>
    <n v="0"/>
    <n v="0"/>
    <n v="0"/>
    <m/>
    <n v="64.400000000000006"/>
    <m/>
    <s v="Unique"/>
    <s v="Valid"/>
  </r>
  <r>
    <s v="USR-100557"/>
    <d v="2025-05-23T00:00:00"/>
    <x v="0"/>
    <x v="0"/>
    <x v="1"/>
    <x v="2"/>
    <x v="2"/>
    <n v="0"/>
    <n v="0"/>
    <n v="0"/>
    <n v="0"/>
    <n v="0"/>
    <n v="0"/>
    <n v="0"/>
    <m/>
    <n v="46.2"/>
    <m/>
    <s v="Unique"/>
    <s v="Valid"/>
  </r>
  <r>
    <s v="USR-100558"/>
    <d v="2025-01-09T00:00:00"/>
    <x v="0"/>
    <x v="0"/>
    <x v="0"/>
    <x v="2"/>
    <x v="1"/>
    <n v="0"/>
    <n v="0"/>
    <n v="0"/>
    <n v="0"/>
    <n v="0"/>
    <n v="0"/>
    <n v="0"/>
    <m/>
    <n v="78"/>
    <m/>
    <s v="Unique"/>
    <s v="Valid"/>
  </r>
  <r>
    <s v="USR-100559"/>
    <d v="2025-04-01T00:00:00"/>
    <x v="0"/>
    <x v="0"/>
    <x v="0"/>
    <x v="1"/>
    <x v="2"/>
    <n v="1"/>
    <n v="0"/>
    <n v="0"/>
    <n v="0"/>
    <n v="0"/>
    <n v="0"/>
    <n v="0"/>
    <m/>
    <n v="62.3"/>
    <m/>
    <s v="Unique"/>
    <s v="Valid"/>
  </r>
  <r>
    <s v="USR-100560"/>
    <d v="2025-03-08T00:00:00"/>
    <x v="0"/>
    <x v="0"/>
    <x v="1"/>
    <x v="1"/>
    <x v="1"/>
    <n v="1"/>
    <n v="0"/>
    <n v="0"/>
    <n v="0"/>
    <n v="0"/>
    <n v="0"/>
    <n v="0"/>
    <m/>
    <n v="78.8"/>
    <m/>
    <s v="Unique"/>
    <s v="Valid"/>
  </r>
  <r>
    <s v="USR-100561"/>
    <d v="2025-02-20T00:00:00"/>
    <x v="0"/>
    <x v="0"/>
    <x v="1"/>
    <x v="4"/>
    <x v="0"/>
    <n v="1"/>
    <n v="0"/>
    <n v="0"/>
    <n v="0"/>
    <n v="0"/>
    <n v="0"/>
    <n v="0"/>
    <m/>
    <n v="25"/>
    <m/>
    <s v="Unique"/>
    <s v="Valid"/>
  </r>
  <r>
    <s v="USR-100562"/>
    <d v="2025-03-30T00:00:00"/>
    <x v="0"/>
    <x v="2"/>
    <x v="1"/>
    <x v="4"/>
    <x v="0"/>
    <n v="0"/>
    <n v="0"/>
    <n v="0"/>
    <n v="0"/>
    <n v="0"/>
    <n v="0"/>
    <n v="0"/>
    <m/>
    <n v="53.4"/>
    <m/>
    <s v="Unique"/>
    <s v="Valid"/>
  </r>
  <r>
    <s v="USR-100563"/>
    <d v="2025-04-10T00:00:00"/>
    <x v="0"/>
    <x v="2"/>
    <x v="0"/>
    <x v="1"/>
    <x v="0"/>
    <n v="0"/>
    <n v="0"/>
    <n v="0"/>
    <n v="0"/>
    <n v="0"/>
    <n v="0"/>
    <n v="0"/>
    <m/>
    <n v="40.700000000000003"/>
    <m/>
    <s v="Unique"/>
    <s v="Valid"/>
  </r>
  <r>
    <s v="USR-100564"/>
    <d v="2025-03-24T00:00:00"/>
    <x v="0"/>
    <x v="2"/>
    <x v="1"/>
    <x v="1"/>
    <x v="2"/>
    <n v="1"/>
    <n v="1"/>
    <n v="0"/>
    <n v="0"/>
    <n v="0"/>
    <n v="0"/>
    <n v="0"/>
    <m/>
    <n v="36.700000000000003"/>
    <m/>
    <s v="Unique"/>
    <s v="Valid"/>
  </r>
  <r>
    <s v="USR-100565"/>
    <d v="2025-05-21T00:00:00"/>
    <x v="0"/>
    <x v="1"/>
    <x v="1"/>
    <x v="1"/>
    <x v="0"/>
    <n v="1"/>
    <n v="0"/>
    <n v="0"/>
    <n v="0"/>
    <n v="0"/>
    <n v="1"/>
    <n v="0"/>
    <m/>
    <n v="67.5"/>
    <m/>
    <s v="Unique"/>
    <s v="Valid"/>
  </r>
  <r>
    <s v="USR-100566"/>
    <d v="2025-03-29T00:00:00"/>
    <x v="0"/>
    <x v="2"/>
    <x v="1"/>
    <x v="4"/>
    <x v="2"/>
    <n v="1"/>
    <n v="1"/>
    <n v="1"/>
    <n v="0"/>
    <n v="0"/>
    <n v="0"/>
    <n v="0"/>
    <m/>
    <n v="69.900000000000006"/>
    <m/>
    <s v="Unique"/>
    <s v="Valid"/>
  </r>
  <r>
    <s v="USR-100567"/>
    <d v="2025-02-23T00:00:00"/>
    <x v="0"/>
    <x v="0"/>
    <x v="2"/>
    <x v="3"/>
    <x v="0"/>
    <n v="1"/>
    <n v="0"/>
    <n v="0"/>
    <n v="0"/>
    <n v="0"/>
    <n v="0"/>
    <n v="0"/>
    <m/>
    <n v="65.099999999999994"/>
    <m/>
    <s v="Unique"/>
    <s v="Valid"/>
  </r>
  <r>
    <s v="USR-100568"/>
    <d v="2025-02-16T00:00:00"/>
    <x v="0"/>
    <x v="1"/>
    <x v="1"/>
    <x v="2"/>
    <x v="2"/>
    <n v="1"/>
    <n v="0"/>
    <n v="0"/>
    <n v="0"/>
    <n v="0"/>
    <n v="0"/>
    <n v="0"/>
    <m/>
    <n v="48.7"/>
    <m/>
    <s v="Unique"/>
    <s v="Valid"/>
  </r>
  <r>
    <s v="USR-100569"/>
    <d v="2025-02-21T00:00:00"/>
    <x v="0"/>
    <x v="1"/>
    <x v="0"/>
    <x v="1"/>
    <x v="0"/>
    <n v="1"/>
    <n v="1"/>
    <n v="0"/>
    <n v="0"/>
    <n v="0"/>
    <n v="0"/>
    <n v="0"/>
    <m/>
    <n v="47.2"/>
    <m/>
    <s v="Unique"/>
    <s v="Valid"/>
  </r>
  <r>
    <s v="USR-100570"/>
    <d v="2025-01-07T00:00:00"/>
    <x v="0"/>
    <x v="0"/>
    <x v="1"/>
    <x v="3"/>
    <x v="1"/>
    <n v="1"/>
    <n v="0"/>
    <n v="0"/>
    <n v="0"/>
    <n v="0"/>
    <n v="2"/>
    <n v="0"/>
    <m/>
    <n v="20.3"/>
    <m/>
    <s v="Unique"/>
    <s v="Valid"/>
  </r>
  <r>
    <s v="USR-100571"/>
    <d v="2025-03-06T00:00:00"/>
    <x v="0"/>
    <x v="1"/>
    <x v="1"/>
    <x v="2"/>
    <x v="1"/>
    <n v="0"/>
    <n v="0"/>
    <n v="0"/>
    <n v="0"/>
    <n v="0"/>
    <n v="1"/>
    <n v="0"/>
    <m/>
    <n v="57.8"/>
    <m/>
    <s v="Unique"/>
    <s v="Valid"/>
  </r>
  <r>
    <s v="USR-100572"/>
    <d v="2025-03-30T00:00:00"/>
    <x v="0"/>
    <x v="2"/>
    <x v="1"/>
    <x v="0"/>
    <x v="0"/>
    <n v="1"/>
    <n v="0"/>
    <n v="0"/>
    <n v="0"/>
    <n v="0"/>
    <n v="0"/>
    <n v="0"/>
    <m/>
    <n v="78.7"/>
    <m/>
    <s v="Unique"/>
    <s v="Valid"/>
  </r>
  <r>
    <s v="USR-100573"/>
    <d v="2025-05-31T00:00:00"/>
    <x v="0"/>
    <x v="3"/>
    <x v="0"/>
    <x v="1"/>
    <x v="1"/>
    <n v="1"/>
    <n v="0"/>
    <n v="0"/>
    <n v="0"/>
    <n v="0"/>
    <n v="0"/>
    <n v="0"/>
    <m/>
    <n v="63.6"/>
    <m/>
    <s v="Unique"/>
    <s v="Valid"/>
  </r>
  <r>
    <s v="USR-100574"/>
    <d v="2025-02-20T00:00:00"/>
    <x v="0"/>
    <x v="3"/>
    <x v="1"/>
    <x v="0"/>
    <x v="1"/>
    <n v="0"/>
    <n v="0"/>
    <n v="0"/>
    <n v="0"/>
    <n v="0"/>
    <n v="2"/>
    <n v="0"/>
    <m/>
    <n v="45.1"/>
    <m/>
    <s v="Unique"/>
    <s v="Valid"/>
  </r>
  <r>
    <s v="USR-100575"/>
    <d v="2025-01-13T00:00:00"/>
    <x v="0"/>
    <x v="1"/>
    <x v="1"/>
    <x v="4"/>
    <x v="1"/>
    <n v="0"/>
    <n v="0"/>
    <n v="0"/>
    <n v="0"/>
    <n v="0"/>
    <n v="0"/>
    <n v="0"/>
    <m/>
    <n v="77.5"/>
    <m/>
    <s v="Unique"/>
    <s v="Valid"/>
  </r>
  <r>
    <s v="USR-100576"/>
    <d v="2025-05-13T00:00:00"/>
    <x v="0"/>
    <x v="2"/>
    <x v="0"/>
    <x v="2"/>
    <x v="0"/>
    <n v="1"/>
    <n v="1"/>
    <n v="0"/>
    <n v="0"/>
    <n v="0"/>
    <n v="0"/>
    <n v="0"/>
    <m/>
    <n v="58"/>
    <m/>
    <s v="Unique"/>
    <s v="Valid"/>
  </r>
  <r>
    <s v="USR-100577"/>
    <d v="2025-04-21T00:00:00"/>
    <x v="0"/>
    <x v="3"/>
    <x v="2"/>
    <x v="1"/>
    <x v="1"/>
    <n v="1"/>
    <n v="0"/>
    <n v="0"/>
    <n v="0"/>
    <n v="0"/>
    <n v="0"/>
    <n v="0"/>
    <m/>
    <n v="68.099999999999994"/>
    <m/>
    <s v="Unique"/>
    <s v="Valid"/>
  </r>
  <r>
    <s v="USR-100578"/>
    <d v="2025-03-01T00:00:00"/>
    <x v="0"/>
    <x v="2"/>
    <x v="2"/>
    <x v="1"/>
    <x v="2"/>
    <n v="1"/>
    <n v="0"/>
    <n v="0"/>
    <n v="0"/>
    <n v="0"/>
    <n v="0"/>
    <n v="0"/>
    <m/>
    <n v="35.4"/>
    <m/>
    <s v="Unique"/>
    <s v="Valid"/>
  </r>
  <r>
    <s v="USR-100579"/>
    <d v="2025-03-10T00:00:00"/>
    <x v="0"/>
    <x v="1"/>
    <x v="2"/>
    <x v="1"/>
    <x v="1"/>
    <n v="0"/>
    <n v="0"/>
    <n v="0"/>
    <n v="0"/>
    <n v="0"/>
    <n v="0"/>
    <n v="0"/>
    <m/>
    <n v="47"/>
    <m/>
    <s v="Unique"/>
    <s v="Valid"/>
  </r>
  <r>
    <s v="USR-100580"/>
    <d v="2025-03-08T00:00:00"/>
    <x v="0"/>
    <x v="2"/>
    <x v="0"/>
    <x v="2"/>
    <x v="1"/>
    <n v="0"/>
    <n v="0"/>
    <n v="0"/>
    <n v="0"/>
    <n v="0"/>
    <n v="0"/>
    <n v="0"/>
    <m/>
    <n v="75"/>
    <m/>
    <s v="Unique"/>
    <s v="Valid"/>
  </r>
  <r>
    <s v="USR-100581"/>
    <d v="2025-05-26T00:00:00"/>
    <x v="0"/>
    <x v="3"/>
    <x v="0"/>
    <x v="2"/>
    <x v="1"/>
    <n v="1"/>
    <n v="1"/>
    <n v="1"/>
    <n v="0"/>
    <n v="0"/>
    <n v="3"/>
    <n v="0"/>
    <m/>
    <n v="50.2"/>
    <m/>
    <s v="Unique"/>
    <s v="Valid"/>
  </r>
  <r>
    <s v="USR-100582"/>
    <d v="2025-05-20T00:00:00"/>
    <x v="0"/>
    <x v="2"/>
    <x v="0"/>
    <x v="2"/>
    <x v="1"/>
    <n v="1"/>
    <n v="0"/>
    <n v="0"/>
    <n v="0"/>
    <n v="0"/>
    <n v="0"/>
    <n v="0"/>
    <m/>
    <n v="40.1"/>
    <m/>
    <s v="Unique"/>
    <s v="Valid"/>
  </r>
  <r>
    <s v="USR-100583"/>
    <d v="2025-03-22T00:00:00"/>
    <x v="0"/>
    <x v="1"/>
    <x v="0"/>
    <x v="2"/>
    <x v="1"/>
    <n v="0"/>
    <n v="0"/>
    <n v="0"/>
    <n v="0"/>
    <n v="0"/>
    <n v="0"/>
    <n v="0"/>
    <m/>
    <n v="61.1"/>
    <m/>
    <s v="Unique"/>
    <s v="Valid"/>
  </r>
  <r>
    <s v="USR-100584"/>
    <d v="2025-02-15T00:00:00"/>
    <x v="0"/>
    <x v="3"/>
    <x v="0"/>
    <x v="2"/>
    <x v="1"/>
    <n v="0"/>
    <n v="0"/>
    <n v="0"/>
    <n v="0"/>
    <n v="0"/>
    <n v="0"/>
    <n v="0"/>
    <m/>
    <n v="42.4"/>
    <m/>
    <s v="Unique"/>
    <s v="Valid"/>
  </r>
  <r>
    <s v="USR-100585"/>
    <d v="2025-01-08T00:00:00"/>
    <x v="0"/>
    <x v="0"/>
    <x v="1"/>
    <x v="4"/>
    <x v="1"/>
    <n v="0"/>
    <n v="0"/>
    <n v="0"/>
    <n v="0"/>
    <n v="0"/>
    <n v="1"/>
    <n v="0"/>
    <m/>
    <n v="46.6"/>
    <m/>
    <s v="Unique"/>
    <s v="Valid"/>
  </r>
  <r>
    <s v="USR-100586"/>
    <d v="2025-01-29T00:00:00"/>
    <x v="0"/>
    <x v="3"/>
    <x v="1"/>
    <x v="1"/>
    <x v="2"/>
    <n v="1"/>
    <n v="1"/>
    <n v="0"/>
    <n v="0"/>
    <n v="0"/>
    <n v="0"/>
    <n v="0"/>
    <m/>
    <n v="72.099999999999994"/>
    <m/>
    <s v="Unique"/>
    <s v="Valid"/>
  </r>
  <r>
    <s v="USR-100587"/>
    <d v="2025-05-07T00:00:00"/>
    <x v="0"/>
    <x v="2"/>
    <x v="2"/>
    <x v="1"/>
    <x v="1"/>
    <n v="0"/>
    <n v="0"/>
    <n v="0"/>
    <n v="0"/>
    <n v="0"/>
    <n v="0"/>
    <n v="0"/>
    <m/>
    <n v="21.5"/>
    <m/>
    <s v="Unique"/>
    <s v="Valid"/>
  </r>
  <r>
    <s v="USR-100588"/>
    <d v="2025-03-01T00:00:00"/>
    <x v="0"/>
    <x v="0"/>
    <x v="1"/>
    <x v="4"/>
    <x v="0"/>
    <n v="1"/>
    <n v="0"/>
    <n v="0"/>
    <n v="0"/>
    <n v="0"/>
    <n v="1"/>
    <n v="0"/>
    <m/>
    <n v="65.400000000000006"/>
    <m/>
    <s v="Unique"/>
    <s v="Valid"/>
  </r>
  <r>
    <s v="USR-100589"/>
    <d v="2025-04-20T00:00:00"/>
    <x v="0"/>
    <x v="2"/>
    <x v="1"/>
    <x v="1"/>
    <x v="1"/>
    <n v="1"/>
    <n v="1"/>
    <n v="0"/>
    <n v="0"/>
    <n v="0"/>
    <n v="0"/>
    <n v="0"/>
    <m/>
    <n v="53.3"/>
    <m/>
    <s v="Unique"/>
    <s v="Valid"/>
  </r>
  <r>
    <s v="USR-100590"/>
    <d v="2025-01-16T00:00:00"/>
    <x v="0"/>
    <x v="2"/>
    <x v="1"/>
    <x v="1"/>
    <x v="2"/>
    <n v="0"/>
    <n v="0"/>
    <n v="0"/>
    <n v="0"/>
    <n v="0"/>
    <n v="2"/>
    <n v="0"/>
    <m/>
    <n v="52.3"/>
    <m/>
    <s v="Unique"/>
    <s v="Valid"/>
  </r>
  <r>
    <s v="USR-100591"/>
    <d v="2025-04-04T00:00:00"/>
    <x v="0"/>
    <x v="2"/>
    <x v="1"/>
    <x v="2"/>
    <x v="1"/>
    <n v="1"/>
    <n v="0"/>
    <n v="0"/>
    <n v="0"/>
    <n v="0"/>
    <n v="0"/>
    <n v="0"/>
    <m/>
    <n v="62.5"/>
    <m/>
    <s v="Unique"/>
    <s v="Valid"/>
  </r>
  <r>
    <s v="USR-100592"/>
    <d v="2025-01-29T00:00:00"/>
    <x v="0"/>
    <x v="0"/>
    <x v="2"/>
    <x v="4"/>
    <x v="1"/>
    <n v="1"/>
    <n v="0"/>
    <n v="0"/>
    <n v="0"/>
    <n v="0"/>
    <n v="0"/>
    <n v="0"/>
    <m/>
    <n v="69.8"/>
    <m/>
    <s v="Unique"/>
    <s v="Valid"/>
  </r>
  <r>
    <s v="USR-100593"/>
    <d v="2025-04-19T00:00:00"/>
    <x v="0"/>
    <x v="2"/>
    <x v="1"/>
    <x v="0"/>
    <x v="1"/>
    <n v="1"/>
    <n v="0"/>
    <n v="0"/>
    <n v="0"/>
    <n v="0"/>
    <n v="0"/>
    <n v="0"/>
    <m/>
    <n v="68.2"/>
    <m/>
    <s v="Unique"/>
    <s v="Valid"/>
  </r>
  <r>
    <s v="USR-100594"/>
    <d v="2025-03-10T00:00:00"/>
    <x v="0"/>
    <x v="3"/>
    <x v="1"/>
    <x v="4"/>
    <x v="0"/>
    <n v="1"/>
    <n v="1"/>
    <n v="1"/>
    <n v="1"/>
    <n v="751.73"/>
    <n v="0"/>
    <n v="0"/>
    <n v="6"/>
    <n v="35.200000000000003"/>
    <m/>
    <s v="Unique"/>
    <s v="Valid"/>
  </r>
  <r>
    <s v="USR-100595"/>
    <d v="2025-05-10T00:00:00"/>
    <x v="0"/>
    <x v="3"/>
    <x v="1"/>
    <x v="4"/>
    <x v="0"/>
    <n v="0"/>
    <n v="0"/>
    <n v="0"/>
    <n v="0"/>
    <n v="0"/>
    <n v="0"/>
    <n v="0"/>
    <m/>
    <n v="59.3"/>
    <m/>
    <s v="Unique"/>
    <s v="Valid"/>
  </r>
  <r>
    <s v="USR-100596"/>
    <d v="2025-02-02T00:00:00"/>
    <x v="0"/>
    <x v="0"/>
    <x v="1"/>
    <x v="4"/>
    <x v="1"/>
    <n v="0"/>
    <n v="0"/>
    <n v="0"/>
    <n v="0"/>
    <n v="0"/>
    <n v="0"/>
    <n v="0"/>
    <m/>
    <n v="68.099999999999994"/>
    <m/>
    <s v="Unique"/>
    <s v="Valid"/>
  </r>
  <r>
    <s v="USR-100597"/>
    <d v="2025-05-06T00:00:00"/>
    <x v="0"/>
    <x v="0"/>
    <x v="0"/>
    <x v="1"/>
    <x v="1"/>
    <n v="1"/>
    <n v="1"/>
    <n v="0"/>
    <n v="0"/>
    <n v="0"/>
    <n v="0"/>
    <n v="0"/>
    <m/>
    <n v="74.8"/>
    <m/>
    <s v="Unique"/>
    <s v="Valid"/>
  </r>
  <r>
    <s v="USR-100598"/>
    <d v="2025-01-19T00:00:00"/>
    <x v="0"/>
    <x v="1"/>
    <x v="0"/>
    <x v="1"/>
    <x v="1"/>
    <n v="1"/>
    <n v="1"/>
    <n v="1"/>
    <n v="0"/>
    <n v="0"/>
    <n v="0"/>
    <n v="0"/>
    <m/>
    <n v="61.7"/>
    <m/>
    <s v="Unique"/>
    <s v="Valid"/>
  </r>
  <r>
    <s v="USR-100599"/>
    <d v="2025-01-02T00:00:00"/>
    <x v="0"/>
    <x v="0"/>
    <x v="1"/>
    <x v="1"/>
    <x v="1"/>
    <n v="1"/>
    <n v="0"/>
    <n v="0"/>
    <n v="0"/>
    <n v="0"/>
    <n v="0"/>
    <n v="0"/>
    <m/>
    <n v="24.3"/>
    <m/>
    <s v="Unique"/>
    <s v="Valid"/>
  </r>
  <r>
    <s v="USR-100600"/>
    <d v="2025-05-03T00:00:00"/>
    <x v="0"/>
    <x v="3"/>
    <x v="0"/>
    <x v="2"/>
    <x v="1"/>
    <n v="0"/>
    <n v="0"/>
    <n v="0"/>
    <n v="0"/>
    <n v="0"/>
    <n v="1"/>
    <n v="0"/>
    <m/>
    <n v="61.9"/>
    <m/>
    <s v="Unique"/>
    <s v="Valid"/>
  </r>
  <r>
    <s v="USR-100601"/>
    <d v="2025-05-27T00:00:00"/>
    <x v="0"/>
    <x v="2"/>
    <x v="0"/>
    <x v="3"/>
    <x v="2"/>
    <n v="0"/>
    <n v="0"/>
    <n v="0"/>
    <n v="0"/>
    <n v="0"/>
    <n v="2"/>
    <n v="0"/>
    <m/>
    <n v="41.7"/>
    <m/>
    <s v="Unique"/>
    <s v="Valid"/>
  </r>
  <r>
    <s v="USR-100602"/>
    <d v="2025-02-09T00:00:00"/>
    <x v="0"/>
    <x v="3"/>
    <x v="0"/>
    <x v="4"/>
    <x v="1"/>
    <n v="1"/>
    <n v="0"/>
    <n v="0"/>
    <n v="0"/>
    <n v="0"/>
    <n v="0"/>
    <n v="0"/>
    <m/>
    <n v="87.6"/>
    <m/>
    <s v="Unique"/>
    <s v="Valid"/>
  </r>
  <r>
    <s v="USR-100603"/>
    <d v="2025-05-18T00:00:00"/>
    <x v="0"/>
    <x v="2"/>
    <x v="1"/>
    <x v="2"/>
    <x v="1"/>
    <n v="1"/>
    <n v="0"/>
    <n v="0"/>
    <n v="0"/>
    <n v="0"/>
    <n v="0"/>
    <n v="0"/>
    <m/>
    <n v="30.8"/>
    <m/>
    <s v="Unique"/>
    <s v="Valid"/>
  </r>
  <r>
    <s v="USR-100604"/>
    <d v="2025-05-17T00:00:00"/>
    <x v="0"/>
    <x v="0"/>
    <x v="1"/>
    <x v="0"/>
    <x v="1"/>
    <n v="0"/>
    <n v="0"/>
    <n v="0"/>
    <n v="0"/>
    <n v="0"/>
    <n v="0"/>
    <n v="0"/>
    <m/>
    <n v="54"/>
    <m/>
    <s v="Unique"/>
    <s v="Valid"/>
  </r>
  <r>
    <s v="USR-100605"/>
    <d v="2025-01-25T00:00:00"/>
    <x v="0"/>
    <x v="2"/>
    <x v="0"/>
    <x v="3"/>
    <x v="0"/>
    <n v="1"/>
    <n v="0"/>
    <n v="0"/>
    <n v="0"/>
    <n v="0"/>
    <n v="1"/>
    <n v="0"/>
    <m/>
    <n v="54.5"/>
    <m/>
    <s v="Unique"/>
    <s v="Valid"/>
  </r>
  <r>
    <s v="USR-100606"/>
    <d v="2025-05-04T00:00:00"/>
    <x v="0"/>
    <x v="1"/>
    <x v="1"/>
    <x v="2"/>
    <x v="2"/>
    <n v="1"/>
    <n v="1"/>
    <n v="0"/>
    <n v="0"/>
    <n v="0"/>
    <n v="0"/>
    <n v="0"/>
    <m/>
    <n v="61.3"/>
    <m/>
    <s v="Unique"/>
    <s v="Valid"/>
  </r>
  <r>
    <s v="USR-100607"/>
    <d v="2025-04-14T00:00:00"/>
    <x v="0"/>
    <x v="1"/>
    <x v="1"/>
    <x v="1"/>
    <x v="1"/>
    <n v="1"/>
    <n v="0"/>
    <n v="0"/>
    <n v="0"/>
    <n v="0"/>
    <n v="0"/>
    <n v="0"/>
    <m/>
    <n v="62.7"/>
    <m/>
    <s v="Unique"/>
    <s v="Valid"/>
  </r>
  <r>
    <s v="USR-100608"/>
    <d v="2025-04-18T00:00:00"/>
    <x v="0"/>
    <x v="3"/>
    <x v="1"/>
    <x v="2"/>
    <x v="1"/>
    <n v="1"/>
    <n v="1"/>
    <n v="0"/>
    <n v="0"/>
    <n v="0"/>
    <n v="0"/>
    <n v="0"/>
    <m/>
    <n v="43.1"/>
    <m/>
    <s v="Unique"/>
    <s v="Valid"/>
  </r>
  <r>
    <s v="USR-100609"/>
    <d v="2025-02-24T00:00:00"/>
    <x v="0"/>
    <x v="3"/>
    <x v="0"/>
    <x v="0"/>
    <x v="0"/>
    <n v="0"/>
    <n v="0"/>
    <n v="0"/>
    <n v="0"/>
    <n v="0"/>
    <n v="0"/>
    <n v="0"/>
    <m/>
    <n v="59.9"/>
    <m/>
    <s v="Unique"/>
    <s v="Valid"/>
  </r>
  <r>
    <s v="USR-100610"/>
    <d v="2025-04-19T00:00:00"/>
    <x v="0"/>
    <x v="0"/>
    <x v="2"/>
    <x v="2"/>
    <x v="1"/>
    <n v="1"/>
    <n v="1"/>
    <n v="1"/>
    <n v="0"/>
    <n v="0"/>
    <n v="0"/>
    <n v="0"/>
    <m/>
    <n v="55.7"/>
    <m/>
    <s v="Unique"/>
    <s v="Valid"/>
  </r>
  <r>
    <s v="USR-100611"/>
    <d v="2025-03-07T00:00:00"/>
    <x v="0"/>
    <x v="3"/>
    <x v="0"/>
    <x v="1"/>
    <x v="0"/>
    <n v="1"/>
    <n v="0"/>
    <n v="0"/>
    <n v="0"/>
    <n v="0"/>
    <n v="0"/>
    <n v="0"/>
    <m/>
    <n v="37.1"/>
    <m/>
    <s v="Unique"/>
    <s v="Valid"/>
  </r>
  <r>
    <s v="USR-100612"/>
    <d v="2025-03-09T00:00:00"/>
    <x v="0"/>
    <x v="2"/>
    <x v="1"/>
    <x v="1"/>
    <x v="0"/>
    <n v="0"/>
    <n v="0"/>
    <n v="0"/>
    <n v="0"/>
    <n v="0"/>
    <n v="1"/>
    <n v="0"/>
    <m/>
    <n v="46.7"/>
    <m/>
    <s v="Unique"/>
    <s v="Valid"/>
  </r>
  <r>
    <s v="USR-100613"/>
    <d v="2025-05-01T00:00:00"/>
    <x v="0"/>
    <x v="3"/>
    <x v="0"/>
    <x v="1"/>
    <x v="0"/>
    <n v="1"/>
    <n v="0"/>
    <n v="0"/>
    <n v="0"/>
    <n v="0"/>
    <n v="0"/>
    <n v="0"/>
    <m/>
    <n v="54.1"/>
    <m/>
    <s v="Unique"/>
    <s v="Valid"/>
  </r>
  <r>
    <s v="USR-100614"/>
    <d v="2025-02-09T00:00:00"/>
    <x v="0"/>
    <x v="1"/>
    <x v="0"/>
    <x v="1"/>
    <x v="2"/>
    <n v="1"/>
    <n v="1"/>
    <n v="1"/>
    <n v="0"/>
    <n v="0"/>
    <n v="0"/>
    <n v="0"/>
    <m/>
    <n v="56.1"/>
    <m/>
    <s v="Unique"/>
    <s v="Valid"/>
  </r>
  <r>
    <s v="USR-100615"/>
    <d v="2025-05-22T00:00:00"/>
    <x v="0"/>
    <x v="1"/>
    <x v="1"/>
    <x v="3"/>
    <x v="2"/>
    <n v="0"/>
    <n v="0"/>
    <n v="0"/>
    <n v="0"/>
    <n v="0"/>
    <n v="0"/>
    <n v="0"/>
    <m/>
    <n v="23.6"/>
    <m/>
    <s v="Unique"/>
    <s v="Valid"/>
  </r>
  <r>
    <s v="USR-100616"/>
    <d v="2025-02-11T00:00:00"/>
    <x v="0"/>
    <x v="0"/>
    <x v="1"/>
    <x v="1"/>
    <x v="2"/>
    <n v="0"/>
    <n v="0"/>
    <n v="0"/>
    <n v="0"/>
    <n v="0"/>
    <n v="0"/>
    <n v="0"/>
    <m/>
    <n v="54.7"/>
    <m/>
    <s v="Unique"/>
    <s v="Valid"/>
  </r>
  <r>
    <s v="USR-100617"/>
    <d v="2025-04-12T00:00:00"/>
    <x v="0"/>
    <x v="0"/>
    <x v="1"/>
    <x v="3"/>
    <x v="0"/>
    <n v="0"/>
    <n v="0"/>
    <n v="0"/>
    <n v="0"/>
    <n v="0"/>
    <n v="2"/>
    <n v="0"/>
    <m/>
    <n v="50.4"/>
    <m/>
    <s v="Unique"/>
    <s v="Valid"/>
  </r>
  <r>
    <s v="USR-100618"/>
    <d v="2025-03-01T00:00:00"/>
    <x v="0"/>
    <x v="1"/>
    <x v="1"/>
    <x v="4"/>
    <x v="1"/>
    <n v="1"/>
    <n v="0"/>
    <n v="0"/>
    <n v="0"/>
    <n v="0"/>
    <n v="0"/>
    <n v="0"/>
    <m/>
    <n v="54.5"/>
    <m/>
    <s v="Unique"/>
    <s v="Valid"/>
  </r>
  <r>
    <s v="USR-100619"/>
    <d v="2025-03-17T00:00:00"/>
    <x v="0"/>
    <x v="1"/>
    <x v="0"/>
    <x v="0"/>
    <x v="0"/>
    <n v="0"/>
    <n v="0"/>
    <n v="0"/>
    <n v="0"/>
    <n v="0"/>
    <n v="0"/>
    <n v="0"/>
    <m/>
    <n v="58"/>
    <m/>
    <s v="Unique"/>
    <s v="Valid"/>
  </r>
  <r>
    <s v="USR-100620"/>
    <d v="2025-01-11T00:00:00"/>
    <x v="0"/>
    <x v="0"/>
    <x v="1"/>
    <x v="2"/>
    <x v="1"/>
    <n v="0"/>
    <n v="0"/>
    <n v="0"/>
    <n v="0"/>
    <n v="0"/>
    <n v="0"/>
    <n v="0"/>
    <m/>
    <n v="42.9"/>
    <m/>
    <s v="Unique"/>
    <s v="Valid"/>
  </r>
  <r>
    <s v="USR-100621"/>
    <d v="2025-02-17T00:00:00"/>
    <x v="0"/>
    <x v="3"/>
    <x v="1"/>
    <x v="4"/>
    <x v="2"/>
    <n v="1"/>
    <n v="0"/>
    <n v="0"/>
    <n v="0"/>
    <n v="0"/>
    <n v="0"/>
    <n v="0"/>
    <m/>
    <n v="51.1"/>
    <m/>
    <s v="Unique"/>
    <s v="Valid"/>
  </r>
  <r>
    <s v="USR-100622"/>
    <d v="2025-03-25T00:00:00"/>
    <x v="0"/>
    <x v="2"/>
    <x v="1"/>
    <x v="2"/>
    <x v="0"/>
    <n v="1"/>
    <n v="1"/>
    <n v="0"/>
    <n v="0"/>
    <n v="0"/>
    <n v="0"/>
    <n v="0"/>
    <m/>
    <n v="51.8"/>
    <m/>
    <s v="Unique"/>
    <s v="Valid"/>
  </r>
  <r>
    <s v="USR-100623"/>
    <d v="2025-05-01T00:00:00"/>
    <x v="0"/>
    <x v="3"/>
    <x v="1"/>
    <x v="2"/>
    <x v="1"/>
    <n v="0"/>
    <n v="0"/>
    <n v="0"/>
    <n v="0"/>
    <n v="0"/>
    <n v="0"/>
    <n v="0"/>
    <m/>
    <n v="67.7"/>
    <m/>
    <s v="Unique"/>
    <s v="Valid"/>
  </r>
  <r>
    <s v="USR-100624"/>
    <d v="2025-04-02T00:00:00"/>
    <x v="0"/>
    <x v="2"/>
    <x v="1"/>
    <x v="1"/>
    <x v="0"/>
    <n v="0"/>
    <n v="0"/>
    <n v="0"/>
    <n v="0"/>
    <n v="0"/>
    <n v="0"/>
    <n v="0"/>
    <m/>
    <n v="75.8"/>
    <m/>
    <s v="Unique"/>
    <s v="Valid"/>
  </r>
  <r>
    <s v="USR-100625"/>
    <d v="2025-04-05T00:00:00"/>
    <x v="0"/>
    <x v="2"/>
    <x v="1"/>
    <x v="0"/>
    <x v="1"/>
    <n v="1"/>
    <n v="1"/>
    <n v="0"/>
    <n v="0"/>
    <n v="0"/>
    <n v="0"/>
    <n v="0"/>
    <m/>
    <n v="72.8"/>
    <m/>
    <s v="Unique"/>
    <s v="Valid"/>
  </r>
  <r>
    <s v="USR-100626"/>
    <d v="2025-02-24T00:00:00"/>
    <x v="0"/>
    <x v="0"/>
    <x v="0"/>
    <x v="4"/>
    <x v="1"/>
    <n v="1"/>
    <n v="1"/>
    <n v="0"/>
    <n v="0"/>
    <n v="0"/>
    <n v="0"/>
    <n v="0"/>
    <m/>
    <n v="54.4"/>
    <m/>
    <s v="Unique"/>
    <s v="Valid"/>
  </r>
  <r>
    <s v="USR-100627"/>
    <d v="2025-01-24T00:00:00"/>
    <x v="0"/>
    <x v="1"/>
    <x v="1"/>
    <x v="2"/>
    <x v="0"/>
    <n v="1"/>
    <n v="0"/>
    <n v="0"/>
    <n v="0"/>
    <n v="0"/>
    <n v="0"/>
    <n v="0"/>
    <m/>
    <n v="51.8"/>
    <m/>
    <s v="Unique"/>
    <s v="Valid"/>
  </r>
  <r>
    <s v="USR-100628"/>
    <d v="2025-04-10T00:00:00"/>
    <x v="0"/>
    <x v="3"/>
    <x v="1"/>
    <x v="2"/>
    <x v="1"/>
    <n v="0"/>
    <n v="0"/>
    <n v="0"/>
    <n v="0"/>
    <n v="0"/>
    <n v="0"/>
    <n v="0"/>
    <m/>
    <n v="40.299999999999997"/>
    <m/>
    <s v="Unique"/>
    <s v="Valid"/>
  </r>
  <r>
    <s v="USR-100629"/>
    <d v="2025-02-19T00:00:00"/>
    <x v="0"/>
    <x v="3"/>
    <x v="1"/>
    <x v="3"/>
    <x v="1"/>
    <n v="1"/>
    <n v="1"/>
    <n v="1"/>
    <n v="0"/>
    <n v="0"/>
    <n v="0"/>
    <n v="0"/>
    <m/>
    <n v="61.7"/>
    <m/>
    <s v="Unique"/>
    <s v="Valid"/>
  </r>
  <r>
    <s v="USR-100630"/>
    <d v="2025-03-22T00:00:00"/>
    <x v="0"/>
    <x v="0"/>
    <x v="1"/>
    <x v="4"/>
    <x v="1"/>
    <n v="0"/>
    <n v="0"/>
    <n v="0"/>
    <n v="0"/>
    <n v="0"/>
    <n v="0"/>
    <n v="0"/>
    <m/>
    <n v="45"/>
    <m/>
    <s v="Unique"/>
    <s v="Valid"/>
  </r>
  <r>
    <s v="USR-100631"/>
    <d v="2025-04-08T00:00:00"/>
    <x v="0"/>
    <x v="2"/>
    <x v="0"/>
    <x v="1"/>
    <x v="2"/>
    <n v="1"/>
    <n v="1"/>
    <n v="1"/>
    <n v="0"/>
    <n v="0"/>
    <n v="0"/>
    <n v="0"/>
    <m/>
    <n v="60"/>
    <m/>
    <s v="Unique"/>
    <s v="Valid"/>
  </r>
  <r>
    <s v="USR-100632"/>
    <d v="2025-03-16T00:00:00"/>
    <x v="0"/>
    <x v="0"/>
    <x v="1"/>
    <x v="4"/>
    <x v="1"/>
    <n v="1"/>
    <n v="0"/>
    <n v="0"/>
    <n v="0"/>
    <n v="0"/>
    <n v="0"/>
    <n v="0"/>
    <m/>
    <n v="60.02"/>
    <m/>
    <s v="Unique"/>
    <s v="Valid"/>
  </r>
  <r>
    <s v="USR-100633"/>
    <d v="2025-03-07T00:00:00"/>
    <x v="0"/>
    <x v="2"/>
    <x v="1"/>
    <x v="2"/>
    <x v="1"/>
    <n v="1"/>
    <n v="0"/>
    <n v="0"/>
    <n v="0"/>
    <n v="0"/>
    <n v="0"/>
    <n v="0"/>
    <m/>
    <n v="55.5"/>
    <m/>
    <s v="Unique"/>
    <s v="Valid"/>
  </r>
  <r>
    <s v="USR-100634"/>
    <d v="2025-03-16T00:00:00"/>
    <x v="0"/>
    <x v="3"/>
    <x v="1"/>
    <x v="3"/>
    <x v="0"/>
    <n v="0"/>
    <n v="0"/>
    <n v="0"/>
    <n v="0"/>
    <n v="0"/>
    <n v="0"/>
    <n v="0"/>
    <m/>
    <n v="51.8"/>
    <m/>
    <s v="Unique"/>
    <s v="Valid"/>
  </r>
  <r>
    <s v="USR-100635"/>
    <d v="2025-05-26T00:00:00"/>
    <x v="0"/>
    <x v="2"/>
    <x v="1"/>
    <x v="5"/>
    <x v="2"/>
    <n v="1"/>
    <n v="0"/>
    <n v="0"/>
    <n v="0"/>
    <n v="0"/>
    <n v="3"/>
    <n v="0"/>
    <m/>
    <n v="56"/>
    <m/>
    <s v="Unique"/>
    <s v="Valid"/>
  </r>
  <r>
    <s v="USR-100636"/>
    <d v="2025-01-14T00:00:00"/>
    <x v="0"/>
    <x v="1"/>
    <x v="1"/>
    <x v="1"/>
    <x v="1"/>
    <n v="0"/>
    <n v="0"/>
    <n v="0"/>
    <n v="0"/>
    <n v="0"/>
    <n v="0"/>
    <n v="0"/>
    <m/>
    <n v="52.5"/>
    <m/>
    <s v="Unique"/>
    <s v="Valid"/>
  </r>
  <r>
    <s v="USR-100637"/>
    <d v="2025-03-30T00:00:00"/>
    <x v="0"/>
    <x v="1"/>
    <x v="1"/>
    <x v="2"/>
    <x v="2"/>
    <n v="1"/>
    <n v="0"/>
    <n v="0"/>
    <n v="0"/>
    <n v="0"/>
    <n v="0"/>
    <n v="0"/>
    <m/>
    <n v="42.5"/>
    <m/>
    <s v="Unique"/>
    <s v="Valid"/>
  </r>
  <r>
    <s v="USR-100638"/>
    <d v="2025-05-12T00:00:00"/>
    <x v="0"/>
    <x v="2"/>
    <x v="0"/>
    <x v="0"/>
    <x v="1"/>
    <n v="1"/>
    <n v="1"/>
    <n v="1"/>
    <n v="0"/>
    <n v="0"/>
    <n v="0"/>
    <n v="0"/>
    <m/>
    <n v="65.3"/>
    <m/>
    <s v="Unique"/>
    <s v="Valid"/>
  </r>
  <r>
    <s v="USR-100639"/>
    <d v="2025-05-10T00:00:00"/>
    <x v="0"/>
    <x v="1"/>
    <x v="1"/>
    <x v="2"/>
    <x v="1"/>
    <n v="0"/>
    <n v="0"/>
    <n v="0"/>
    <n v="0"/>
    <n v="0"/>
    <n v="0"/>
    <n v="0"/>
    <m/>
    <n v="37.6"/>
    <m/>
    <s v="Unique"/>
    <s v="Valid"/>
  </r>
  <r>
    <s v="USR-100640"/>
    <d v="2025-04-09T00:00:00"/>
    <x v="0"/>
    <x v="2"/>
    <x v="1"/>
    <x v="4"/>
    <x v="0"/>
    <n v="0"/>
    <n v="0"/>
    <n v="0"/>
    <n v="0"/>
    <n v="0"/>
    <n v="0"/>
    <n v="0"/>
    <m/>
    <n v="57.8"/>
    <m/>
    <s v="Unique"/>
    <s v="Valid"/>
  </r>
  <r>
    <s v="USR-100641"/>
    <d v="2025-05-26T00:00:00"/>
    <x v="0"/>
    <x v="0"/>
    <x v="1"/>
    <x v="4"/>
    <x v="1"/>
    <n v="1"/>
    <n v="0"/>
    <n v="0"/>
    <n v="0"/>
    <n v="0"/>
    <n v="0"/>
    <n v="0"/>
    <m/>
    <n v="52.7"/>
    <m/>
    <s v="Unique"/>
    <s v="Valid"/>
  </r>
  <r>
    <s v="USR-100642"/>
    <d v="2025-02-12T00:00:00"/>
    <x v="0"/>
    <x v="0"/>
    <x v="1"/>
    <x v="1"/>
    <x v="1"/>
    <n v="1"/>
    <n v="0"/>
    <n v="0"/>
    <n v="0"/>
    <n v="0"/>
    <n v="0"/>
    <n v="0"/>
    <m/>
    <n v="51.7"/>
    <m/>
    <s v="Unique"/>
    <s v="Valid"/>
  </r>
  <r>
    <s v="USR-100643"/>
    <d v="2025-04-01T00:00:00"/>
    <x v="0"/>
    <x v="0"/>
    <x v="0"/>
    <x v="0"/>
    <x v="0"/>
    <n v="0"/>
    <n v="0"/>
    <n v="0"/>
    <n v="0"/>
    <n v="0"/>
    <n v="0"/>
    <n v="0"/>
    <m/>
    <n v="57"/>
    <m/>
    <s v="Unique"/>
    <s v="Valid"/>
  </r>
  <r>
    <s v="USR-100644"/>
    <d v="2025-01-18T00:00:00"/>
    <x v="0"/>
    <x v="3"/>
    <x v="0"/>
    <x v="1"/>
    <x v="0"/>
    <n v="0"/>
    <n v="0"/>
    <n v="0"/>
    <n v="0"/>
    <n v="0"/>
    <n v="0"/>
    <n v="0"/>
    <m/>
    <n v="39.5"/>
    <m/>
    <s v="Unique"/>
    <s v="Valid"/>
  </r>
  <r>
    <s v="USR-100645"/>
    <d v="2025-04-06T00:00:00"/>
    <x v="0"/>
    <x v="2"/>
    <x v="2"/>
    <x v="1"/>
    <x v="1"/>
    <n v="1"/>
    <n v="0"/>
    <n v="0"/>
    <n v="0"/>
    <n v="0"/>
    <n v="0"/>
    <n v="0"/>
    <m/>
    <n v="76.5"/>
    <m/>
    <s v="Unique"/>
    <s v="Valid"/>
  </r>
  <r>
    <s v="USR-100646"/>
    <d v="2025-04-17T00:00:00"/>
    <x v="0"/>
    <x v="2"/>
    <x v="1"/>
    <x v="1"/>
    <x v="1"/>
    <n v="1"/>
    <n v="0"/>
    <n v="0"/>
    <n v="0"/>
    <n v="0"/>
    <n v="0"/>
    <n v="0"/>
    <m/>
    <n v="32.4"/>
    <m/>
    <s v="Unique"/>
    <s v="Valid"/>
  </r>
  <r>
    <s v="USR-100647"/>
    <d v="2025-02-07T00:00:00"/>
    <x v="0"/>
    <x v="0"/>
    <x v="0"/>
    <x v="2"/>
    <x v="1"/>
    <n v="0"/>
    <n v="0"/>
    <n v="0"/>
    <n v="0"/>
    <n v="0"/>
    <n v="0"/>
    <n v="0"/>
    <m/>
    <n v="58.6"/>
    <m/>
    <s v="Unique"/>
    <s v="Valid"/>
  </r>
  <r>
    <s v="USR-100648"/>
    <d v="2025-03-04T00:00:00"/>
    <x v="0"/>
    <x v="2"/>
    <x v="1"/>
    <x v="1"/>
    <x v="0"/>
    <n v="1"/>
    <n v="0"/>
    <n v="0"/>
    <n v="0"/>
    <n v="0"/>
    <n v="0"/>
    <n v="0"/>
    <m/>
    <n v="78.599999999999994"/>
    <m/>
    <s v="Unique"/>
    <s v="Valid"/>
  </r>
  <r>
    <s v="USR-100649"/>
    <d v="2025-02-17T00:00:00"/>
    <x v="0"/>
    <x v="0"/>
    <x v="0"/>
    <x v="1"/>
    <x v="2"/>
    <n v="0"/>
    <n v="0"/>
    <n v="0"/>
    <n v="0"/>
    <n v="0"/>
    <n v="0"/>
    <n v="0"/>
    <m/>
    <n v="54.5"/>
    <m/>
    <s v="Unique"/>
    <s v="Valid"/>
  </r>
  <r>
    <s v="USR-100650"/>
    <d v="2025-05-06T00:00:00"/>
    <x v="0"/>
    <x v="3"/>
    <x v="1"/>
    <x v="3"/>
    <x v="1"/>
    <n v="1"/>
    <n v="0"/>
    <n v="0"/>
    <n v="0"/>
    <n v="0"/>
    <n v="0"/>
    <n v="0"/>
    <m/>
    <n v="57.6"/>
    <m/>
    <s v="Unique"/>
    <s v="Valid"/>
  </r>
  <r>
    <s v="USR-100651"/>
    <d v="2025-03-25T00:00:00"/>
    <x v="0"/>
    <x v="3"/>
    <x v="1"/>
    <x v="3"/>
    <x v="2"/>
    <n v="0"/>
    <n v="0"/>
    <n v="0"/>
    <n v="0"/>
    <n v="0"/>
    <n v="0"/>
    <n v="0"/>
    <m/>
    <n v="52.8"/>
    <m/>
    <s v="Unique"/>
    <s v="Valid"/>
  </r>
  <r>
    <s v="USR-100652"/>
    <d v="2025-03-04T00:00:00"/>
    <x v="0"/>
    <x v="1"/>
    <x v="1"/>
    <x v="0"/>
    <x v="2"/>
    <n v="1"/>
    <n v="0"/>
    <n v="0"/>
    <n v="0"/>
    <n v="0"/>
    <n v="0"/>
    <n v="0"/>
    <m/>
    <n v="52.9"/>
    <m/>
    <s v="Unique"/>
    <s v="Valid"/>
  </r>
  <r>
    <s v="USR-100653"/>
    <d v="2025-05-09T00:00:00"/>
    <x v="0"/>
    <x v="1"/>
    <x v="1"/>
    <x v="1"/>
    <x v="1"/>
    <n v="1"/>
    <n v="0"/>
    <n v="0"/>
    <n v="0"/>
    <n v="0"/>
    <n v="1"/>
    <n v="0"/>
    <m/>
    <n v="55.9"/>
    <m/>
    <s v="Unique"/>
    <s v="Valid"/>
  </r>
  <r>
    <s v="USR-100654"/>
    <d v="2025-05-17T00:00:00"/>
    <x v="0"/>
    <x v="1"/>
    <x v="1"/>
    <x v="3"/>
    <x v="2"/>
    <n v="1"/>
    <n v="0"/>
    <n v="0"/>
    <n v="0"/>
    <n v="0"/>
    <n v="0"/>
    <n v="0"/>
    <m/>
    <n v="74.2"/>
    <m/>
    <s v="Unique"/>
    <s v="Valid"/>
  </r>
  <r>
    <s v="USR-100655"/>
    <d v="2025-01-12T00:00:00"/>
    <x v="0"/>
    <x v="1"/>
    <x v="1"/>
    <x v="1"/>
    <x v="1"/>
    <n v="0"/>
    <n v="0"/>
    <n v="0"/>
    <n v="0"/>
    <n v="0"/>
    <n v="0"/>
    <n v="0"/>
    <m/>
    <n v="46.3"/>
    <m/>
    <s v="Unique"/>
    <s v="Valid"/>
  </r>
  <r>
    <s v="USR-100656"/>
    <d v="2025-03-12T00:00:00"/>
    <x v="0"/>
    <x v="1"/>
    <x v="1"/>
    <x v="1"/>
    <x v="2"/>
    <n v="1"/>
    <n v="0"/>
    <n v="0"/>
    <n v="0"/>
    <n v="0"/>
    <n v="0"/>
    <n v="0"/>
    <m/>
    <n v="62"/>
    <m/>
    <s v="Unique"/>
    <s v="Valid"/>
  </r>
  <r>
    <s v="USR-100657"/>
    <d v="2025-04-02T00:00:00"/>
    <x v="0"/>
    <x v="3"/>
    <x v="1"/>
    <x v="1"/>
    <x v="0"/>
    <n v="0"/>
    <n v="0"/>
    <n v="0"/>
    <n v="0"/>
    <n v="0"/>
    <n v="0"/>
    <n v="0"/>
    <m/>
    <n v="55.6"/>
    <m/>
    <s v="Unique"/>
    <s v="Valid"/>
  </r>
  <r>
    <s v="USR-100658"/>
    <d v="2025-01-13T00:00:00"/>
    <x v="0"/>
    <x v="3"/>
    <x v="1"/>
    <x v="1"/>
    <x v="0"/>
    <n v="1"/>
    <n v="0"/>
    <n v="0"/>
    <n v="0"/>
    <n v="0"/>
    <n v="0"/>
    <n v="0"/>
    <m/>
    <n v="62.8"/>
    <m/>
    <s v="Unique"/>
    <s v="Valid"/>
  </r>
  <r>
    <s v="USR-100659"/>
    <d v="2025-03-07T00:00:00"/>
    <x v="0"/>
    <x v="2"/>
    <x v="1"/>
    <x v="3"/>
    <x v="1"/>
    <n v="0"/>
    <n v="0"/>
    <n v="0"/>
    <n v="0"/>
    <n v="0"/>
    <n v="0"/>
    <n v="0"/>
    <m/>
    <n v="73.099999999999994"/>
    <m/>
    <s v="Unique"/>
    <s v="Valid"/>
  </r>
  <r>
    <s v="USR-100660"/>
    <d v="2025-04-20T00:00:00"/>
    <x v="0"/>
    <x v="3"/>
    <x v="0"/>
    <x v="4"/>
    <x v="1"/>
    <n v="1"/>
    <n v="1"/>
    <n v="1"/>
    <n v="1"/>
    <n v="347.52"/>
    <n v="0"/>
    <n v="0"/>
    <n v="2"/>
    <n v="57.2"/>
    <m/>
    <s v="Unique"/>
    <s v="Valid"/>
  </r>
  <r>
    <s v="USR-100661"/>
    <d v="2025-01-07T00:00:00"/>
    <x v="0"/>
    <x v="3"/>
    <x v="1"/>
    <x v="2"/>
    <x v="1"/>
    <n v="1"/>
    <n v="0"/>
    <n v="0"/>
    <n v="0"/>
    <n v="0"/>
    <n v="0"/>
    <n v="0"/>
    <m/>
    <n v="67.900000000000006"/>
    <m/>
    <s v="Unique"/>
    <s v="Valid"/>
  </r>
  <r>
    <s v="USR-100662"/>
    <d v="2025-04-23T00:00:00"/>
    <x v="0"/>
    <x v="3"/>
    <x v="1"/>
    <x v="3"/>
    <x v="1"/>
    <n v="0"/>
    <n v="0"/>
    <n v="0"/>
    <n v="0"/>
    <n v="0"/>
    <n v="0"/>
    <n v="0"/>
    <m/>
    <n v="50.1"/>
    <m/>
    <s v="Unique"/>
    <s v="Valid"/>
  </r>
  <r>
    <s v="USR-100663"/>
    <d v="2025-05-26T00:00:00"/>
    <x v="0"/>
    <x v="0"/>
    <x v="1"/>
    <x v="2"/>
    <x v="0"/>
    <n v="0"/>
    <n v="0"/>
    <n v="0"/>
    <n v="0"/>
    <n v="0"/>
    <n v="0"/>
    <n v="0"/>
    <m/>
    <n v="67.8"/>
    <m/>
    <s v="Unique"/>
    <s v="Valid"/>
  </r>
  <r>
    <s v="USR-100664"/>
    <d v="2025-03-17T00:00:00"/>
    <x v="0"/>
    <x v="0"/>
    <x v="0"/>
    <x v="4"/>
    <x v="0"/>
    <n v="1"/>
    <n v="1"/>
    <n v="1"/>
    <n v="0"/>
    <n v="0"/>
    <n v="0"/>
    <n v="0"/>
    <m/>
    <n v="60.8"/>
    <m/>
    <s v="Unique"/>
    <s v="Valid"/>
  </r>
  <r>
    <s v="USR-100665"/>
    <d v="2025-05-17T00:00:00"/>
    <x v="0"/>
    <x v="0"/>
    <x v="0"/>
    <x v="2"/>
    <x v="0"/>
    <n v="1"/>
    <n v="0"/>
    <n v="0"/>
    <n v="0"/>
    <n v="0"/>
    <n v="3"/>
    <n v="0"/>
    <m/>
    <n v="33.700000000000003"/>
    <m/>
    <s v="Unique"/>
    <s v="Valid"/>
  </r>
  <r>
    <s v="USR-100666"/>
    <d v="2025-02-21T00:00:00"/>
    <x v="0"/>
    <x v="0"/>
    <x v="1"/>
    <x v="2"/>
    <x v="0"/>
    <n v="0"/>
    <n v="0"/>
    <n v="0"/>
    <n v="0"/>
    <n v="0"/>
    <n v="0"/>
    <n v="0"/>
    <m/>
    <n v="45.2"/>
    <m/>
    <s v="Unique"/>
    <s v="Valid"/>
  </r>
  <r>
    <s v="USR-100667"/>
    <d v="2025-02-25T00:00:00"/>
    <x v="0"/>
    <x v="2"/>
    <x v="0"/>
    <x v="2"/>
    <x v="2"/>
    <n v="0"/>
    <n v="0"/>
    <n v="0"/>
    <n v="0"/>
    <n v="0"/>
    <n v="0"/>
    <n v="0"/>
    <m/>
    <n v="48.2"/>
    <m/>
    <s v="Unique"/>
    <s v="Valid"/>
  </r>
  <r>
    <s v="USR-100668"/>
    <d v="2025-01-30T00:00:00"/>
    <x v="0"/>
    <x v="3"/>
    <x v="1"/>
    <x v="4"/>
    <x v="1"/>
    <n v="1"/>
    <n v="1"/>
    <n v="0"/>
    <n v="0"/>
    <n v="0"/>
    <n v="1"/>
    <n v="0"/>
    <m/>
    <n v="44.8"/>
    <m/>
    <s v="Unique"/>
    <s v="Valid"/>
  </r>
  <r>
    <s v="USR-100669"/>
    <d v="2025-02-17T00:00:00"/>
    <x v="0"/>
    <x v="0"/>
    <x v="2"/>
    <x v="4"/>
    <x v="0"/>
    <n v="0"/>
    <n v="0"/>
    <n v="0"/>
    <n v="0"/>
    <n v="0"/>
    <n v="0"/>
    <n v="0"/>
    <m/>
    <n v="52.1"/>
    <m/>
    <s v="Unique"/>
    <s v="Valid"/>
  </r>
  <r>
    <s v="USR-100670"/>
    <d v="2025-05-17T00:00:00"/>
    <x v="0"/>
    <x v="0"/>
    <x v="0"/>
    <x v="2"/>
    <x v="0"/>
    <n v="1"/>
    <n v="0"/>
    <n v="0"/>
    <n v="0"/>
    <n v="0"/>
    <n v="0"/>
    <n v="0"/>
    <m/>
    <n v="30.7"/>
    <m/>
    <s v="Unique"/>
    <s v="Valid"/>
  </r>
  <r>
    <s v="USR-100671"/>
    <d v="2025-04-30T00:00:00"/>
    <x v="0"/>
    <x v="2"/>
    <x v="0"/>
    <x v="2"/>
    <x v="1"/>
    <n v="1"/>
    <n v="0"/>
    <n v="0"/>
    <n v="0"/>
    <n v="0"/>
    <n v="0"/>
    <n v="0"/>
    <m/>
    <n v="58.4"/>
    <m/>
    <s v="Unique"/>
    <s v="Valid"/>
  </r>
  <r>
    <s v="USR-100672"/>
    <d v="2025-03-22T00:00:00"/>
    <x v="0"/>
    <x v="1"/>
    <x v="1"/>
    <x v="3"/>
    <x v="1"/>
    <n v="1"/>
    <n v="1"/>
    <n v="0"/>
    <n v="0"/>
    <n v="0"/>
    <n v="0"/>
    <n v="0"/>
    <m/>
    <n v="52.6"/>
    <m/>
    <s v="Unique"/>
    <s v="Valid"/>
  </r>
  <r>
    <s v="USR-100673"/>
    <d v="2025-01-10T00:00:00"/>
    <x v="0"/>
    <x v="1"/>
    <x v="3"/>
    <x v="2"/>
    <x v="1"/>
    <n v="1"/>
    <n v="0"/>
    <n v="0"/>
    <n v="0"/>
    <n v="0"/>
    <n v="1"/>
    <n v="0"/>
    <m/>
    <n v="19.100000000000001"/>
    <m/>
    <s v="Unique"/>
    <s v="Valid"/>
  </r>
  <r>
    <s v="USR-100674"/>
    <d v="2025-03-21T00:00:00"/>
    <x v="0"/>
    <x v="3"/>
    <x v="3"/>
    <x v="2"/>
    <x v="1"/>
    <n v="1"/>
    <n v="0"/>
    <n v="0"/>
    <n v="0"/>
    <n v="0"/>
    <n v="0"/>
    <n v="0"/>
    <m/>
    <n v="36.799999999999997"/>
    <m/>
    <s v="Unique"/>
    <s v="Valid"/>
  </r>
  <r>
    <s v="USR-100675"/>
    <d v="2025-05-12T00:00:00"/>
    <x v="0"/>
    <x v="0"/>
    <x v="0"/>
    <x v="2"/>
    <x v="0"/>
    <n v="0"/>
    <n v="0"/>
    <n v="0"/>
    <n v="0"/>
    <n v="0"/>
    <n v="0"/>
    <n v="0"/>
    <m/>
    <n v="68.5"/>
    <m/>
    <s v="Unique"/>
    <s v="Valid"/>
  </r>
  <r>
    <s v="USR-100676"/>
    <d v="2025-05-24T00:00:00"/>
    <x v="0"/>
    <x v="1"/>
    <x v="1"/>
    <x v="2"/>
    <x v="1"/>
    <n v="1"/>
    <n v="1"/>
    <n v="1"/>
    <n v="0"/>
    <n v="0"/>
    <n v="0"/>
    <n v="0"/>
    <m/>
    <n v="40.1"/>
    <m/>
    <s v="Unique"/>
    <s v="Valid"/>
  </r>
  <r>
    <s v="USR-100677"/>
    <d v="2025-05-03T00:00:00"/>
    <x v="0"/>
    <x v="1"/>
    <x v="2"/>
    <x v="1"/>
    <x v="1"/>
    <n v="1"/>
    <n v="0"/>
    <n v="0"/>
    <n v="0"/>
    <n v="0"/>
    <n v="0"/>
    <n v="0"/>
    <m/>
    <n v="47.5"/>
    <m/>
    <s v="Unique"/>
    <s v="Valid"/>
  </r>
  <r>
    <s v="USR-100678"/>
    <d v="2025-01-14T00:00:00"/>
    <x v="0"/>
    <x v="3"/>
    <x v="1"/>
    <x v="1"/>
    <x v="0"/>
    <n v="1"/>
    <n v="0"/>
    <n v="0"/>
    <n v="0"/>
    <n v="0"/>
    <n v="0"/>
    <n v="0"/>
    <m/>
    <n v="77.099999999999994"/>
    <m/>
    <s v="Unique"/>
    <s v="Valid"/>
  </r>
  <r>
    <s v="USR-100679"/>
    <d v="2025-03-27T00:00:00"/>
    <x v="0"/>
    <x v="1"/>
    <x v="1"/>
    <x v="4"/>
    <x v="0"/>
    <n v="1"/>
    <n v="0"/>
    <n v="0"/>
    <n v="0"/>
    <n v="0"/>
    <n v="0"/>
    <n v="0"/>
    <m/>
    <n v="75.900000000000006"/>
    <m/>
    <s v="Unique"/>
    <s v="Valid"/>
  </r>
  <r>
    <s v="USR-100680"/>
    <d v="2025-02-28T00:00:00"/>
    <x v="0"/>
    <x v="0"/>
    <x v="0"/>
    <x v="3"/>
    <x v="2"/>
    <n v="0"/>
    <n v="0"/>
    <n v="0"/>
    <n v="0"/>
    <n v="0"/>
    <n v="1"/>
    <n v="0"/>
    <m/>
    <n v="52"/>
    <m/>
    <s v="Unique"/>
    <s v="Valid"/>
  </r>
  <r>
    <s v="USR-100681"/>
    <d v="2025-05-12T00:00:00"/>
    <x v="0"/>
    <x v="1"/>
    <x v="0"/>
    <x v="3"/>
    <x v="2"/>
    <n v="1"/>
    <n v="1"/>
    <n v="1"/>
    <n v="0"/>
    <n v="0"/>
    <n v="0"/>
    <n v="0"/>
    <m/>
    <n v="64.900000000000006"/>
    <m/>
    <s v="Unique"/>
    <s v="Valid"/>
  </r>
  <r>
    <s v="USR-100682"/>
    <d v="2025-03-14T00:00:00"/>
    <x v="0"/>
    <x v="0"/>
    <x v="1"/>
    <x v="1"/>
    <x v="1"/>
    <n v="1"/>
    <n v="0"/>
    <n v="0"/>
    <n v="0"/>
    <n v="0"/>
    <n v="0"/>
    <n v="0"/>
    <m/>
    <n v="48.2"/>
    <m/>
    <s v="Unique"/>
    <s v="Valid"/>
  </r>
  <r>
    <s v="USR-100683"/>
    <d v="2025-05-20T00:00:00"/>
    <x v="0"/>
    <x v="2"/>
    <x v="1"/>
    <x v="1"/>
    <x v="0"/>
    <n v="0"/>
    <n v="0"/>
    <n v="0"/>
    <n v="0"/>
    <n v="0"/>
    <n v="0"/>
    <n v="0"/>
    <m/>
    <n v="42.1"/>
    <m/>
    <s v="Unique"/>
    <s v="Valid"/>
  </r>
  <r>
    <s v="USR-100684"/>
    <d v="2025-02-24T00:00:00"/>
    <x v="0"/>
    <x v="3"/>
    <x v="0"/>
    <x v="3"/>
    <x v="1"/>
    <n v="0"/>
    <n v="0"/>
    <n v="0"/>
    <n v="0"/>
    <n v="0"/>
    <n v="0"/>
    <n v="0"/>
    <m/>
    <n v="27.6"/>
    <m/>
    <s v="Unique"/>
    <s v="Valid"/>
  </r>
  <r>
    <s v="USR-100685"/>
    <d v="2025-02-13T00:00:00"/>
    <x v="0"/>
    <x v="1"/>
    <x v="1"/>
    <x v="1"/>
    <x v="2"/>
    <n v="1"/>
    <n v="0"/>
    <n v="0"/>
    <n v="0"/>
    <n v="0"/>
    <n v="1"/>
    <n v="0"/>
    <m/>
    <n v="68.5"/>
    <m/>
    <s v="Unique"/>
    <s v="Valid"/>
  </r>
  <r>
    <s v="USR-100686"/>
    <d v="2025-02-06T00:00:00"/>
    <x v="0"/>
    <x v="3"/>
    <x v="0"/>
    <x v="1"/>
    <x v="1"/>
    <n v="1"/>
    <n v="1"/>
    <n v="1"/>
    <n v="0"/>
    <n v="0"/>
    <n v="0"/>
    <n v="0"/>
    <m/>
    <n v="59.2"/>
    <m/>
    <s v="Unique"/>
    <s v="Valid"/>
  </r>
  <r>
    <s v="USR-100687"/>
    <d v="2025-03-02T00:00:00"/>
    <x v="0"/>
    <x v="0"/>
    <x v="1"/>
    <x v="4"/>
    <x v="0"/>
    <n v="1"/>
    <n v="0"/>
    <n v="0"/>
    <n v="0"/>
    <n v="0"/>
    <n v="0"/>
    <n v="0"/>
    <m/>
    <n v="63.3"/>
    <m/>
    <s v="Unique"/>
    <s v="Valid"/>
  </r>
  <r>
    <s v="USR-100688"/>
    <d v="2025-04-28T00:00:00"/>
    <x v="0"/>
    <x v="2"/>
    <x v="0"/>
    <x v="2"/>
    <x v="1"/>
    <n v="0"/>
    <n v="0"/>
    <n v="0"/>
    <n v="0"/>
    <n v="0"/>
    <n v="0"/>
    <n v="0"/>
    <m/>
    <n v="55"/>
    <m/>
    <s v="Unique"/>
    <s v="Valid"/>
  </r>
  <r>
    <s v="USR-100689"/>
    <d v="2025-05-27T00:00:00"/>
    <x v="0"/>
    <x v="0"/>
    <x v="0"/>
    <x v="5"/>
    <x v="2"/>
    <n v="1"/>
    <n v="0"/>
    <n v="0"/>
    <n v="0"/>
    <n v="0"/>
    <n v="0"/>
    <n v="0"/>
    <m/>
    <n v="64.8"/>
    <m/>
    <s v="Unique"/>
    <s v="Valid"/>
  </r>
  <r>
    <s v="USR-100690"/>
    <d v="2025-04-07T00:00:00"/>
    <x v="0"/>
    <x v="3"/>
    <x v="0"/>
    <x v="1"/>
    <x v="0"/>
    <n v="0"/>
    <n v="0"/>
    <n v="0"/>
    <n v="0"/>
    <n v="0"/>
    <n v="2"/>
    <n v="0"/>
    <m/>
    <n v="41.8"/>
    <m/>
    <s v="Unique"/>
    <s v="Valid"/>
  </r>
  <r>
    <s v="USR-100691"/>
    <d v="2025-04-14T00:00:00"/>
    <x v="1"/>
    <x v="2"/>
    <x v="0"/>
    <x v="4"/>
    <x v="0"/>
    <n v="1"/>
    <n v="0"/>
    <n v="0"/>
    <n v="0"/>
    <n v="0"/>
    <n v="0"/>
    <n v="0"/>
    <m/>
    <n v="73.2"/>
    <m/>
    <s v="Unique"/>
    <s v="Valid"/>
  </r>
  <r>
    <s v="USR-100692"/>
    <d v="2025-05-09T00:00:00"/>
    <x v="1"/>
    <x v="2"/>
    <x v="0"/>
    <x v="1"/>
    <x v="0"/>
    <n v="1"/>
    <n v="1"/>
    <n v="1"/>
    <n v="0"/>
    <n v="0"/>
    <n v="3"/>
    <n v="0"/>
    <m/>
    <n v="55.7"/>
    <m/>
    <s v="Unique"/>
    <s v="Valid"/>
  </r>
  <r>
    <s v="USR-100693"/>
    <d v="2025-03-21T00:00:00"/>
    <x v="1"/>
    <x v="0"/>
    <x v="1"/>
    <x v="1"/>
    <x v="1"/>
    <n v="1"/>
    <n v="1"/>
    <n v="1"/>
    <n v="0"/>
    <n v="0"/>
    <n v="0"/>
    <n v="0"/>
    <m/>
    <n v="82.8"/>
    <m/>
    <s v="Unique"/>
    <s v="Valid"/>
  </r>
  <r>
    <s v="USR-100694"/>
    <d v="2025-03-27T00:00:00"/>
    <x v="1"/>
    <x v="0"/>
    <x v="0"/>
    <x v="4"/>
    <x v="1"/>
    <n v="1"/>
    <n v="0"/>
    <n v="0"/>
    <n v="0"/>
    <n v="0"/>
    <n v="0"/>
    <n v="0"/>
    <m/>
    <n v="60.02"/>
    <m/>
    <s v="Unique"/>
    <s v="Valid"/>
  </r>
  <r>
    <s v="USR-100695"/>
    <d v="2025-01-21T00:00:00"/>
    <x v="1"/>
    <x v="3"/>
    <x v="1"/>
    <x v="2"/>
    <x v="1"/>
    <n v="0"/>
    <n v="0"/>
    <n v="0"/>
    <n v="0"/>
    <n v="0"/>
    <n v="0"/>
    <n v="0"/>
    <m/>
    <n v="34.4"/>
    <m/>
    <s v="Unique"/>
    <s v="Valid"/>
  </r>
  <r>
    <s v="USR-100696"/>
    <d v="2025-03-19T00:00:00"/>
    <x v="1"/>
    <x v="2"/>
    <x v="0"/>
    <x v="0"/>
    <x v="1"/>
    <n v="1"/>
    <n v="0"/>
    <n v="0"/>
    <n v="0"/>
    <n v="0"/>
    <n v="0"/>
    <n v="0"/>
    <m/>
    <n v="45.2"/>
    <m/>
    <s v="Unique"/>
    <s v="Valid"/>
  </r>
  <r>
    <s v="USR-100697"/>
    <d v="2025-05-27T00:00:00"/>
    <x v="1"/>
    <x v="0"/>
    <x v="1"/>
    <x v="1"/>
    <x v="0"/>
    <n v="1"/>
    <n v="0"/>
    <n v="0"/>
    <n v="0"/>
    <n v="0"/>
    <n v="0"/>
    <n v="0"/>
    <m/>
    <n v="71.599999999999994"/>
    <m/>
    <s v="Unique"/>
    <s v="Valid"/>
  </r>
  <r>
    <s v="USR-100698"/>
    <d v="2025-01-01T00:00:00"/>
    <x v="1"/>
    <x v="0"/>
    <x v="1"/>
    <x v="4"/>
    <x v="1"/>
    <n v="1"/>
    <n v="1"/>
    <n v="1"/>
    <n v="0"/>
    <n v="0"/>
    <n v="0"/>
    <n v="0"/>
    <m/>
    <n v="69.099999999999994"/>
    <m/>
    <s v="Unique"/>
    <s v="Valid"/>
  </r>
  <r>
    <s v="USR-100699"/>
    <d v="2025-03-29T00:00:00"/>
    <x v="1"/>
    <x v="1"/>
    <x v="0"/>
    <x v="2"/>
    <x v="2"/>
    <n v="1"/>
    <n v="0"/>
    <n v="0"/>
    <n v="0"/>
    <n v="0"/>
    <n v="1"/>
    <n v="0"/>
    <m/>
    <n v="37.700000000000003"/>
    <m/>
    <s v="Unique"/>
    <s v="Valid"/>
  </r>
  <r>
    <s v="USR-100700"/>
    <d v="2025-03-17T00:00:00"/>
    <x v="1"/>
    <x v="1"/>
    <x v="0"/>
    <x v="1"/>
    <x v="0"/>
    <n v="1"/>
    <n v="0"/>
    <n v="0"/>
    <n v="0"/>
    <n v="0"/>
    <n v="1"/>
    <n v="0"/>
    <m/>
    <n v="60.8"/>
    <m/>
    <s v="Unique"/>
    <s v="Valid"/>
  </r>
  <r>
    <s v="USR-100701"/>
    <d v="2025-05-05T00:00:00"/>
    <x v="1"/>
    <x v="0"/>
    <x v="1"/>
    <x v="1"/>
    <x v="1"/>
    <n v="1"/>
    <n v="1"/>
    <n v="1"/>
    <n v="1"/>
    <n v="444.13"/>
    <n v="0"/>
    <n v="0"/>
    <n v="10"/>
    <n v="80.7"/>
    <m/>
    <s v="Unique"/>
    <s v="Valid"/>
  </r>
  <r>
    <s v="USR-100702"/>
    <d v="2025-05-04T00:00:00"/>
    <x v="1"/>
    <x v="3"/>
    <x v="1"/>
    <x v="4"/>
    <x v="1"/>
    <n v="1"/>
    <n v="0"/>
    <n v="0"/>
    <n v="0"/>
    <n v="0"/>
    <n v="0"/>
    <n v="0"/>
    <m/>
    <n v="69.2"/>
    <m/>
    <s v="Unique"/>
    <s v="Valid"/>
  </r>
  <r>
    <s v="USR-100703"/>
    <d v="2025-03-25T00:00:00"/>
    <x v="1"/>
    <x v="0"/>
    <x v="1"/>
    <x v="4"/>
    <x v="2"/>
    <n v="0"/>
    <n v="0"/>
    <n v="0"/>
    <n v="0"/>
    <n v="0"/>
    <n v="3"/>
    <n v="0"/>
    <m/>
    <n v="55"/>
    <m/>
    <s v="Unique"/>
    <s v="Valid"/>
  </r>
  <r>
    <s v="USR-100704"/>
    <d v="2025-04-17T00:00:00"/>
    <x v="1"/>
    <x v="1"/>
    <x v="1"/>
    <x v="0"/>
    <x v="1"/>
    <n v="0"/>
    <n v="0"/>
    <n v="0"/>
    <n v="0"/>
    <n v="0"/>
    <n v="1"/>
    <n v="0"/>
    <m/>
    <n v="73.599999999999994"/>
    <m/>
    <s v="Unique"/>
    <s v="Valid"/>
  </r>
  <r>
    <s v="USR-100705"/>
    <d v="2025-05-23T00:00:00"/>
    <x v="1"/>
    <x v="3"/>
    <x v="1"/>
    <x v="3"/>
    <x v="0"/>
    <n v="1"/>
    <n v="1"/>
    <n v="1"/>
    <n v="0"/>
    <n v="0"/>
    <n v="1"/>
    <n v="0"/>
    <m/>
    <n v="47.3"/>
    <m/>
    <s v="Unique"/>
    <s v="Valid"/>
  </r>
  <r>
    <s v="USR-100706"/>
    <d v="2025-01-13T00:00:00"/>
    <x v="1"/>
    <x v="0"/>
    <x v="1"/>
    <x v="1"/>
    <x v="0"/>
    <n v="0"/>
    <n v="0"/>
    <n v="0"/>
    <n v="0"/>
    <n v="0"/>
    <n v="0"/>
    <n v="0"/>
    <m/>
    <n v="43.6"/>
    <m/>
    <s v="Unique"/>
    <s v="Valid"/>
  </r>
  <r>
    <s v="USR-100707"/>
    <d v="2025-01-29T00:00:00"/>
    <x v="1"/>
    <x v="0"/>
    <x v="0"/>
    <x v="1"/>
    <x v="0"/>
    <n v="1"/>
    <n v="0"/>
    <n v="0"/>
    <n v="0"/>
    <n v="0"/>
    <n v="0"/>
    <n v="0"/>
    <m/>
    <n v="60.02"/>
    <m/>
    <s v="Unique"/>
    <s v="Valid"/>
  </r>
  <r>
    <s v="USR-100708"/>
    <d v="2025-05-11T00:00:00"/>
    <x v="1"/>
    <x v="3"/>
    <x v="1"/>
    <x v="0"/>
    <x v="1"/>
    <n v="0"/>
    <n v="0"/>
    <n v="0"/>
    <n v="0"/>
    <n v="0"/>
    <n v="0"/>
    <n v="0"/>
    <m/>
    <n v="55.2"/>
    <m/>
    <s v="Unique"/>
    <s v="Valid"/>
  </r>
  <r>
    <s v="USR-100709"/>
    <d v="2025-04-22T00:00:00"/>
    <x v="1"/>
    <x v="3"/>
    <x v="1"/>
    <x v="1"/>
    <x v="0"/>
    <n v="1"/>
    <n v="0"/>
    <n v="0"/>
    <n v="0"/>
    <n v="0"/>
    <n v="0"/>
    <n v="0"/>
    <m/>
    <n v="49.4"/>
    <m/>
    <s v="Unique"/>
    <s v="Valid"/>
  </r>
  <r>
    <s v="USR-100710"/>
    <d v="2025-03-03T00:00:00"/>
    <x v="1"/>
    <x v="3"/>
    <x v="1"/>
    <x v="4"/>
    <x v="1"/>
    <n v="1"/>
    <n v="1"/>
    <n v="1"/>
    <n v="0"/>
    <n v="0"/>
    <n v="1"/>
    <n v="0"/>
    <m/>
    <n v="60.1"/>
    <m/>
    <s v="Unique"/>
    <s v="Valid"/>
  </r>
  <r>
    <s v="USR-100711"/>
    <d v="2025-03-18T00:00:00"/>
    <x v="1"/>
    <x v="0"/>
    <x v="1"/>
    <x v="3"/>
    <x v="1"/>
    <n v="1"/>
    <n v="0"/>
    <n v="0"/>
    <n v="0"/>
    <n v="0"/>
    <n v="0"/>
    <n v="0"/>
    <m/>
    <n v="55.9"/>
    <m/>
    <s v="Unique"/>
    <s v="Valid"/>
  </r>
  <r>
    <s v="USR-100712"/>
    <d v="2025-04-05T00:00:00"/>
    <x v="1"/>
    <x v="0"/>
    <x v="1"/>
    <x v="1"/>
    <x v="0"/>
    <n v="1"/>
    <n v="0"/>
    <n v="0"/>
    <n v="0"/>
    <n v="0"/>
    <n v="0"/>
    <n v="0"/>
    <m/>
    <n v="51.5"/>
    <m/>
    <s v="Unique"/>
    <s v="Valid"/>
  </r>
  <r>
    <s v="USR-100713"/>
    <d v="2025-04-16T00:00:00"/>
    <x v="1"/>
    <x v="2"/>
    <x v="1"/>
    <x v="1"/>
    <x v="1"/>
    <n v="1"/>
    <n v="1"/>
    <n v="1"/>
    <n v="1"/>
    <n v="516.66999999999996"/>
    <n v="0"/>
    <n v="0"/>
    <n v="11"/>
    <n v="57.9"/>
    <m/>
    <s v="Unique"/>
    <s v="Valid"/>
  </r>
  <r>
    <s v="USR-100714"/>
    <d v="2025-04-20T00:00:00"/>
    <x v="1"/>
    <x v="3"/>
    <x v="1"/>
    <x v="3"/>
    <x v="1"/>
    <n v="1"/>
    <n v="1"/>
    <n v="1"/>
    <n v="1"/>
    <n v="277.18"/>
    <n v="2"/>
    <n v="0"/>
    <n v="8"/>
    <n v="59.2"/>
    <m/>
    <s v="Unique"/>
    <s v="Valid"/>
  </r>
  <r>
    <s v="USR-100715"/>
    <d v="2025-02-15T00:00:00"/>
    <x v="1"/>
    <x v="3"/>
    <x v="1"/>
    <x v="1"/>
    <x v="1"/>
    <n v="0"/>
    <n v="0"/>
    <n v="0"/>
    <n v="0"/>
    <n v="0"/>
    <n v="0"/>
    <n v="0"/>
    <m/>
    <n v="64.2"/>
    <m/>
    <s v="Unique"/>
    <s v="Valid"/>
  </r>
  <r>
    <s v="USR-100716"/>
    <d v="2025-01-21T00:00:00"/>
    <x v="1"/>
    <x v="3"/>
    <x v="1"/>
    <x v="1"/>
    <x v="1"/>
    <n v="1"/>
    <n v="0"/>
    <n v="0"/>
    <n v="0"/>
    <n v="0"/>
    <n v="0"/>
    <n v="0"/>
    <m/>
    <n v="68.8"/>
    <m/>
    <s v="Unique"/>
    <s v="Valid"/>
  </r>
  <r>
    <s v="USR-100717"/>
    <d v="2025-05-23T00:00:00"/>
    <x v="1"/>
    <x v="0"/>
    <x v="1"/>
    <x v="2"/>
    <x v="2"/>
    <n v="1"/>
    <n v="1"/>
    <n v="1"/>
    <n v="0"/>
    <n v="0"/>
    <n v="0"/>
    <n v="0"/>
    <m/>
    <n v="77.900000000000006"/>
    <m/>
    <s v="Unique"/>
    <s v="Valid"/>
  </r>
  <r>
    <s v="USR-100718"/>
    <d v="2025-01-22T00:00:00"/>
    <x v="1"/>
    <x v="1"/>
    <x v="1"/>
    <x v="2"/>
    <x v="0"/>
    <n v="0"/>
    <n v="0"/>
    <n v="0"/>
    <n v="0"/>
    <n v="0"/>
    <n v="0"/>
    <n v="0"/>
    <m/>
    <n v="92.1"/>
    <m/>
    <s v="Unique"/>
    <s v="Valid"/>
  </r>
  <r>
    <s v="USR-100719"/>
    <d v="2025-04-24T00:00:00"/>
    <x v="1"/>
    <x v="1"/>
    <x v="1"/>
    <x v="2"/>
    <x v="2"/>
    <n v="0"/>
    <n v="0"/>
    <n v="0"/>
    <n v="0"/>
    <n v="0"/>
    <n v="0"/>
    <n v="0"/>
    <m/>
    <n v="63.6"/>
    <m/>
    <s v="Unique"/>
    <s v="Valid"/>
  </r>
  <r>
    <s v="USR-100720"/>
    <d v="2025-01-17T00:00:00"/>
    <x v="1"/>
    <x v="1"/>
    <x v="0"/>
    <x v="0"/>
    <x v="1"/>
    <n v="0"/>
    <n v="0"/>
    <n v="0"/>
    <n v="0"/>
    <n v="0"/>
    <n v="2"/>
    <n v="0"/>
    <m/>
    <n v="61.6"/>
    <m/>
    <s v="Unique"/>
    <s v="Valid"/>
  </r>
  <r>
    <s v="USR-100721"/>
    <d v="2025-01-22T00:00:00"/>
    <x v="1"/>
    <x v="2"/>
    <x v="1"/>
    <x v="3"/>
    <x v="0"/>
    <n v="1"/>
    <n v="1"/>
    <n v="0"/>
    <n v="0"/>
    <n v="0"/>
    <n v="0"/>
    <n v="0"/>
    <m/>
    <n v="82.3"/>
    <m/>
    <s v="Unique"/>
    <s v="Valid"/>
  </r>
  <r>
    <s v="USR-100722"/>
    <d v="2025-05-04T00:00:00"/>
    <x v="1"/>
    <x v="2"/>
    <x v="0"/>
    <x v="2"/>
    <x v="1"/>
    <n v="1"/>
    <n v="0"/>
    <n v="0"/>
    <n v="0"/>
    <n v="0"/>
    <n v="0"/>
    <n v="0"/>
    <m/>
    <n v="79.3"/>
    <m/>
    <s v="Unique"/>
    <s v="Valid"/>
  </r>
  <r>
    <s v="USR-100723"/>
    <d v="2025-03-13T00:00:00"/>
    <x v="1"/>
    <x v="3"/>
    <x v="1"/>
    <x v="5"/>
    <x v="1"/>
    <n v="0"/>
    <n v="0"/>
    <n v="0"/>
    <n v="0"/>
    <n v="0"/>
    <n v="0"/>
    <n v="0"/>
    <m/>
    <n v="57.7"/>
    <m/>
    <s v="Unique"/>
    <s v="Valid"/>
  </r>
  <r>
    <s v="USR-100724"/>
    <d v="2025-01-02T00:00:00"/>
    <x v="1"/>
    <x v="0"/>
    <x v="1"/>
    <x v="1"/>
    <x v="0"/>
    <n v="1"/>
    <n v="0"/>
    <n v="0"/>
    <n v="0"/>
    <n v="0"/>
    <n v="0"/>
    <n v="0"/>
    <m/>
    <n v="63.1"/>
    <m/>
    <s v="Unique"/>
    <s v="Valid"/>
  </r>
  <r>
    <s v="USR-100725"/>
    <d v="2025-01-13T00:00:00"/>
    <x v="1"/>
    <x v="2"/>
    <x v="1"/>
    <x v="2"/>
    <x v="0"/>
    <n v="0"/>
    <n v="0"/>
    <n v="0"/>
    <n v="0"/>
    <n v="0"/>
    <n v="0"/>
    <n v="0"/>
    <m/>
    <n v="72.3"/>
    <m/>
    <s v="Unique"/>
    <s v="Valid"/>
  </r>
  <r>
    <s v="USR-100726"/>
    <d v="2025-02-09T00:00:00"/>
    <x v="1"/>
    <x v="2"/>
    <x v="1"/>
    <x v="4"/>
    <x v="1"/>
    <n v="1"/>
    <n v="1"/>
    <n v="1"/>
    <n v="0"/>
    <n v="0"/>
    <n v="0"/>
    <n v="0"/>
    <m/>
    <n v="78"/>
    <m/>
    <s v="Unique"/>
    <s v="Valid"/>
  </r>
  <r>
    <s v="USR-100727"/>
    <d v="2025-04-09T00:00:00"/>
    <x v="1"/>
    <x v="2"/>
    <x v="0"/>
    <x v="4"/>
    <x v="1"/>
    <n v="1"/>
    <n v="1"/>
    <n v="0"/>
    <n v="0"/>
    <n v="0"/>
    <n v="2"/>
    <n v="0"/>
    <m/>
    <n v="59.1"/>
    <m/>
    <s v="Unique"/>
    <s v="Valid"/>
  </r>
  <r>
    <s v="USR-100728"/>
    <d v="2025-01-02T00:00:00"/>
    <x v="1"/>
    <x v="3"/>
    <x v="1"/>
    <x v="2"/>
    <x v="1"/>
    <n v="1"/>
    <n v="1"/>
    <n v="1"/>
    <n v="1"/>
    <n v="604.09"/>
    <n v="0"/>
    <n v="0"/>
    <n v="7"/>
    <n v="47.1"/>
    <m/>
    <s v="Unique"/>
    <s v="Valid"/>
  </r>
  <r>
    <s v="USR-100729"/>
    <d v="2025-02-04T00:00:00"/>
    <x v="1"/>
    <x v="3"/>
    <x v="1"/>
    <x v="5"/>
    <x v="2"/>
    <n v="1"/>
    <n v="0"/>
    <n v="0"/>
    <n v="0"/>
    <n v="0"/>
    <n v="0"/>
    <n v="0"/>
    <m/>
    <n v="64.900000000000006"/>
    <m/>
    <s v="Unique"/>
    <s v="Valid"/>
  </r>
  <r>
    <s v="USR-100730"/>
    <d v="2025-02-19T00:00:00"/>
    <x v="1"/>
    <x v="3"/>
    <x v="2"/>
    <x v="2"/>
    <x v="1"/>
    <n v="0"/>
    <n v="0"/>
    <n v="0"/>
    <n v="0"/>
    <n v="0"/>
    <n v="0"/>
    <n v="0"/>
    <m/>
    <n v="67.3"/>
    <m/>
    <s v="Unique"/>
    <s v="Valid"/>
  </r>
  <r>
    <s v="USR-100731"/>
    <d v="2025-04-01T00:00:00"/>
    <x v="1"/>
    <x v="2"/>
    <x v="1"/>
    <x v="2"/>
    <x v="0"/>
    <n v="1"/>
    <n v="0"/>
    <n v="0"/>
    <n v="0"/>
    <n v="0"/>
    <n v="2"/>
    <n v="0"/>
    <m/>
    <n v="52.9"/>
    <m/>
    <s v="Unique"/>
    <s v="Valid"/>
  </r>
  <r>
    <s v="USR-100732"/>
    <d v="2025-01-29T00:00:00"/>
    <x v="1"/>
    <x v="0"/>
    <x v="1"/>
    <x v="3"/>
    <x v="1"/>
    <n v="1"/>
    <n v="1"/>
    <n v="1"/>
    <n v="1"/>
    <n v="442.37"/>
    <n v="1"/>
    <n v="0"/>
    <n v="4"/>
    <n v="69.900000000000006"/>
    <m/>
    <s v="Unique"/>
    <s v="Valid"/>
  </r>
  <r>
    <s v="USR-100733"/>
    <d v="2025-05-18T00:00:00"/>
    <x v="1"/>
    <x v="0"/>
    <x v="1"/>
    <x v="3"/>
    <x v="0"/>
    <n v="1"/>
    <n v="1"/>
    <n v="1"/>
    <n v="0"/>
    <n v="0"/>
    <n v="0"/>
    <n v="0"/>
    <m/>
    <n v="78.900000000000006"/>
    <m/>
    <s v="Unique"/>
    <s v="Valid"/>
  </r>
  <r>
    <s v="USR-100734"/>
    <d v="2025-04-15T00:00:00"/>
    <x v="1"/>
    <x v="2"/>
    <x v="0"/>
    <x v="4"/>
    <x v="2"/>
    <n v="1"/>
    <n v="1"/>
    <n v="0"/>
    <n v="0"/>
    <n v="0"/>
    <n v="0"/>
    <n v="0"/>
    <m/>
    <n v="83.3"/>
    <m/>
    <s v="Unique"/>
    <s v="Valid"/>
  </r>
  <r>
    <s v="USR-100735"/>
    <d v="2025-03-28T00:00:00"/>
    <x v="1"/>
    <x v="2"/>
    <x v="0"/>
    <x v="0"/>
    <x v="1"/>
    <n v="1"/>
    <n v="0"/>
    <n v="0"/>
    <n v="0"/>
    <n v="0"/>
    <n v="1"/>
    <n v="0"/>
    <m/>
    <n v="24.5"/>
    <m/>
    <s v="Unique"/>
    <s v="Valid"/>
  </r>
  <r>
    <s v="USR-100736"/>
    <d v="2025-04-01T00:00:00"/>
    <x v="1"/>
    <x v="1"/>
    <x v="1"/>
    <x v="2"/>
    <x v="0"/>
    <n v="1"/>
    <n v="1"/>
    <n v="0"/>
    <n v="0"/>
    <n v="0"/>
    <n v="1"/>
    <n v="0"/>
    <m/>
    <n v="56.9"/>
    <m/>
    <s v="Unique"/>
    <s v="Valid"/>
  </r>
  <r>
    <s v="USR-100737"/>
    <d v="2025-02-11T00:00:00"/>
    <x v="1"/>
    <x v="1"/>
    <x v="1"/>
    <x v="4"/>
    <x v="0"/>
    <n v="1"/>
    <n v="0"/>
    <n v="0"/>
    <n v="0"/>
    <n v="0"/>
    <n v="0"/>
    <n v="0"/>
    <m/>
    <n v="69.900000000000006"/>
    <m/>
    <s v="Unique"/>
    <s v="Valid"/>
  </r>
  <r>
    <s v="USR-100738"/>
    <d v="2025-03-04T00:00:00"/>
    <x v="1"/>
    <x v="3"/>
    <x v="1"/>
    <x v="1"/>
    <x v="1"/>
    <n v="1"/>
    <n v="1"/>
    <n v="1"/>
    <n v="0"/>
    <n v="0"/>
    <n v="0"/>
    <n v="0"/>
    <m/>
    <n v="81.5"/>
    <m/>
    <s v="Unique"/>
    <s v="Valid"/>
  </r>
  <r>
    <s v="USR-100739"/>
    <d v="2025-01-21T00:00:00"/>
    <x v="1"/>
    <x v="0"/>
    <x v="2"/>
    <x v="4"/>
    <x v="0"/>
    <n v="0"/>
    <n v="0"/>
    <n v="0"/>
    <n v="0"/>
    <n v="0"/>
    <n v="2"/>
    <n v="0"/>
    <m/>
    <n v="37.9"/>
    <m/>
    <s v="Unique"/>
    <s v="Valid"/>
  </r>
  <r>
    <s v="USR-100740"/>
    <d v="2025-02-14T00:00:00"/>
    <x v="1"/>
    <x v="0"/>
    <x v="1"/>
    <x v="3"/>
    <x v="1"/>
    <n v="0"/>
    <n v="0"/>
    <n v="0"/>
    <n v="0"/>
    <n v="0"/>
    <n v="1"/>
    <n v="0"/>
    <m/>
    <n v="61.7"/>
    <m/>
    <s v="Unique"/>
    <s v="Valid"/>
  </r>
  <r>
    <s v="USR-100741"/>
    <d v="2025-03-30T00:00:00"/>
    <x v="1"/>
    <x v="0"/>
    <x v="0"/>
    <x v="5"/>
    <x v="2"/>
    <n v="1"/>
    <n v="0"/>
    <n v="0"/>
    <n v="0"/>
    <n v="0"/>
    <n v="2"/>
    <n v="0"/>
    <m/>
    <n v="53.2"/>
    <m/>
    <s v="Unique"/>
    <s v="Valid"/>
  </r>
  <r>
    <s v="USR-100742"/>
    <d v="2025-01-08T00:00:00"/>
    <x v="1"/>
    <x v="0"/>
    <x v="1"/>
    <x v="3"/>
    <x v="1"/>
    <n v="0"/>
    <n v="0"/>
    <n v="0"/>
    <n v="0"/>
    <n v="0"/>
    <n v="0"/>
    <n v="0"/>
    <m/>
    <n v="61.9"/>
    <m/>
    <s v="Unique"/>
    <s v="Valid"/>
  </r>
  <r>
    <s v="USR-100743"/>
    <d v="2025-02-07T00:00:00"/>
    <x v="1"/>
    <x v="0"/>
    <x v="1"/>
    <x v="4"/>
    <x v="1"/>
    <n v="1"/>
    <n v="1"/>
    <n v="1"/>
    <n v="0"/>
    <n v="0"/>
    <n v="0"/>
    <n v="0"/>
    <m/>
    <n v="68.900000000000006"/>
    <m/>
    <s v="Unique"/>
    <s v="Valid"/>
  </r>
  <r>
    <s v="USR-100744"/>
    <d v="2025-02-01T00:00:00"/>
    <x v="1"/>
    <x v="0"/>
    <x v="2"/>
    <x v="2"/>
    <x v="0"/>
    <n v="0"/>
    <n v="0"/>
    <n v="0"/>
    <n v="0"/>
    <n v="0"/>
    <n v="0"/>
    <n v="0"/>
    <m/>
    <n v="66.3"/>
    <m/>
    <s v="Unique"/>
    <s v="Valid"/>
  </r>
  <r>
    <s v="USR-100745"/>
    <d v="2025-01-04T00:00:00"/>
    <x v="1"/>
    <x v="2"/>
    <x v="1"/>
    <x v="0"/>
    <x v="1"/>
    <n v="1"/>
    <n v="1"/>
    <n v="1"/>
    <n v="0"/>
    <n v="0"/>
    <n v="0"/>
    <n v="0"/>
    <m/>
    <n v="54.6"/>
    <m/>
    <s v="Unique"/>
    <s v="Valid"/>
  </r>
  <r>
    <s v="USR-100746"/>
    <d v="2025-05-16T00:00:00"/>
    <x v="1"/>
    <x v="3"/>
    <x v="0"/>
    <x v="3"/>
    <x v="1"/>
    <n v="0"/>
    <n v="0"/>
    <n v="0"/>
    <n v="0"/>
    <n v="0"/>
    <n v="0"/>
    <n v="0"/>
    <m/>
    <n v="53.8"/>
    <m/>
    <s v="Unique"/>
    <s v="Valid"/>
  </r>
  <r>
    <s v="USR-100747"/>
    <d v="2025-02-28T00:00:00"/>
    <x v="1"/>
    <x v="1"/>
    <x v="1"/>
    <x v="3"/>
    <x v="1"/>
    <n v="1"/>
    <n v="0"/>
    <n v="0"/>
    <n v="0"/>
    <n v="0"/>
    <n v="0"/>
    <n v="0"/>
    <m/>
    <n v="59.5"/>
    <m/>
    <s v="Unique"/>
    <s v="Valid"/>
  </r>
  <r>
    <s v="USR-100748"/>
    <d v="2025-04-12T00:00:00"/>
    <x v="1"/>
    <x v="0"/>
    <x v="1"/>
    <x v="3"/>
    <x v="1"/>
    <n v="1"/>
    <n v="0"/>
    <n v="0"/>
    <n v="0"/>
    <n v="0"/>
    <n v="0"/>
    <n v="0"/>
    <m/>
    <n v="52.6"/>
    <m/>
    <s v="Unique"/>
    <s v="Valid"/>
  </r>
  <r>
    <s v="USR-100749"/>
    <d v="2025-03-23T00:00:00"/>
    <x v="1"/>
    <x v="3"/>
    <x v="0"/>
    <x v="1"/>
    <x v="1"/>
    <n v="0"/>
    <n v="0"/>
    <n v="0"/>
    <n v="0"/>
    <n v="0"/>
    <n v="0"/>
    <n v="0"/>
    <m/>
    <n v="49"/>
    <m/>
    <s v="Unique"/>
    <s v="Valid"/>
  </r>
  <r>
    <s v="USR-100750"/>
    <d v="2025-05-29T00:00:00"/>
    <x v="1"/>
    <x v="0"/>
    <x v="2"/>
    <x v="1"/>
    <x v="1"/>
    <n v="1"/>
    <n v="0"/>
    <n v="0"/>
    <n v="0"/>
    <n v="0"/>
    <n v="0"/>
    <n v="0"/>
    <m/>
    <n v="59.3"/>
    <m/>
    <s v="Unique"/>
    <s v="Valid"/>
  </r>
  <r>
    <s v="USR-100751"/>
    <d v="2025-05-21T00:00:00"/>
    <x v="1"/>
    <x v="3"/>
    <x v="0"/>
    <x v="1"/>
    <x v="0"/>
    <n v="0"/>
    <n v="0"/>
    <n v="0"/>
    <n v="0"/>
    <n v="0"/>
    <n v="0"/>
    <n v="0"/>
    <m/>
    <n v="67.2"/>
    <m/>
    <s v="Unique"/>
    <s v="Valid"/>
  </r>
  <r>
    <s v="USR-100752"/>
    <d v="2025-01-05T00:00:00"/>
    <x v="1"/>
    <x v="3"/>
    <x v="1"/>
    <x v="3"/>
    <x v="2"/>
    <n v="0"/>
    <n v="0"/>
    <n v="0"/>
    <n v="0"/>
    <n v="0"/>
    <n v="0"/>
    <n v="0"/>
    <m/>
    <n v="73.5"/>
    <m/>
    <s v="Unique"/>
    <s v="Valid"/>
  </r>
  <r>
    <s v="USR-100753"/>
    <d v="2025-03-19T00:00:00"/>
    <x v="1"/>
    <x v="2"/>
    <x v="2"/>
    <x v="1"/>
    <x v="1"/>
    <n v="1"/>
    <n v="0"/>
    <n v="0"/>
    <n v="0"/>
    <n v="0"/>
    <n v="0"/>
    <n v="0"/>
    <m/>
    <n v="61.2"/>
    <m/>
    <s v="Unique"/>
    <s v="Valid"/>
  </r>
  <r>
    <s v="USR-100754"/>
    <d v="2025-04-24T00:00:00"/>
    <x v="1"/>
    <x v="2"/>
    <x v="1"/>
    <x v="1"/>
    <x v="1"/>
    <n v="1"/>
    <n v="0"/>
    <n v="0"/>
    <n v="0"/>
    <n v="0"/>
    <n v="1"/>
    <n v="0"/>
    <m/>
    <n v="56.4"/>
    <m/>
    <s v="Unique"/>
    <s v="Valid"/>
  </r>
  <r>
    <s v="USR-100755"/>
    <d v="2025-03-10T00:00:00"/>
    <x v="1"/>
    <x v="0"/>
    <x v="2"/>
    <x v="1"/>
    <x v="1"/>
    <n v="0"/>
    <n v="0"/>
    <n v="0"/>
    <n v="0"/>
    <n v="0"/>
    <n v="3"/>
    <n v="0"/>
    <m/>
    <n v="72.599999999999994"/>
    <m/>
    <s v="Unique"/>
    <s v="Valid"/>
  </r>
  <r>
    <s v="USR-100756"/>
    <d v="2025-02-22T00:00:00"/>
    <x v="1"/>
    <x v="3"/>
    <x v="2"/>
    <x v="3"/>
    <x v="0"/>
    <n v="1"/>
    <n v="0"/>
    <n v="0"/>
    <n v="0"/>
    <n v="0"/>
    <n v="0"/>
    <n v="0"/>
    <m/>
    <n v="61.7"/>
    <m/>
    <s v="Unique"/>
    <s v="Valid"/>
  </r>
  <r>
    <s v="USR-100757"/>
    <d v="2025-05-17T00:00:00"/>
    <x v="1"/>
    <x v="2"/>
    <x v="1"/>
    <x v="4"/>
    <x v="1"/>
    <n v="0"/>
    <n v="0"/>
    <n v="0"/>
    <n v="0"/>
    <n v="0"/>
    <n v="1"/>
    <n v="0"/>
    <m/>
    <n v="66.900000000000006"/>
    <m/>
    <s v="Unique"/>
    <s v="Valid"/>
  </r>
  <r>
    <s v="USR-100758"/>
    <d v="2025-05-09T00:00:00"/>
    <x v="1"/>
    <x v="2"/>
    <x v="2"/>
    <x v="3"/>
    <x v="2"/>
    <n v="1"/>
    <n v="1"/>
    <n v="1"/>
    <n v="1"/>
    <n v="1506.24"/>
    <n v="1"/>
    <n v="0"/>
    <n v="7"/>
    <n v="64.900000000000006"/>
    <m/>
    <s v="Unique"/>
    <s v="Valid"/>
  </r>
  <r>
    <s v="USR-100759"/>
    <d v="2025-04-26T00:00:00"/>
    <x v="1"/>
    <x v="2"/>
    <x v="2"/>
    <x v="1"/>
    <x v="2"/>
    <n v="1"/>
    <n v="0"/>
    <n v="0"/>
    <n v="0"/>
    <n v="0"/>
    <n v="0"/>
    <n v="0"/>
    <m/>
    <n v="57.5"/>
    <m/>
    <s v="Unique"/>
    <s v="Valid"/>
  </r>
  <r>
    <s v="USR-100760"/>
    <d v="2025-03-15T00:00:00"/>
    <x v="1"/>
    <x v="1"/>
    <x v="0"/>
    <x v="4"/>
    <x v="1"/>
    <n v="1"/>
    <n v="1"/>
    <n v="1"/>
    <n v="0"/>
    <n v="0"/>
    <n v="0"/>
    <n v="0"/>
    <m/>
    <n v="76.3"/>
    <m/>
    <s v="Unique"/>
    <s v="Valid"/>
  </r>
  <r>
    <s v="USR-100761"/>
    <d v="2025-04-03T00:00:00"/>
    <x v="1"/>
    <x v="0"/>
    <x v="1"/>
    <x v="2"/>
    <x v="1"/>
    <n v="0"/>
    <n v="0"/>
    <n v="0"/>
    <n v="0"/>
    <n v="0"/>
    <n v="0"/>
    <n v="0"/>
    <m/>
    <n v="47.5"/>
    <m/>
    <s v="Unique"/>
    <s v="Valid"/>
  </r>
  <r>
    <s v="USR-100762"/>
    <d v="2025-03-26T00:00:00"/>
    <x v="1"/>
    <x v="3"/>
    <x v="1"/>
    <x v="2"/>
    <x v="1"/>
    <n v="0"/>
    <n v="0"/>
    <n v="0"/>
    <n v="0"/>
    <n v="0"/>
    <n v="0"/>
    <n v="0"/>
    <m/>
    <n v="60.02"/>
    <m/>
    <s v="Unique"/>
    <s v="Valid"/>
  </r>
  <r>
    <s v="USR-100763"/>
    <d v="2025-02-05T00:00:00"/>
    <x v="1"/>
    <x v="1"/>
    <x v="0"/>
    <x v="1"/>
    <x v="0"/>
    <n v="1"/>
    <n v="1"/>
    <n v="0"/>
    <n v="0"/>
    <n v="0"/>
    <n v="2"/>
    <n v="0"/>
    <m/>
    <n v="71.599999999999994"/>
    <m/>
    <s v="Unique"/>
    <s v="Valid"/>
  </r>
  <r>
    <s v="USR-100764"/>
    <d v="2025-05-08T00:00:00"/>
    <x v="1"/>
    <x v="3"/>
    <x v="1"/>
    <x v="4"/>
    <x v="0"/>
    <n v="1"/>
    <n v="1"/>
    <n v="0"/>
    <n v="0"/>
    <n v="0"/>
    <n v="0"/>
    <n v="0"/>
    <m/>
    <n v="55.8"/>
    <m/>
    <s v="Unique"/>
    <s v="Valid"/>
  </r>
  <r>
    <s v="USR-100765"/>
    <d v="2025-03-25T00:00:00"/>
    <x v="1"/>
    <x v="3"/>
    <x v="0"/>
    <x v="1"/>
    <x v="0"/>
    <n v="0"/>
    <n v="0"/>
    <n v="0"/>
    <n v="0"/>
    <n v="0"/>
    <n v="1"/>
    <n v="0"/>
    <m/>
    <n v="60.1"/>
    <m/>
    <s v="Unique"/>
    <s v="Valid"/>
  </r>
  <r>
    <s v="USR-100766"/>
    <d v="2025-01-14T00:00:00"/>
    <x v="1"/>
    <x v="1"/>
    <x v="3"/>
    <x v="0"/>
    <x v="0"/>
    <n v="1"/>
    <n v="1"/>
    <n v="1"/>
    <n v="0"/>
    <n v="0"/>
    <n v="1"/>
    <n v="0"/>
    <m/>
    <n v="59.3"/>
    <m/>
    <s v="Unique"/>
    <s v="Valid"/>
  </r>
  <r>
    <s v="USR-100767"/>
    <d v="2025-03-26T00:00:00"/>
    <x v="1"/>
    <x v="0"/>
    <x v="1"/>
    <x v="1"/>
    <x v="1"/>
    <n v="1"/>
    <n v="1"/>
    <n v="0"/>
    <n v="0"/>
    <n v="0"/>
    <n v="2"/>
    <n v="0"/>
    <m/>
    <n v="49.3"/>
    <m/>
    <s v="Unique"/>
    <s v="Valid"/>
  </r>
  <r>
    <s v="USR-100768"/>
    <d v="2025-01-16T00:00:00"/>
    <x v="1"/>
    <x v="2"/>
    <x v="1"/>
    <x v="3"/>
    <x v="1"/>
    <n v="1"/>
    <n v="0"/>
    <n v="0"/>
    <n v="0"/>
    <n v="0"/>
    <n v="0"/>
    <n v="0"/>
    <m/>
    <n v="75"/>
    <m/>
    <s v="Unique"/>
    <s v="Valid"/>
  </r>
  <r>
    <s v="USR-100769"/>
    <d v="2025-01-04T00:00:00"/>
    <x v="1"/>
    <x v="2"/>
    <x v="1"/>
    <x v="4"/>
    <x v="1"/>
    <n v="1"/>
    <n v="0"/>
    <n v="0"/>
    <n v="0"/>
    <n v="0"/>
    <n v="0"/>
    <n v="0"/>
    <m/>
    <n v="70.2"/>
    <m/>
    <s v="Unique"/>
    <s v="Valid"/>
  </r>
  <r>
    <s v="USR-100770"/>
    <d v="2025-02-09T00:00:00"/>
    <x v="1"/>
    <x v="3"/>
    <x v="0"/>
    <x v="1"/>
    <x v="2"/>
    <n v="1"/>
    <n v="1"/>
    <n v="1"/>
    <n v="0"/>
    <n v="0"/>
    <n v="0"/>
    <n v="0"/>
    <m/>
    <n v="56.6"/>
    <m/>
    <s v="Unique"/>
    <s v="Valid"/>
  </r>
  <r>
    <s v="USR-100771"/>
    <d v="2025-03-05T00:00:00"/>
    <x v="1"/>
    <x v="2"/>
    <x v="0"/>
    <x v="1"/>
    <x v="1"/>
    <n v="1"/>
    <n v="0"/>
    <n v="0"/>
    <n v="0"/>
    <n v="0"/>
    <n v="0"/>
    <n v="0"/>
    <m/>
    <n v="65.400000000000006"/>
    <m/>
    <s v="Unique"/>
    <s v="Valid"/>
  </r>
  <r>
    <s v="USR-100772"/>
    <d v="2025-03-10T00:00:00"/>
    <x v="1"/>
    <x v="2"/>
    <x v="1"/>
    <x v="3"/>
    <x v="0"/>
    <n v="1"/>
    <n v="0"/>
    <n v="0"/>
    <n v="0"/>
    <n v="0"/>
    <n v="0"/>
    <n v="0"/>
    <m/>
    <n v="47.6"/>
    <m/>
    <s v="Unique"/>
    <s v="Valid"/>
  </r>
  <r>
    <s v="USR-100773"/>
    <d v="2025-02-27T00:00:00"/>
    <x v="1"/>
    <x v="2"/>
    <x v="0"/>
    <x v="2"/>
    <x v="1"/>
    <n v="1"/>
    <n v="0"/>
    <n v="0"/>
    <n v="0"/>
    <n v="0"/>
    <n v="0"/>
    <n v="0"/>
    <m/>
    <n v="56.7"/>
    <m/>
    <s v="Unique"/>
    <s v="Valid"/>
  </r>
  <r>
    <s v="USR-100774"/>
    <d v="2025-03-10T00:00:00"/>
    <x v="1"/>
    <x v="0"/>
    <x v="0"/>
    <x v="3"/>
    <x v="0"/>
    <n v="1"/>
    <n v="1"/>
    <n v="0"/>
    <n v="0"/>
    <n v="0"/>
    <n v="0"/>
    <n v="0"/>
    <m/>
    <n v="71.400000000000006"/>
    <m/>
    <s v="Unique"/>
    <s v="Valid"/>
  </r>
  <r>
    <s v="USR-100775"/>
    <d v="2025-04-23T00:00:00"/>
    <x v="1"/>
    <x v="1"/>
    <x v="1"/>
    <x v="4"/>
    <x v="1"/>
    <n v="0"/>
    <n v="0"/>
    <n v="0"/>
    <n v="0"/>
    <n v="0"/>
    <n v="2"/>
    <n v="0"/>
    <m/>
    <n v="60.5"/>
    <m/>
    <s v="Unique"/>
    <s v="Valid"/>
  </r>
  <r>
    <s v="USR-100776"/>
    <d v="2025-04-12T00:00:00"/>
    <x v="1"/>
    <x v="0"/>
    <x v="0"/>
    <x v="2"/>
    <x v="1"/>
    <n v="1"/>
    <n v="0"/>
    <n v="0"/>
    <n v="0"/>
    <n v="0"/>
    <n v="0"/>
    <n v="0"/>
    <m/>
    <n v="46.7"/>
    <m/>
    <s v="Unique"/>
    <s v="Valid"/>
  </r>
  <r>
    <s v="USR-100777"/>
    <d v="2025-01-26T00:00:00"/>
    <x v="1"/>
    <x v="2"/>
    <x v="0"/>
    <x v="3"/>
    <x v="1"/>
    <n v="0"/>
    <n v="0"/>
    <n v="0"/>
    <n v="0"/>
    <n v="0"/>
    <n v="0"/>
    <n v="0"/>
    <m/>
    <n v="61"/>
    <m/>
    <s v="Unique"/>
    <s v="Valid"/>
  </r>
  <r>
    <s v="USR-100778"/>
    <d v="2025-05-24T00:00:00"/>
    <x v="1"/>
    <x v="1"/>
    <x v="2"/>
    <x v="2"/>
    <x v="1"/>
    <n v="0"/>
    <n v="0"/>
    <n v="0"/>
    <n v="0"/>
    <n v="0"/>
    <n v="0"/>
    <n v="0"/>
    <m/>
    <n v="60.9"/>
    <m/>
    <s v="Unique"/>
    <s v="Valid"/>
  </r>
  <r>
    <s v="USR-100779"/>
    <d v="2025-01-08T00:00:00"/>
    <x v="1"/>
    <x v="3"/>
    <x v="1"/>
    <x v="1"/>
    <x v="1"/>
    <n v="1"/>
    <n v="0"/>
    <n v="0"/>
    <n v="0"/>
    <n v="0"/>
    <n v="0"/>
    <n v="0"/>
    <m/>
    <n v="67.099999999999994"/>
    <m/>
    <s v="Unique"/>
    <s v="Valid"/>
  </r>
  <r>
    <s v="USR-100780"/>
    <d v="2025-04-15T00:00:00"/>
    <x v="1"/>
    <x v="0"/>
    <x v="1"/>
    <x v="3"/>
    <x v="1"/>
    <n v="1"/>
    <n v="1"/>
    <n v="0"/>
    <n v="0"/>
    <n v="0"/>
    <n v="0"/>
    <n v="0"/>
    <m/>
    <n v="59.6"/>
    <m/>
    <s v="Unique"/>
    <s v="Valid"/>
  </r>
  <r>
    <s v="USR-100781"/>
    <d v="2025-01-15T00:00:00"/>
    <x v="1"/>
    <x v="3"/>
    <x v="0"/>
    <x v="2"/>
    <x v="1"/>
    <n v="1"/>
    <n v="0"/>
    <n v="0"/>
    <n v="0"/>
    <n v="0"/>
    <n v="0"/>
    <n v="0"/>
    <m/>
    <n v="83.8"/>
    <m/>
    <s v="Unique"/>
    <s v="Valid"/>
  </r>
  <r>
    <s v="USR-100782"/>
    <d v="2025-02-28T00:00:00"/>
    <x v="1"/>
    <x v="0"/>
    <x v="1"/>
    <x v="1"/>
    <x v="0"/>
    <n v="1"/>
    <n v="1"/>
    <n v="1"/>
    <n v="0"/>
    <n v="0"/>
    <n v="0"/>
    <n v="0"/>
    <m/>
    <n v="70.8"/>
    <m/>
    <s v="Unique"/>
    <s v="Valid"/>
  </r>
  <r>
    <s v="USR-100783"/>
    <d v="2025-01-01T00:00:00"/>
    <x v="1"/>
    <x v="0"/>
    <x v="2"/>
    <x v="1"/>
    <x v="0"/>
    <n v="0"/>
    <n v="0"/>
    <n v="0"/>
    <n v="0"/>
    <n v="0"/>
    <n v="0"/>
    <n v="0"/>
    <m/>
    <n v="65.900000000000006"/>
    <m/>
    <s v="Unique"/>
    <s v="Valid"/>
  </r>
  <r>
    <s v="USR-100784"/>
    <d v="2025-04-17T00:00:00"/>
    <x v="1"/>
    <x v="1"/>
    <x v="1"/>
    <x v="3"/>
    <x v="1"/>
    <n v="1"/>
    <n v="0"/>
    <n v="0"/>
    <n v="0"/>
    <n v="0"/>
    <n v="0"/>
    <n v="0"/>
    <m/>
    <n v="58"/>
    <m/>
    <s v="Unique"/>
    <s v="Valid"/>
  </r>
  <r>
    <s v="USR-100785"/>
    <d v="2025-02-19T00:00:00"/>
    <x v="1"/>
    <x v="0"/>
    <x v="1"/>
    <x v="0"/>
    <x v="0"/>
    <n v="1"/>
    <n v="1"/>
    <n v="0"/>
    <n v="0"/>
    <n v="0"/>
    <n v="0"/>
    <n v="0"/>
    <m/>
    <n v="80.3"/>
    <m/>
    <s v="Unique"/>
    <s v="Valid"/>
  </r>
  <r>
    <s v="USR-100786"/>
    <d v="2025-03-14T00:00:00"/>
    <x v="1"/>
    <x v="0"/>
    <x v="0"/>
    <x v="1"/>
    <x v="1"/>
    <n v="1"/>
    <n v="0"/>
    <n v="0"/>
    <n v="0"/>
    <n v="0"/>
    <n v="0"/>
    <n v="0"/>
    <m/>
    <n v="55.7"/>
    <m/>
    <s v="Unique"/>
    <s v="Valid"/>
  </r>
  <r>
    <s v="USR-100787"/>
    <d v="2025-04-21T00:00:00"/>
    <x v="1"/>
    <x v="0"/>
    <x v="1"/>
    <x v="1"/>
    <x v="1"/>
    <n v="1"/>
    <n v="1"/>
    <n v="0"/>
    <n v="0"/>
    <n v="0"/>
    <n v="0"/>
    <n v="0"/>
    <m/>
    <n v="84.9"/>
    <m/>
    <s v="Unique"/>
    <s v="Valid"/>
  </r>
  <r>
    <s v="USR-100788"/>
    <d v="2025-02-14T00:00:00"/>
    <x v="1"/>
    <x v="0"/>
    <x v="1"/>
    <x v="1"/>
    <x v="1"/>
    <n v="1"/>
    <n v="0"/>
    <n v="0"/>
    <n v="0"/>
    <n v="0"/>
    <n v="0"/>
    <n v="0"/>
    <m/>
    <n v="63.3"/>
    <m/>
    <s v="Unique"/>
    <s v="Valid"/>
  </r>
  <r>
    <s v="USR-100789"/>
    <d v="2025-05-30T00:00:00"/>
    <x v="1"/>
    <x v="1"/>
    <x v="1"/>
    <x v="1"/>
    <x v="1"/>
    <n v="0"/>
    <n v="0"/>
    <n v="0"/>
    <n v="0"/>
    <n v="0"/>
    <n v="0"/>
    <n v="0"/>
    <m/>
    <n v="53.1"/>
    <m/>
    <s v="Unique"/>
    <s v="Valid"/>
  </r>
  <r>
    <s v="USR-100790"/>
    <d v="2025-01-20T00:00:00"/>
    <x v="1"/>
    <x v="1"/>
    <x v="1"/>
    <x v="1"/>
    <x v="1"/>
    <n v="0"/>
    <n v="0"/>
    <n v="0"/>
    <n v="0"/>
    <n v="0"/>
    <n v="0"/>
    <n v="0"/>
    <m/>
    <n v="66"/>
    <m/>
    <s v="Unique"/>
    <s v="Valid"/>
  </r>
  <r>
    <s v="USR-100791"/>
    <d v="2025-03-17T00:00:00"/>
    <x v="1"/>
    <x v="1"/>
    <x v="1"/>
    <x v="4"/>
    <x v="2"/>
    <n v="0"/>
    <n v="0"/>
    <n v="0"/>
    <n v="0"/>
    <n v="0"/>
    <n v="0"/>
    <n v="0"/>
    <m/>
    <n v="54.7"/>
    <m/>
    <s v="Unique"/>
    <s v="Valid"/>
  </r>
  <r>
    <s v="USR-100792"/>
    <d v="2025-03-04T00:00:00"/>
    <x v="1"/>
    <x v="1"/>
    <x v="1"/>
    <x v="4"/>
    <x v="1"/>
    <n v="1"/>
    <n v="1"/>
    <n v="0"/>
    <n v="0"/>
    <n v="0"/>
    <n v="1"/>
    <n v="0"/>
    <m/>
    <n v="41.2"/>
    <m/>
    <s v="Unique"/>
    <s v="Valid"/>
  </r>
  <r>
    <s v="USR-100793"/>
    <d v="2025-02-22T00:00:00"/>
    <x v="1"/>
    <x v="3"/>
    <x v="1"/>
    <x v="1"/>
    <x v="2"/>
    <n v="0"/>
    <n v="0"/>
    <n v="0"/>
    <n v="0"/>
    <n v="0"/>
    <n v="0"/>
    <n v="0"/>
    <m/>
    <n v="66.7"/>
    <m/>
    <s v="Unique"/>
    <s v="Valid"/>
  </r>
  <r>
    <s v="USR-100794"/>
    <d v="2025-05-02T00:00:00"/>
    <x v="1"/>
    <x v="0"/>
    <x v="1"/>
    <x v="2"/>
    <x v="2"/>
    <n v="0"/>
    <n v="0"/>
    <n v="0"/>
    <n v="0"/>
    <n v="0"/>
    <n v="0"/>
    <n v="0"/>
    <m/>
    <n v="39.4"/>
    <m/>
    <s v="Unique"/>
    <s v="Valid"/>
  </r>
  <r>
    <s v="USR-100795"/>
    <d v="2025-03-13T00:00:00"/>
    <x v="1"/>
    <x v="1"/>
    <x v="0"/>
    <x v="1"/>
    <x v="2"/>
    <n v="0"/>
    <n v="0"/>
    <n v="0"/>
    <n v="0"/>
    <n v="0"/>
    <n v="3"/>
    <n v="0"/>
    <m/>
    <n v="67"/>
    <m/>
    <s v="Unique"/>
    <s v="Valid"/>
  </r>
  <r>
    <s v="USR-100796"/>
    <d v="2025-05-31T00:00:00"/>
    <x v="1"/>
    <x v="3"/>
    <x v="1"/>
    <x v="1"/>
    <x v="0"/>
    <n v="1"/>
    <n v="0"/>
    <n v="0"/>
    <n v="0"/>
    <n v="0"/>
    <n v="0"/>
    <n v="0"/>
    <m/>
    <n v="50.4"/>
    <m/>
    <s v="Unique"/>
    <s v="Valid"/>
  </r>
  <r>
    <s v="USR-100797"/>
    <d v="2025-03-07T00:00:00"/>
    <x v="1"/>
    <x v="1"/>
    <x v="0"/>
    <x v="4"/>
    <x v="1"/>
    <n v="1"/>
    <n v="0"/>
    <n v="0"/>
    <n v="0"/>
    <n v="0"/>
    <n v="0"/>
    <n v="0"/>
    <m/>
    <n v="53.8"/>
    <m/>
    <s v="Unique"/>
    <s v="Valid"/>
  </r>
  <r>
    <s v="USR-100798"/>
    <d v="2025-02-22T00:00:00"/>
    <x v="1"/>
    <x v="1"/>
    <x v="1"/>
    <x v="2"/>
    <x v="0"/>
    <n v="0"/>
    <n v="0"/>
    <n v="0"/>
    <n v="0"/>
    <n v="0"/>
    <n v="1"/>
    <n v="0"/>
    <m/>
    <n v="82.7"/>
    <m/>
    <s v="Unique"/>
    <s v="Valid"/>
  </r>
  <r>
    <s v="USR-100799"/>
    <d v="2025-01-05T00:00:00"/>
    <x v="1"/>
    <x v="1"/>
    <x v="0"/>
    <x v="2"/>
    <x v="1"/>
    <n v="1"/>
    <n v="1"/>
    <n v="1"/>
    <n v="0"/>
    <n v="0"/>
    <n v="0"/>
    <n v="0"/>
    <m/>
    <n v="63.9"/>
    <m/>
    <s v="Unique"/>
    <s v="Valid"/>
  </r>
  <r>
    <s v="USR-100800"/>
    <d v="2025-01-21T00:00:00"/>
    <x v="1"/>
    <x v="1"/>
    <x v="1"/>
    <x v="3"/>
    <x v="1"/>
    <n v="1"/>
    <n v="0"/>
    <n v="0"/>
    <n v="0"/>
    <n v="0"/>
    <n v="0"/>
    <n v="0"/>
    <m/>
    <n v="61.9"/>
    <m/>
    <s v="Unique"/>
    <s v="Valid"/>
  </r>
  <r>
    <s v="USR-100801"/>
    <d v="2025-01-25T00:00:00"/>
    <x v="1"/>
    <x v="0"/>
    <x v="0"/>
    <x v="4"/>
    <x v="1"/>
    <n v="1"/>
    <n v="1"/>
    <n v="1"/>
    <n v="0"/>
    <n v="0"/>
    <n v="0"/>
    <n v="0"/>
    <m/>
    <n v="75"/>
    <m/>
    <s v="Unique"/>
    <s v="Valid"/>
  </r>
  <r>
    <s v="USR-100802"/>
    <d v="2025-04-04T00:00:00"/>
    <x v="1"/>
    <x v="1"/>
    <x v="1"/>
    <x v="2"/>
    <x v="0"/>
    <n v="1"/>
    <n v="1"/>
    <n v="1"/>
    <n v="0"/>
    <n v="0"/>
    <n v="0"/>
    <n v="0"/>
    <m/>
    <n v="43"/>
    <m/>
    <s v="Unique"/>
    <s v="Valid"/>
  </r>
  <r>
    <s v="USR-100803"/>
    <d v="2025-03-25T00:00:00"/>
    <x v="1"/>
    <x v="0"/>
    <x v="0"/>
    <x v="4"/>
    <x v="2"/>
    <n v="0"/>
    <n v="0"/>
    <n v="0"/>
    <n v="0"/>
    <n v="0"/>
    <n v="0"/>
    <n v="0"/>
    <m/>
    <n v="54.3"/>
    <m/>
    <s v="Unique"/>
    <s v="Valid"/>
  </r>
  <r>
    <s v="USR-100804"/>
    <d v="2025-03-19T00:00:00"/>
    <x v="1"/>
    <x v="1"/>
    <x v="1"/>
    <x v="4"/>
    <x v="1"/>
    <n v="0"/>
    <n v="0"/>
    <n v="0"/>
    <n v="0"/>
    <n v="0"/>
    <n v="2"/>
    <n v="0"/>
    <m/>
    <n v="44.3"/>
    <m/>
    <s v="Unique"/>
    <s v="Valid"/>
  </r>
  <r>
    <s v="USR-100805"/>
    <d v="2025-04-24T00:00:00"/>
    <x v="1"/>
    <x v="1"/>
    <x v="0"/>
    <x v="1"/>
    <x v="1"/>
    <n v="1"/>
    <n v="1"/>
    <n v="1"/>
    <n v="1"/>
    <n v="402.88"/>
    <n v="0"/>
    <n v="0"/>
    <n v="12"/>
    <n v="76"/>
    <m/>
    <s v="Unique"/>
    <s v="Valid"/>
  </r>
  <r>
    <s v="USR-100806"/>
    <d v="2025-04-04T00:00:00"/>
    <x v="1"/>
    <x v="3"/>
    <x v="2"/>
    <x v="1"/>
    <x v="1"/>
    <n v="1"/>
    <n v="0"/>
    <n v="0"/>
    <n v="0"/>
    <n v="0"/>
    <n v="2"/>
    <n v="0"/>
    <m/>
    <n v="65.3"/>
    <m/>
    <s v="Unique"/>
    <s v="Valid"/>
  </r>
  <r>
    <s v="USR-100807"/>
    <d v="2025-03-28T00:00:00"/>
    <x v="1"/>
    <x v="3"/>
    <x v="0"/>
    <x v="2"/>
    <x v="2"/>
    <n v="1"/>
    <n v="0"/>
    <n v="0"/>
    <n v="0"/>
    <n v="0"/>
    <n v="0"/>
    <n v="0"/>
    <m/>
    <n v="71.2"/>
    <m/>
    <s v="Unique"/>
    <s v="Valid"/>
  </r>
  <r>
    <s v="USR-100808"/>
    <d v="2025-05-15T00:00:00"/>
    <x v="1"/>
    <x v="3"/>
    <x v="2"/>
    <x v="2"/>
    <x v="1"/>
    <n v="1"/>
    <n v="0"/>
    <n v="0"/>
    <n v="0"/>
    <n v="0"/>
    <n v="0"/>
    <n v="0"/>
    <m/>
    <n v="77.900000000000006"/>
    <m/>
    <s v="Unique"/>
    <s v="Valid"/>
  </r>
  <r>
    <s v="USR-100809"/>
    <d v="2025-03-13T00:00:00"/>
    <x v="1"/>
    <x v="1"/>
    <x v="1"/>
    <x v="2"/>
    <x v="1"/>
    <n v="0"/>
    <n v="0"/>
    <n v="0"/>
    <n v="0"/>
    <n v="0"/>
    <n v="0"/>
    <n v="0"/>
    <m/>
    <n v="48.6"/>
    <m/>
    <s v="Unique"/>
    <s v="Valid"/>
  </r>
  <r>
    <s v="USR-100810"/>
    <d v="2025-03-26T00:00:00"/>
    <x v="1"/>
    <x v="0"/>
    <x v="1"/>
    <x v="4"/>
    <x v="2"/>
    <n v="1"/>
    <n v="0"/>
    <n v="0"/>
    <n v="0"/>
    <n v="0"/>
    <n v="0"/>
    <n v="0"/>
    <m/>
    <n v="61.9"/>
    <m/>
    <s v="Unique"/>
    <s v="Valid"/>
  </r>
  <r>
    <s v="USR-100811"/>
    <d v="2025-01-09T00:00:00"/>
    <x v="1"/>
    <x v="0"/>
    <x v="1"/>
    <x v="4"/>
    <x v="0"/>
    <n v="0"/>
    <n v="0"/>
    <n v="0"/>
    <n v="0"/>
    <n v="0"/>
    <n v="1"/>
    <n v="0"/>
    <m/>
    <n v="58.7"/>
    <m/>
    <s v="Unique"/>
    <s v="Valid"/>
  </r>
  <r>
    <s v="USR-100812"/>
    <d v="2025-05-06T00:00:00"/>
    <x v="1"/>
    <x v="3"/>
    <x v="0"/>
    <x v="2"/>
    <x v="1"/>
    <n v="1"/>
    <n v="0"/>
    <n v="0"/>
    <n v="0"/>
    <n v="0"/>
    <n v="0"/>
    <n v="0"/>
    <m/>
    <n v="69.599999999999994"/>
    <m/>
    <s v="Unique"/>
    <s v="Valid"/>
  </r>
  <r>
    <s v="USR-100813"/>
    <d v="2025-02-17T00:00:00"/>
    <x v="1"/>
    <x v="3"/>
    <x v="1"/>
    <x v="1"/>
    <x v="1"/>
    <n v="1"/>
    <n v="0"/>
    <n v="0"/>
    <n v="0"/>
    <n v="0"/>
    <n v="0"/>
    <n v="0"/>
    <m/>
    <n v="51.5"/>
    <m/>
    <s v="Unique"/>
    <s v="Valid"/>
  </r>
  <r>
    <s v="USR-100814"/>
    <d v="2025-04-05T00:00:00"/>
    <x v="1"/>
    <x v="2"/>
    <x v="1"/>
    <x v="2"/>
    <x v="1"/>
    <n v="1"/>
    <n v="1"/>
    <n v="1"/>
    <n v="1"/>
    <n v="277.69"/>
    <n v="3"/>
    <n v="0"/>
    <n v="8"/>
    <n v="46"/>
    <m/>
    <s v="Unique"/>
    <s v="Valid"/>
  </r>
  <r>
    <s v="USR-100815"/>
    <d v="2025-04-13T00:00:00"/>
    <x v="1"/>
    <x v="1"/>
    <x v="2"/>
    <x v="1"/>
    <x v="1"/>
    <n v="1"/>
    <n v="0"/>
    <n v="0"/>
    <n v="0"/>
    <n v="0"/>
    <n v="0"/>
    <n v="0"/>
    <m/>
    <n v="81.7"/>
    <m/>
    <s v="Unique"/>
    <s v="Valid"/>
  </r>
  <r>
    <s v="USR-100816"/>
    <d v="2025-05-20T00:00:00"/>
    <x v="1"/>
    <x v="2"/>
    <x v="0"/>
    <x v="3"/>
    <x v="1"/>
    <n v="1"/>
    <n v="0"/>
    <n v="0"/>
    <n v="0"/>
    <n v="0"/>
    <n v="0"/>
    <n v="0"/>
    <m/>
    <n v="48.3"/>
    <m/>
    <s v="Unique"/>
    <s v="Valid"/>
  </r>
  <r>
    <s v="USR-100817"/>
    <d v="2025-03-31T00:00:00"/>
    <x v="1"/>
    <x v="2"/>
    <x v="1"/>
    <x v="0"/>
    <x v="1"/>
    <n v="1"/>
    <n v="1"/>
    <n v="0"/>
    <n v="0"/>
    <n v="0"/>
    <n v="0"/>
    <n v="0"/>
    <m/>
    <n v="85.6"/>
    <m/>
    <s v="Unique"/>
    <s v="Valid"/>
  </r>
  <r>
    <s v="USR-100818"/>
    <d v="2025-04-03T00:00:00"/>
    <x v="1"/>
    <x v="1"/>
    <x v="2"/>
    <x v="2"/>
    <x v="0"/>
    <n v="1"/>
    <n v="0"/>
    <n v="0"/>
    <n v="0"/>
    <n v="0"/>
    <n v="0"/>
    <n v="0"/>
    <m/>
    <n v="53.8"/>
    <m/>
    <s v="Unique"/>
    <s v="Valid"/>
  </r>
  <r>
    <s v="USR-100819"/>
    <d v="2025-02-04T00:00:00"/>
    <x v="1"/>
    <x v="3"/>
    <x v="1"/>
    <x v="1"/>
    <x v="1"/>
    <n v="1"/>
    <n v="1"/>
    <n v="1"/>
    <n v="1"/>
    <n v="460.83"/>
    <n v="2"/>
    <n v="0"/>
    <n v="0"/>
    <n v="69.7"/>
    <m/>
    <s v="Unique"/>
    <s v="Valid"/>
  </r>
  <r>
    <s v="USR-100820"/>
    <d v="2025-05-19T00:00:00"/>
    <x v="1"/>
    <x v="2"/>
    <x v="1"/>
    <x v="1"/>
    <x v="1"/>
    <n v="1"/>
    <n v="0"/>
    <n v="0"/>
    <n v="0"/>
    <n v="0"/>
    <n v="0"/>
    <n v="0"/>
    <m/>
    <n v="74.8"/>
    <m/>
    <s v="Unique"/>
    <s v="Valid"/>
  </r>
  <r>
    <s v="USR-100821"/>
    <d v="2025-03-08T00:00:00"/>
    <x v="1"/>
    <x v="2"/>
    <x v="0"/>
    <x v="2"/>
    <x v="0"/>
    <n v="0"/>
    <n v="0"/>
    <n v="0"/>
    <n v="0"/>
    <n v="0"/>
    <n v="0"/>
    <n v="0"/>
    <m/>
    <n v="87.9"/>
    <m/>
    <s v="Unique"/>
    <s v="Valid"/>
  </r>
  <r>
    <s v="USR-100822"/>
    <d v="2025-05-10T00:00:00"/>
    <x v="1"/>
    <x v="0"/>
    <x v="1"/>
    <x v="4"/>
    <x v="0"/>
    <n v="1"/>
    <n v="0"/>
    <n v="0"/>
    <n v="0"/>
    <n v="0"/>
    <n v="1"/>
    <n v="0"/>
    <m/>
    <n v="49.1"/>
    <m/>
    <s v="Unique"/>
    <s v="Valid"/>
  </r>
  <r>
    <s v="USR-100823"/>
    <d v="2025-01-02T00:00:00"/>
    <x v="1"/>
    <x v="2"/>
    <x v="0"/>
    <x v="4"/>
    <x v="0"/>
    <n v="1"/>
    <n v="0"/>
    <n v="0"/>
    <n v="0"/>
    <n v="0"/>
    <n v="2"/>
    <n v="0"/>
    <m/>
    <n v="73"/>
    <m/>
    <s v="Unique"/>
    <s v="Valid"/>
  </r>
  <r>
    <s v="USR-100824"/>
    <d v="2025-01-17T00:00:00"/>
    <x v="1"/>
    <x v="1"/>
    <x v="1"/>
    <x v="1"/>
    <x v="0"/>
    <n v="0"/>
    <n v="0"/>
    <n v="0"/>
    <n v="0"/>
    <n v="0"/>
    <n v="0"/>
    <n v="0"/>
    <m/>
    <n v="79.5"/>
    <m/>
    <s v="Unique"/>
    <s v="Valid"/>
  </r>
  <r>
    <s v="USR-100825"/>
    <d v="2025-05-21T00:00:00"/>
    <x v="1"/>
    <x v="1"/>
    <x v="1"/>
    <x v="3"/>
    <x v="0"/>
    <n v="1"/>
    <n v="1"/>
    <n v="1"/>
    <n v="1"/>
    <n v="782.23"/>
    <n v="1"/>
    <n v="0"/>
    <n v="6"/>
    <n v="93.2"/>
    <m/>
    <s v="Unique"/>
    <s v="Valid"/>
  </r>
  <r>
    <s v="USR-100826"/>
    <d v="2025-05-25T00:00:00"/>
    <x v="1"/>
    <x v="2"/>
    <x v="0"/>
    <x v="3"/>
    <x v="1"/>
    <n v="1"/>
    <n v="0"/>
    <n v="0"/>
    <n v="0"/>
    <n v="0"/>
    <n v="3"/>
    <n v="0"/>
    <m/>
    <n v="77.5"/>
    <m/>
    <s v="Unique"/>
    <s v="Valid"/>
  </r>
  <r>
    <s v="USR-100827"/>
    <d v="2025-01-05T00:00:00"/>
    <x v="1"/>
    <x v="1"/>
    <x v="1"/>
    <x v="0"/>
    <x v="0"/>
    <n v="1"/>
    <n v="0"/>
    <n v="0"/>
    <n v="0"/>
    <n v="0"/>
    <n v="0"/>
    <n v="0"/>
    <m/>
    <n v="61"/>
    <m/>
    <s v="Unique"/>
    <s v="Valid"/>
  </r>
  <r>
    <s v="USR-100828"/>
    <d v="2025-02-24T00:00:00"/>
    <x v="1"/>
    <x v="3"/>
    <x v="0"/>
    <x v="1"/>
    <x v="1"/>
    <n v="1"/>
    <n v="1"/>
    <n v="0"/>
    <n v="0"/>
    <n v="0"/>
    <n v="0"/>
    <n v="0"/>
    <m/>
    <n v="64.900000000000006"/>
    <m/>
    <s v="Unique"/>
    <s v="Valid"/>
  </r>
  <r>
    <s v="USR-100829"/>
    <d v="2025-01-21T00:00:00"/>
    <x v="1"/>
    <x v="2"/>
    <x v="1"/>
    <x v="2"/>
    <x v="0"/>
    <n v="1"/>
    <n v="0"/>
    <n v="0"/>
    <n v="0"/>
    <n v="0"/>
    <n v="0"/>
    <n v="0"/>
    <m/>
    <n v="87.5"/>
    <m/>
    <s v="Unique"/>
    <s v="Valid"/>
  </r>
  <r>
    <s v="USR-100830"/>
    <d v="2025-04-24T00:00:00"/>
    <x v="1"/>
    <x v="0"/>
    <x v="1"/>
    <x v="1"/>
    <x v="0"/>
    <n v="1"/>
    <n v="1"/>
    <n v="1"/>
    <n v="1"/>
    <n v="1171.99"/>
    <n v="0"/>
    <n v="0"/>
    <n v="5"/>
    <n v="80.599999999999994"/>
    <m/>
    <s v="Unique"/>
    <s v="Valid"/>
  </r>
  <r>
    <s v="USR-100831"/>
    <d v="2025-01-07T00:00:00"/>
    <x v="1"/>
    <x v="1"/>
    <x v="0"/>
    <x v="1"/>
    <x v="1"/>
    <n v="1"/>
    <n v="0"/>
    <n v="0"/>
    <n v="0"/>
    <n v="0"/>
    <n v="0"/>
    <n v="0"/>
    <m/>
    <n v="66.900000000000006"/>
    <m/>
    <s v="Unique"/>
    <s v="Valid"/>
  </r>
  <r>
    <s v="USR-100832"/>
    <d v="2025-05-31T00:00:00"/>
    <x v="1"/>
    <x v="3"/>
    <x v="2"/>
    <x v="1"/>
    <x v="0"/>
    <n v="1"/>
    <n v="1"/>
    <n v="1"/>
    <n v="0"/>
    <n v="0"/>
    <n v="0"/>
    <n v="0"/>
    <m/>
    <n v="58.8"/>
    <m/>
    <s v="Unique"/>
    <s v="Valid"/>
  </r>
  <r>
    <s v="USR-100833"/>
    <d v="2025-04-02T00:00:00"/>
    <x v="1"/>
    <x v="0"/>
    <x v="0"/>
    <x v="1"/>
    <x v="0"/>
    <n v="1"/>
    <n v="1"/>
    <n v="1"/>
    <n v="1"/>
    <n v="1010.4"/>
    <n v="0"/>
    <n v="0"/>
    <n v="4"/>
    <n v="42.9"/>
    <m/>
    <s v="Unique"/>
    <s v="Valid"/>
  </r>
  <r>
    <s v="USR-100834"/>
    <d v="2025-04-21T00:00:00"/>
    <x v="1"/>
    <x v="2"/>
    <x v="1"/>
    <x v="1"/>
    <x v="1"/>
    <n v="1"/>
    <n v="1"/>
    <n v="1"/>
    <n v="0"/>
    <n v="0"/>
    <n v="1"/>
    <n v="0"/>
    <m/>
    <n v="60.2"/>
    <m/>
    <s v="Unique"/>
    <s v="Valid"/>
  </r>
  <r>
    <s v="USR-100835"/>
    <d v="2025-05-05T00:00:00"/>
    <x v="1"/>
    <x v="2"/>
    <x v="1"/>
    <x v="2"/>
    <x v="0"/>
    <n v="1"/>
    <n v="0"/>
    <n v="0"/>
    <n v="0"/>
    <n v="0"/>
    <n v="0"/>
    <n v="0"/>
    <m/>
    <n v="42.7"/>
    <m/>
    <s v="Unique"/>
    <s v="Valid"/>
  </r>
  <r>
    <s v="USR-100836"/>
    <d v="2025-01-06T00:00:00"/>
    <x v="1"/>
    <x v="0"/>
    <x v="0"/>
    <x v="4"/>
    <x v="1"/>
    <n v="1"/>
    <n v="1"/>
    <n v="1"/>
    <n v="1"/>
    <n v="431.27"/>
    <n v="0"/>
    <n v="0"/>
    <n v="7"/>
    <n v="60.8"/>
    <m/>
    <s v="Unique"/>
    <s v="Valid"/>
  </r>
  <r>
    <s v="USR-100837"/>
    <d v="2025-04-24T00:00:00"/>
    <x v="1"/>
    <x v="3"/>
    <x v="1"/>
    <x v="3"/>
    <x v="1"/>
    <n v="1"/>
    <n v="1"/>
    <n v="1"/>
    <n v="1"/>
    <n v="428.8"/>
    <n v="0"/>
    <n v="0"/>
    <n v="9"/>
    <n v="79.3"/>
    <m/>
    <s v="Unique"/>
    <s v="Valid"/>
  </r>
  <r>
    <s v="USR-100838"/>
    <d v="2025-04-21T00:00:00"/>
    <x v="1"/>
    <x v="3"/>
    <x v="1"/>
    <x v="1"/>
    <x v="0"/>
    <n v="1"/>
    <n v="0"/>
    <n v="0"/>
    <n v="0"/>
    <n v="0"/>
    <n v="1"/>
    <n v="0"/>
    <m/>
    <n v="88.6"/>
    <m/>
    <s v="Unique"/>
    <s v="Valid"/>
  </r>
  <r>
    <s v="USR-100839"/>
    <d v="2025-02-09T00:00:00"/>
    <x v="1"/>
    <x v="1"/>
    <x v="1"/>
    <x v="1"/>
    <x v="0"/>
    <n v="1"/>
    <n v="1"/>
    <n v="1"/>
    <n v="0"/>
    <n v="0"/>
    <n v="0"/>
    <n v="0"/>
    <m/>
    <n v="63.1"/>
    <m/>
    <s v="Unique"/>
    <s v="Valid"/>
  </r>
  <r>
    <s v="USR-100840"/>
    <d v="2025-01-09T00:00:00"/>
    <x v="1"/>
    <x v="2"/>
    <x v="1"/>
    <x v="1"/>
    <x v="2"/>
    <n v="1"/>
    <n v="0"/>
    <n v="0"/>
    <n v="0"/>
    <n v="0"/>
    <n v="0"/>
    <n v="0"/>
    <m/>
    <n v="39.700000000000003"/>
    <m/>
    <s v="Unique"/>
    <s v="Valid"/>
  </r>
  <r>
    <s v="USR-100841"/>
    <d v="2025-02-16T00:00:00"/>
    <x v="1"/>
    <x v="0"/>
    <x v="1"/>
    <x v="2"/>
    <x v="0"/>
    <n v="0"/>
    <n v="0"/>
    <n v="0"/>
    <n v="0"/>
    <n v="0"/>
    <n v="0"/>
    <n v="0"/>
    <m/>
    <n v="67.2"/>
    <m/>
    <s v="Unique"/>
    <s v="Valid"/>
  </r>
  <r>
    <s v="USR-100842"/>
    <d v="2025-02-21T00:00:00"/>
    <x v="1"/>
    <x v="3"/>
    <x v="1"/>
    <x v="1"/>
    <x v="1"/>
    <n v="1"/>
    <n v="1"/>
    <n v="1"/>
    <n v="0"/>
    <n v="0"/>
    <n v="0"/>
    <n v="0"/>
    <m/>
    <n v="62.3"/>
    <m/>
    <s v="Unique"/>
    <s v="Valid"/>
  </r>
  <r>
    <s v="USR-100843"/>
    <d v="2025-02-08T00:00:00"/>
    <x v="1"/>
    <x v="3"/>
    <x v="1"/>
    <x v="1"/>
    <x v="2"/>
    <n v="1"/>
    <n v="0"/>
    <n v="0"/>
    <n v="0"/>
    <n v="0"/>
    <n v="0"/>
    <n v="0"/>
    <m/>
    <n v="60.02"/>
    <m/>
    <s v="Unique"/>
    <s v="Valid"/>
  </r>
  <r>
    <s v="USR-100844"/>
    <d v="2025-01-22T00:00:00"/>
    <x v="1"/>
    <x v="3"/>
    <x v="1"/>
    <x v="2"/>
    <x v="2"/>
    <n v="0"/>
    <n v="0"/>
    <n v="0"/>
    <n v="0"/>
    <n v="0"/>
    <n v="0"/>
    <n v="0"/>
    <m/>
    <n v="60.7"/>
    <m/>
    <s v="Unique"/>
    <s v="Valid"/>
  </r>
  <r>
    <s v="USR-100845"/>
    <d v="2025-04-01T00:00:00"/>
    <x v="1"/>
    <x v="1"/>
    <x v="1"/>
    <x v="1"/>
    <x v="0"/>
    <n v="1"/>
    <n v="0"/>
    <n v="0"/>
    <n v="0"/>
    <n v="0"/>
    <n v="0"/>
    <n v="0"/>
    <m/>
    <n v="61.5"/>
    <m/>
    <s v="Unique"/>
    <s v="Valid"/>
  </r>
  <r>
    <s v="USR-100846"/>
    <d v="2025-01-21T00:00:00"/>
    <x v="1"/>
    <x v="0"/>
    <x v="1"/>
    <x v="2"/>
    <x v="0"/>
    <n v="1"/>
    <n v="0"/>
    <n v="0"/>
    <n v="0"/>
    <n v="0"/>
    <n v="0"/>
    <n v="0"/>
    <m/>
    <n v="75"/>
    <m/>
    <s v="Unique"/>
    <s v="Valid"/>
  </r>
  <r>
    <s v="USR-100847"/>
    <d v="2025-01-02T00:00:00"/>
    <x v="1"/>
    <x v="2"/>
    <x v="0"/>
    <x v="1"/>
    <x v="1"/>
    <n v="1"/>
    <n v="1"/>
    <n v="0"/>
    <n v="0"/>
    <n v="0"/>
    <n v="0"/>
    <n v="0"/>
    <m/>
    <n v="51.9"/>
    <m/>
    <s v="Unique"/>
    <s v="Valid"/>
  </r>
  <r>
    <s v="USR-100848"/>
    <d v="2025-05-12T00:00:00"/>
    <x v="1"/>
    <x v="3"/>
    <x v="0"/>
    <x v="2"/>
    <x v="1"/>
    <n v="0"/>
    <n v="0"/>
    <n v="0"/>
    <n v="0"/>
    <n v="0"/>
    <n v="0"/>
    <n v="0"/>
    <m/>
    <n v="34.5"/>
    <m/>
    <s v="Unique"/>
    <s v="Valid"/>
  </r>
  <r>
    <s v="USR-100849"/>
    <d v="2025-03-05T00:00:00"/>
    <x v="1"/>
    <x v="3"/>
    <x v="1"/>
    <x v="4"/>
    <x v="0"/>
    <n v="0"/>
    <n v="0"/>
    <n v="0"/>
    <n v="0"/>
    <n v="0"/>
    <n v="0"/>
    <n v="0"/>
    <m/>
    <n v="54.5"/>
    <m/>
    <s v="Unique"/>
    <s v="Valid"/>
  </r>
  <r>
    <s v="USR-100850"/>
    <d v="2025-01-24T00:00:00"/>
    <x v="1"/>
    <x v="2"/>
    <x v="1"/>
    <x v="1"/>
    <x v="1"/>
    <n v="0"/>
    <n v="0"/>
    <n v="0"/>
    <n v="0"/>
    <n v="0"/>
    <n v="0"/>
    <n v="0"/>
    <m/>
    <n v="46"/>
    <m/>
    <s v="Unique"/>
    <s v="Valid"/>
  </r>
  <r>
    <s v="USR-100851"/>
    <d v="2025-01-31T00:00:00"/>
    <x v="1"/>
    <x v="2"/>
    <x v="0"/>
    <x v="0"/>
    <x v="1"/>
    <n v="1"/>
    <n v="1"/>
    <n v="1"/>
    <n v="0"/>
    <n v="0"/>
    <n v="0"/>
    <n v="0"/>
    <m/>
    <n v="88.4"/>
    <m/>
    <s v="Unique"/>
    <s v="Valid"/>
  </r>
  <r>
    <s v="USR-100852"/>
    <d v="2025-01-24T00:00:00"/>
    <x v="1"/>
    <x v="0"/>
    <x v="2"/>
    <x v="1"/>
    <x v="0"/>
    <n v="1"/>
    <n v="0"/>
    <n v="0"/>
    <n v="0"/>
    <n v="0"/>
    <n v="0"/>
    <n v="0"/>
    <m/>
    <n v="69.5"/>
    <m/>
    <s v="Unique"/>
    <s v="Valid"/>
  </r>
  <r>
    <s v="USR-100853"/>
    <d v="2025-02-14T00:00:00"/>
    <x v="1"/>
    <x v="0"/>
    <x v="0"/>
    <x v="3"/>
    <x v="0"/>
    <n v="1"/>
    <n v="1"/>
    <n v="1"/>
    <n v="0"/>
    <n v="0"/>
    <n v="0"/>
    <n v="0"/>
    <m/>
    <n v="74.2"/>
    <m/>
    <s v="Unique"/>
    <s v="Valid"/>
  </r>
  <r>
    <s v="USR-100854"/>
    <d v="2025-05-27T00:00:00"/>
    <x v="1"/>
    <x v="0"/>
    <x v="1"/>
    <x v="1"/>
    <x v="1"/>
    <n v="1"/>
    <n v="1"/>
    <n v="1"/>
    <n v="0"/>
    <n v="0"/>
    <n v="0"/>
    <n v="0"/>
    <m/>
    <n v="72.099999999999994"/>
    <m/>
    <s v="Unique"/>
    <s v="Valid"/>
  </r>
  <r>
    <s v="USR-100855"/>
    <d v="2025-02-28T00:00:00"/>
    <x v="1"/>
    <x v="0"/>
    <x v="1"/>
    <x v="2"/>
    <x v="1"/>
    <n v="1"/>
    <n v="1"/>
    <n v="1"/>
    <n v="1"/>
    <n v="398.33"/>
    <n v="0"/>
    <n v="0"/>
    <n v="5"/>
    <n v="85.1"/>
    <m/>
    <s v="Unique"/>
    <s v="Valid"/>
  </r>
  <r>
    <s v="USR-100856"/>
    <d v="2025-05-27T00:00:00"/>
    <x v="1"/>
    <x v="0"/>
    <x v="1"/>
    <x v="1"/>
    <x v="0"/>
    <n v="1"/>
    <n v="1"/>
    <n v="1"/>
    <n v="0"/>
    <n v="0"/>
    <n v="0"/>
    <n v="0"/>
    <m/>
    <n v="49.5"/>
    <m/>
    <s v="Unique"/>
    <s v="Valid"/>
  </r>
  <r>
    <s v="USR-100857"/>
    <d v="2025-05-17T00:00:00"/>
    <x v="1"/>
    <x v="3"/>
    <x v="1"/>
    <x v="2"/>
    <x v="2"/>
    <n v="0"/>
    <n v="0"/>
    <n v="0"/>
    <n v="0"/>
    <n v="0"/>
    <n v="1"/>
    <n v="0"/>
    <m/>
    <n v="79"/>
    <m/>
    <s v="Unique"/>
    <s v="Valid"/>
  </r>
  <r>
    <s v="USR-100858"/>
    <d v="2025-01-10T00:00:00"/>
    <x v="1"/>
    <x v="1"/>
    <x v="0"/>
    <x v="4"/>
    <x v="1"/>
    <n v="0"/>
    <n v="0"/>
    <n v="0"/>
    <n v="0"/>
    <n v="0"/>
    <n v="0"/>
    <n v="0"/>
    <m/>
    <n v="71.8"/>
    <m/>
    <s v="Unique"/>
    <s v="Valid"/>
  </r>
  <r>
    <s v="USR-100859"/>
    <d v="2025-04-22T00:00:00"/>
    <x v="1"/>
    <x v="0"/>
    <x v="1"/>
    <x v="0"/>
    <x v="0"/>
    <n v="1"/>
    <n v="1"/>
    <n v="1"/>
    <n v="1"/>
    <n v="1117.54"/>
    <n v="0"/>
    <n v="0"/>
    <n v="6"/>
    <n v="60.4"/>
    <m/>
    <s v="Unique"/>
    <s v="Valid"/>
  </r>
  <r>
    <s v="USR-100860"/>
    <d v="2025-03-02T00:00:00"/>
    <x v="1"/>
    <x v="3"/>
    <x v="0"/>
    <x v="1"/>
    <x v="0"/>
    <n v="1"/>
    <n v="0"/>
    <n v="0"/>
    <n v="0"/>
    <n v="0"/>
    <n v="2"/>
    <n v="0"/>
    <m/>
    <n v="38.299999999999997"/>
    <m/>
    <s v="Unique"/>
    <s v="Valid"/>
  </r>
  <r>
    <s v="USR-100861"/>
    <d v="2025-03-23T00:00:00"/>
    <x v="1"/>
    <x v="2"/>
    <x v="1"/>
    <x v="2"/>
    <x v="1"/>
    <n v="1"/>
    <n v="1"/>
    <n v="1"/>
    <n v="0"/>
    <n v="0"/>
    <n v="0"/>
    <n v="0"/>
    <m/>
    <n v="79.599999999999994"/>
    <m/>
    <s v="Unique"/>
    <s v="Valid"/>
  </r>
  <r>
    <s v="USR-100862"/>
    <d v="2025-02-12T00:00:00"/>
    <x v="1"/>
    <x v="2"/>
    <x v="1"/>
    <x v="0"/>
    <x v="1"/>
    <n v="1"/>
    <n v="1"/>
    <n v="1"/>
    <n v="0"/>
    <n v="0"/>
    <n v="0"/>
    <n v="0"/>
    <m/>
    <n v="71.900000000000006"/>
    <m/>
    <s v="Unique"/>
    <s v="Valid"/>
  </r>
  <r>
    <s v="USR-100863"/>
    <d v="2025-05-03T00:00:00"/>
    <x v="1"/>
    <x v="3"/>
    <x v="1"/>
    <x v="3"/>
    <x v="0"/>
    <n v="1"/>
    <n v="0"/>
    <n v="0"/>
    <n v="0"/>
    <n v="0"/>
    <n v="0"/>
    <n v="0"/>
    <m/>
    <n v="54.6"/>
    <m/>
    <s v="Unique"/>
    <s v="Valid"/>
  </r>
  <r>
    <s v="USR-100864"/>
    <d v="2025-03-28T00:00:00"/>
    <x v="1"/>
    <x v="0"/>
    <x v="0"/>
    <x v="4"/>
    <x v="1"/>
    <n v="1"/>
    <n v="0"/>
    <n v="0"/>
    <n v="0"/>
    <n v="0"/>
    <n v="3"/>
    <n v="0"/>
    <m/>
    <n v="49.3"/>
    <m/>
    <s v="Unique"/>
    <s v="Valid"/>
  </r>
  <r>
    <s v="USR-100865"/>
    <d v="2025-03-12T00:00:00"/>
    <x v="1"/>
    <x v="0"/>
    <x v="1"/>
    <x v="4"/>
    <x v="0"/>
    <n v="0"/>
    <n v="0"/>
    <n v="0"/>
    <n v="0"/>
    <n v="0"/>
    <n v="1"/>
    <n v="0"/>
    <m/>
    <n v="66.900000000000006"/>
    <m/>
    <s v="Unique"/>
    <s v="Valid"/>
  </r>
  <r>
    <s v="USR-100866"/>
    <d v="2025-04-27T00:00:00"/>
    <x v="1"/>
    <x v="2"/>
    <x v="1"/>
    <x v="2"/>
    <x v="1"/>
    <n v="1"/>
    <n v="0"/>
    <n v="0"/>
    <n v="0"/>
    <n v="0"/>
    <n v="1"/>
    <n v="0"/>
    <m/>
    <n v="77.8"/>
    <m/>
    <s v="Unique"/>
    <s v="Valid"/>
  </r>
  <r>
    <s v="USR-100867"/>
    <d v="2025-04-02T00:00:00"/>
    <x v="1"/>
    <x v="3"/>
    <x v="1"/>
    <x v="3"/>
    <x v="0"/>
    <n v="1"/>
    <n v="0"/>
    <n v="0"/>
    <n v="0"/>
    <n v="0"/>
    <n v="0"/>
    <n v="0"/>
    <m/>
    <n v="63"/>
    <m/>
    <s v="Unique"/>
    <s v="Valid"/>
  </r>
  <r>
    <s v="USR-100868"/>
    <d v="2025-04-21T00:00:00"/>
    <x v="1"/>
    <x v="0"/>
    <x v="1"/>
    <x v="4"/>
    <x v="1"/>
    <n v="0"/>
    <n v="0"/>
    <n v="0"/>
    <n v="0"/>
    <n v="0"/>
    <n v="0"/>
    <n v="0"/>
    <m/>
    <n v="79.8"/>
    <m/>
    <s v="Unique"/>
    <s v="Valid"/>
  </r>
  <r>
    <s v="USR-100869"/>
    <d v="2025-01-26T00:00:00"/>
    <x v="1"/>
    <x v="1"/>
    <x v="0"/>
    <x v="1"/>
    <x v="0"/>
    <n v="0"/>
    <n v="0"/>
    <n v="0"/>
    <n v="0"/>
    <n v="0"/>
    <n v="0"/>
    <n v="0"/>
    <m/>
    <n v="69.900000000000006"/>
    <m/>
    <s v="Unique"/>
    <s v="Valid"/>
  </r>
  <r>
    <s v="USR-100870"/>
    <d v="2025-01-06T00:00:00"/>
    <x v="1"/>
    <x v="1"/>
    <x v="1"/>
    <x v="1"/>
    <x v="1"/>
    <n v="0"/>
    <n v="0"/>
    <n v="0"/>
    <n v="0"/>
    <n v="0"/>
    <n v="1"/>
    <n v="0"/>
    <m/>
    <n v="66.400000000000006"/>
    <m/>
    <s v="Unique"/>
    <s v="Valid"/>
  </r>
  <r>
    <s v="USR-100871"/>
    <d v="2025-02-07T00:00:00"/>
    <x v="1"/>
    <x v="2"/>
    <x v="1"/>
    <x v="1"/>
    <x v="1"/>
    <n v="1"/>
    <n v="0"/>
    <n v="0"/>
    <n v="0"/>
    <n v="0"/>
    <n v="0"/>
    <n v="0"/>
    <m/>
    <n v="27.6"/>
    <m/>
    <s v="Unique"/>
    <s v="Valid"/>
  </r>
  <r>
    <s v="USR-100872"/>
    <d v="2025-05-07T00:00:00"/>
    <x v="1"/>
    <x v="1"/>
    <x v="1"/>
    <x v="1"/>
    <x v="2"/>
    <n v="1"/>
    <n v="0"/>
    <n v="0"/>
    <n v="0"/>
    <n v="0"/>
    <n v="1"/>
    <n v="0"/>
    <m/>
    <n v="56.5"/>
    <m/>
    <s v="Unique"/>
    <s v="Valid"/>
  </r>
  <r>
    <s v="USR-100873"/>
    <d v="2025-04-22T00:00:00"/>
    <x v="1"/>
    <x v="1"/>
    <x v="3"/>
    <x v="4"/>
    <x v="1"/>
    <n v="1"/>
    <n v="0"/>
    <n v="0"/>
    <n v="0"/>
    <n v="0"/>
    <n v="0"/>
    <n v="0"/>
    <m/>
    <n v="67.8"/>
    <m/>
    <s v="Unique"/>
    <s v="Valid"/>
  </r>
  <r>
    <s v="USR-100874"/>
    <d v="2025-05-04T00:00:00"/>
    <x v="1"/>
    <x v="1"/>
    <x v="0"/>
    <x v="4"/>
    <x v="1"/>
    <n v="1"/>
    <n v="0"/>
    <n v="0"/>
    <n v="0"/>
    <n v="0"/>
    <n v="0"/>
    <n v="0"/>
    <m/>
    <n v="80"/>
    <m/>
    <s v="Unique"/>
    <s v="Valid"/>
  </r>
  <r>
    <s v="USR-100875"/>
    <d v="2025-05-16T00:00:00"/>
    <x v="1"/>
    <x v="3"/>
    <x v="1"/>
    <x v="4"/>
    <x v="0"/>
    <n v="1"/>
    <n v="1"/>
    <n v="1"/>
    <n v="0"/>
    <n v="0"/>
    <n v="1"/>
    <n v="0"/>
    <m/>
    <n v="80.900000000000006"/>
    <m/>
    <s v="Unique"/>
    <s v="Valid"/>
  </r>
  <r>
    <s v="USR-100876"/>
    <d v="2025-02-11T00:00:00"/>
    <x v="1"/>
    <x v="1"/>
    <x v="1"/>
    <x v="2"/>
    <x v="1"/>
    <n v="0"/>
    <n v="0"/>
    <n v="0"/>
    <n v="0"/>
    <n v="0"/>
    <n v="0"/>
    <n v="0"/>
    <m/>
    <n v="34.5"/>
    <m/>
    <s v="Unique"/>
    <s v="Valid"/>
  </r>
  <r>
    <s v="USR-100877"/>
    <d v="2025-05-09T00:00:00"/>
    <x v="1"/>
    <x v="2"/>
    <x v="0"/>
    <x v="1"/>
    <x v="2"/>
    <n v="1"/>
    <n v="0"/>
    <n v="0"/>
    <n v="0"/>
    <n v="0"/>
    <n v="0"/>
    <n v="0"/>
    <m/>
    <n v="73.5"/>
    <m/>
    <s v="Unique"/>
    <s v="Valid"/>
  </r>
  <r>
    <s v="USR-100878"/>
    <d v="2025-02-09T00:00:00"/>
    <x v="1"/>
    <x v="3"/>
    <x v="0"/>
    <x v="2"/>
    <x v="1"/>
    <n v="1"/>
    <n v="1"/>
    <n v="0"/>
    <n v="0"/>
    <n v="0"/>
    <n v="0"/>
    <n v="0"/>
    <m/>
    <n v="70"/>
    <m/>
    <s v="Unique"/>
    <s v="Valid"/>
  </r>
  <r>
    <s v="USR-100879"/>
    <d v="2025-05-22T00:00:00"/>
    <x v="1"/>
    <x v="1"/>
    <x v="1"/>
    <x v="4"/>
    <x v="0"/>
    <n v="0"/>
    <n v="0"/>
    <n v="0"/>
    <n v="0"/>
    <n v="0"/>
    <n v="0"/>
    <n v="0"/>
    <m/>
    <n v="86.9"/>
    <m/>
    <s v="Unique"/>
    <s v="Valid"/>
  </r>
  <r>
    <s v="USR-100880"/>
    <d v="2025-05-24T00:00:00"/>
    <x v="1"/>
    <x v="2"/>
    <x v="1"/>
    <x v="4"/>
    <x v="0"/>
    <n v="0"/>
    <n v="0"/>
    <n v="0"/>
    <n v="0"/>
    <n v="0"/>
    <n v="0"/>
    <n v="0"/>
    <m/>
    <n v="66.900000000000006"/>
    <m/>
    <s v="Unique"/>
    <s v="Valid"/>
  </r>
  <r>
    <s v="USR-100881"/>
    <d v="2025-04-27T00:00:00"/>
    <x v="1"/>
    <x v="3"/>
    <x v="0"/>
    <x v="4"/>
    <x v="0"/>
    <n v="1"/>
    <n v="1"/>
    <n v="1"/>
    <n v="0"/>
    <n v="0"/>
    <n v="0"/>
    <n v="0"/>
    <m/>
    <n v="58.3"/>
    <m/>
    <s v="Unique"/>
    <s v="Valid"/>
  </r>
  <r>
    <s v="USR-100882"/>
    <d v="2025-03-19T00:00:00"/>
    <x v="1"/>
    <x v="2"/>
    <x v="1"/>
    <x v="2"/>
    <x v="1"/>
    <n v="1"/>
    <n v="0"/>
    <n v="0"/>
    <n v="0"/>
    <n v="0"/>
    <n v="0"/>
    <n v="0"/>
    <m/>
    <n v="45"/>
    <m/>
    <s v="Unique"/>
    <s v="Valid"/>
  </r>
  <r>
    <s v="USR-100883"/>
    <d v="2025-05-20T00:00:00"/>
    <x v="1"/>
    <x v="3"/>
    <x v="1"/>
    <x v="1"/>
    <x v="2"/>
    <n v="0"/>
    <n v="0"/>
    <n v="0"/>
    <n v="0"/>
    <n v="0"/>
    <n v="0"/>
    <n v="0"/>
    <m/>
    <n v="60.8"/>
    <m/>
    <s v="Unique"/>
    <s v="Valid"/>
  </r>
  <r>
    <s v="USR-100884"/>
    <d v="2025-05-10T00:00:00"/>
    <x v="1"/>
    <x v="0"/>
    <x v="1"/>
    <x v="0"/>
    <x v="2"/>
    <n v="1"/>
    <n v="0"/>
    <n v="0"/>
    <n v="0"/>
    <n v="0"/>
    <n v="4"/>
    <n v="0"/>
    <m/>
    <n v="53.7"/>
    <m/>
    <s v="Unique"/>
    <s v="Valid"/>
  </r>
  <r>
    <s v="USR-100885"/>
    <d v="2025-03-29T00:00:00"/>
    <x v="1"/>
    <x v="2"/>
    <x v="1"/>
    <x v="4"/>
    <x v="1"/>
    <n v="1"/>
    <n v="1"/>
    <n v="1"/>
    <n v="0"/>
    <n v="0"/>
    <n v="0"/>
    <n v="0"/>
    <m/>
    <n v="48.8"/>
    <m/>
    <s v="Unique"/>
    <s v="Valid"/>
  </r>
  <r>
    <s v="USR-100886"/>
    <d v="2025-04-03T00:00:00"/>
    <x v="1"/>
    <x v="1"/>
    <x v="0"/>
    <x v="3"/>
    <x v="0"/>
    <n v="0"/>
    <n v="0"/>
    <n v="0"/>
    <n v="0"/>
    <n v="0"/>
    <n v="0"/>
    <n v="0"/>
    <m/>
    <n v="52.9"/>
    <m/>
    <s v="Unique"/>
    <s v="Valid"/>
  </r>
  <r>
    <s v="USR-100887"/>
    <d v="2025-05-30T00:00:00"/>
    <x v="1"/>
    <x v="3"/>
    <x v="1"/>
    <x v="0"/>
    <x v="1"/>
    <n v="1"/>
    <n v="0"/>
    <n v="0"/>
    <n v="0"/>
    <n v="0"/>
    <n v="0"/>
    <n v="0"/>
    <m/>
    <n v="42.4"/>
    <m/>
    <s v="Unique"/>
    <s v="Valid"/>
  </r>
  <r>
    <s v="USR-100888"/>
    <d v="2025-04-06T00:00:00"/>
    <x v="1"/>
    <x v="2"/>
    <x v="0"/>
    <x v="0"/>
    <x v="1"/>
    <n v="1"/>
    <n v="0"/>
    <n v="0"/>
    <n v="0"/>
    <n v="0"/>
    <n v="0"/>
    <n v="0"/>
    <m/>
    <n v="58.7"/>
    <m/>
    <s v="Unique"/>
    <s v="Valid"/>
  </r>
  <r>
    <s v="USR-100889"/>
    <d v="2025-03-14T00:00:00"/>
    <x v="1"/>
    <x v="0"/>
    <x v="1"/>
    <x v="3"/>
    <x v="1"/>
    <n v="1"/>
    <n v="1"/>
    <n v="1"/>
    <n v="1"/>
    <n v="2064.5500000000002"/>
    <n v="0"/>
    <n v="0"/>
    <n v="1"/>
    <n v="67.8"/>
    <m/>
    <s v="Unique"/>
    <s v="Valid"/>
  </r>
  <r>
    <s v="USR-100890"/>
    <d v="2025-02-24T00:00:00"/>
    <x v="1"/>
    <x v="3"/>
    <x v="0"/>
    <x v="2"/>
    <x v="0"/>
    <n v="1"/>
    <n v="0"/>
    <n v="0"/>
    <n v="0"/>
    <n v="0"/>
    <n v="0"/>
    <n v="0"/>
    <m/>
    <n v="62.6"/>
    <m/>
    <s v="Unique"/>
    <s v="Valid"/>
  </r>
  <r>
    <s v="USR-100891"/>
    <d v="2025-03-04T00:00:00"/>
    <x v="1"/>
    <x v="1"/>
    <x v="1"/>
    <x v="0"/>
    <x v="0"/>
    <n v="1"/>
    <n v="0"/>
    <n v="0"/>
    <n v="0"/>
    <n v="0"/>
    <n v="0"/>
    <n v="0"/>
    <m/>
    <n v="82.4"/>
    <m/>
    <s v="Unique"/>
    <s v="Valid"/>
  </r>
  <r>
    <s v="USR-100892"/>
    <d v="2025-04-02T00:00:00"/>
    <x v="1"/>
    <x v="0"/>
    <x v="1"/>
    <x v="1"/>
    <x v="1"/>
    <n v="1"/>
    <n v="1"/>
    <n v="1"/>
    <n v="0"/>
    <n v="0"/>
    <n v="0"/>
    <n v="0"/>
    <m/>
    <n v="50.4"/>
    <m/>
    <s v="Unique"/>
    <s v="Valid"/>
  </r>
  <r>
    <s v="USR-100893"/>
    <d v="2025-05-11T00:00:00"/>
    <x v="1"/>
    <x v="0"/>
    <x v="1"/>
    <x v="0"/>
    <x v="2"/>
    <n v="0"/>
    <n v="0"/>
    <n v="0"/>
    <n v="0"/>
    <n v="0"/>
    <n v="0"/>
    <n v="0"/>
    <m/>
    <n v="68.400000000000006"/>
    <m/>
    <s v="Unique"/>
    <s v="Valid"/>
  </r>
  <r>
    <s v="USR-100894"/>
    <d v="2025-05-10T00:00:00"/>
    <x v="1"/>
    <x v="1"/>
    <x v="2"/>
    <x v="2"/>
    <x v="0"/>
    <n v="1"/>
    <n v="1"/>
    <n v="1"/>
    <n v="0"/>
    <n v="0"/>
    <n v="0"/>
    <n v="0"/>
    <m/>
    <n v="58.8"/>
    <m/>
    <s v="Unique"/>
    <s v="Valid"/>
  </r>
  <r>
    <s v="USR-100895"/>
    <d v="2025-05-06T00:00:00"/>
    <x v="1"/>
    <x v="1"/>
    <x v="1"/>
    <x v="3"/>
    <x v="1"/>
    <n v="1"/>
    <n v="1"/>
    <n v="0"/>
    <n v="0"/>
    <n v="0"/>
    <n v="2"/>
    <n v="0"/>
    <m/>
    <n v="28.3"/>
    <m/>
    <s v="Unique"/>
    <s v="Valid"/>
  </r>
  <r>
    <s v="USR-100896"/>
    <d v="2025-02-11T00:00:00"/>
    <x v="1"/>
    <x v="1"/>
    <x v="0"/>
    <x v="2"/>
    <x v="1"/>
    <n v="1"/>
    <n v="1"/>
    <n v="0"/>
    <n v="0"/>
    <n v="0"/>
    <n v="0"/>
    <n v="0"/>
    <m/>
    <n v="44.1"/>
    <m/>
    <s v="Unique"/>
    <s v="Valid"/>
  </r>
  <r>
    <s v="USR-100897"/>
    <d v="2025-05-09T00:00:00"/>
    <x v="1"/>
    <x v="3"/>
    <x v="1"/>
    <x v="2"/>
    <x v="2"/>
    <n v="1"/>
    <n v="1"/>
    <n v="0"/>
    <n v="0"/>
    <n v="0"/>
    <n v="0"/>
    <n v="0"/>
    <m/>
    <n v="66.7"/>
    <m/>
    <s v="Unique"/>
    <s v="Valid"/>
  </r>
  <r>
    <s v="USR-100898"/>
    <d v="2025-02-02T00:00:00"/>
    <x v="1"/>
    <x v="3"/>
    <x v="1"/>
    <x v="5"/>
    <x v="1"/>
    <n v="1"/>
    <n v="0"/>
    <n v="0"/>
    <n v="0"/>
    <n v="0"/>
    <n v="0"/>
    <n v="0"/>
    <m/>
    <n v="100"/>
    <m/>
    <s v="Unique"/>
    <s v="Valid"/>
  </r>
  <r>
    <s v="USR-100899"/>
    <d v="2025-04-03T00:00:00"/>
    <x v="1"/>
    <x v="3"/>
    <x v="1"/>
    <x v="4"/>
    <x v="1"/>
    <n v="1"/>
    <n v="1"/>
    <n v="0"/>
    <n v="0"/>
    <n v="0"/>
    <n v="0"/>
    <n v="0"/>
    <m/>
    <n v="87.5"/>
    <m/>
    <s v="Unique"/>
    <s v="Valid"/>
  </r>
  <r>
    <s v="USR-100900"/>
    <d v="2025-02-15T00:00:00"/>
    <x v="1"/>
    <x v="0"/>
    <x v="0"/>
    <x v="1"/>
    <x v="0"/>
    <n v="1"/>
    <n v="0"/>
    <n v="0"/>
    <n v="0"/>
    <n v="0"/>
    <n v="2"/>
    <n v="0"/>
    <m/>
    <n v="65.400000000000006"/>
    <m/>
    <s v="Unique"/>
    <s v="Valid"/>
  </r>
  <r>
    <s v="USR-100901"/>
    <d v="2025-04-18T00:00:00"/>
    <x v="1"/>
    <x v="3"/>
    <x v="0"/>
    <x v="1"/>
    <x v="1"/>
    <n v="1"/>
    <n v="0"/>
    <n v="0"/>
    <n v="0"/>
    <n v="0"/>
    <n v="0"/>
    <n v="0"/>
    <m/>
    <n v="22.9"/>
    <m/>
    <s v="Unique"/>
    <s v="Valid"/>
  </r>
  <r>
    <s v="USR-100902"/>
    <d v="2025-03-14T00:00:00"/>
    <x v="1"/>
    <x v="1"/>
    <x v="0"/>
    <x v="1"/>
    <x v="2"/>
    <n v="0"/>
    <n v="0"/>
    <n v="0"/>
    <n v="0"/>
    <n v="0"/>
    <n v="0"/>
    <n v="0"/>
    <m/>
    <n v="64.599999999999994"/>
    <m/>
    <s v="Unique"/>
    <s v="Valid"/>
  </r>
  <r>
    <s v="USR-100903"/>
    <d v="2025-03-29T00:00:00"/>
    <x v="1"/>
    <x v="3"/>
    <x v="1"/>
    <x v="3"/>
    <x v="1"/>
    <n v="1"/>
    <n v="0"/>
    <n v="0"/>
    <n v="0"/>
    <n v="0"/>
    <n v="2"/>
    <n v="0"/>
    <m/>
    <n v="54.4"/>
    <m/>
    <s v="Unique"/>
    <s v="Valid"/>
  </r>
  <r>
    <s v="USR-100904"/>
    <d v="2025-02-13T00:00:00"/>
    <x v="1"/>
    <x v="0"/>
    <x v="0"/>
    <x v="1"/>
    <x v="1"/>
    <n v="1"/>
    <n v="1"/>
    <n v="1"/>
    <n v="0"/>
    <n v="0"/>
    <n v="0"/>
    <n v="0"/>
    <m/>
    <n v="56.8"/>
    <m/>
    <s v="Unique"/>
    <s v="Valid"/>
  </r>
  <r>
    <s v="USR-100905"/>
    <d v="2025-01-23T00:00:00"/>
    <x v="1"/>
    <x v="3"/>
    <x v="1"/>
    <x v="2"/>
    <x v="1"/>
    <n v="1"/>
    <n v="1"/>
    <n v="1"/>
    <n v="1"/>
    <n v="341.38"/>
    <n v="0"/>
    <n v="0"/>
    <n v="2"/>
    <n v="63.6"/>
    <m/>
    <s v="Unique"/>
    <s v="Valid"/>
  </r>
  <r>
    <s v="USR-100906"/>
    <d v="2025-02-24T00:00:00"/>
    <x v="1"/>
    <x v="2"/>
    <x v="1"/>
    <x v="4"/>
    <x v="1"/>
    <n v="1"/>
    <n v="0"/>
    <n v="0"/>
    <n v="0"/>
    <n v="0"/>
    <n v="0"/>
    <n v="0"/>
    <m/>
    <n v="58.2"/>
    <m/>
    <s v="Unique"/>
    <s v="Valid"/>
  </r>
  <r>
    <s v="USR-100907"/>
    <d v="2025-02-28T00:00:00"/>
    <x v="1"/>
    <x v="1"/>
    <x v="1"/>
    <x v="2"/>
    <x v="1"/>
    <n v="1"/>
    <n v="1"/>
    <n v="0"/>
    <n v="0"/>
    <n v="0"/>
    <n v="0"/>
    <n v="0"/>
    <m/>
    <n v="54.6"/>
    <m/>
    <s v="Unique"/>
    <s v="Valid"/>
  </r>
  <r>
    <s v="USR-100908"/>
    <d v="2025-01-07T00:00:00"/>
    <x v="1"/>
    <x v="1"/>
    <x v="2"/>
    <x v="1"/>
    <x v="0"/>
    <n v="1"/>
    <n v="0"/>
    <n v="0"/>
    <n v="0"/>
    <n v="0"/>
    <n v="0"/>
    <n v="0"/>
    <m/>
    <n v="81.900000000000006"/>
    <m/>
    <s v="Unique"/>
    <s v="Valid"/>
  </r>
  <r>
    <s v="USR-100909"/>
    <d v="2025-03-21T00:00:00"/>
    <x v="1"/>
    <x v="1"/>
    <x v="0"/>
    <x v="0"/>
    <x v="1"/>
    <n v="1"/>
    <n v="0"/>
    <n v="0"/>
    <n v="0"/>
    <n v="0"/>
    <n v="3"/>
    <n v="0"/>
    <m/>
    <n v="53.3"/>
    <m/>
    <s v="Unique"/>
    <s v="Valid"/>
  </r>
  <r>
    <s v="USR-100910"/>
    <d v="2025-02-18T00:00:00"/>
    <x v="1"/>
    <x v="0"/>
    <x v="0"/>
    <x v="1"/>
    <x v="0"/>
    <n v="0"/>
    <n v="0"/>
    <n v="0"/>
    <n v="0"/>
    <n v="0"/>
    <n v="0"/>
    <n v="0"/>
    <m/>
    <n v="54.2"/>
    <m/>
    <s v="Unique"/>
    <s v="Valid"/>
  </r>
  <r>
    <s v="USR-100911"/>
    <d v="2025-01-05T00:00:00"/>
    <x v="1"/>
    <x v="0"/>
    <x v="1"/>
    <x v="2"/>
    <x v="1"/>
    <n v="1"/>
    <n v="1"/>
    <n v="0"/>
    <n v="0"/>
    <n v="0"/>
    <n v="0"/>
    <n v="0"/>
    <m/>
    <n v="65.599999999999994"/>
    <m/>
    <s v="Unique"/>
    <s v="Valid"/>
  </r>
  <r>
    <s v="USR-100912"/>
    <d v="2025-03-11T00:00:00"/>
    <x v="1"/>
    <x v="2"/>
    <x v="0"/>
    <x v="1"/>
    <x v="0"/>
    <n v="1"/>
    <n v="0"/>
    <n v="0"/>
    <n v="0"/>
    <n v="0"/>
    <n v="1"/>
    <n v="0"/>
    <m/>
    <n v="56.5"/>
    <m/>
    <s v="Unique"/>
    <s v="Valid"/>
  </r>
  <r>
    <s v="USR-100913"/>
    <d v="2025-01-09T00:00:00"/>
    <x v="1"/>
    <x v="0"/>
    <x v="0"/>
    <x v="1"/>
    <x v="0"/>
    <n v="1"/>
    <n v="0"/>
    <n v="0"/>
    <n v="0"/>
    <n v="0"/>
    <n v="0"/>
    <n v="0"/>
    <m/>
    <n v="59.7"/>
    <m/>
    <s v="Unique"/>
    <s v="Valid"/>
  </r>
  <r>
    <s v="USR-100914"/>
    <d v="2025-01-08T00:00:00"/>
    <x v="1"/>
    <x v="3"/>
    <x v="1"/>
    <x v="1"/>
    <x v="1"/>
    <n v="1"/>
    <n v="1"/>
    <n v="1"/>
    <n v="0"/>
    <n v="0"/>
    <n v="0"/>
    <n v="0"/>
    <m/>
    <n v="72.5"/>
    <m/>
    <s v="Unique"/>
    <s v="Valid"/>
  </r>
  <r>
    <s v="USR-100915"/>
    <d v="2025-05-01T00:00:00"/>
    <x v="1"/>
    <x v="2"/>
    <x v="0"/>
    <x v="2"/>
    <x v="1"/>
    <n v="1"/>
    <n v="0"/>
    <n v="0"/>
    <n v="0"/>
    <n v="0"/>
    <n v="0"/>
    <n v="0"/>
    <m/>
    <n v="64.3"/>
    <m/>
    <s v="Unique"/>
    <s v="Valid"/>
  </r>
  <r>
    <s v="USR-100916"/>
    <d v="2025-03-03T00:00:00"/>
    <x v="1"/>
    <x v="3"/>
    <x v="1"/>
    <x v="4"/>
    <x v="1"/>
    <n v="1"/>
    <n v="0"/>
    <n v="0"/>
    <n v="0"/>
    <n v="0"/>
    <n v="0"/>
    <n v="0"/>
    <m/>
    <n v="64.5"/>
    <m/>
    <s v="Unique"/>
    <s v="Valid"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m/>
    <s v="Duplicate"/>
    <s v="Valid"/>
  </r>
  <r>
    <s v="USR-100918"/>
    <d v="2025-02-17T00:00:00"/>
    <x v="1"/>
    <x v="3"/>
    <x v="0"/>
    <x v="1"/>
    <x v="0"/>
    <n v="0"/>
    <n v="0"/>
    <n v="0"/>
    <n v="0"/>
    <n v="0"/>
    <n v="0"/>
    <n v="0"/>
    <m/>
    <n v="58.4"/>
    <m/>
    <s v="Unique"/>
    <s v="Valid"/>
  </r>
  <r>
    <s v="USR-100919"/>
    <d v="2025-05-21T00:00:00"/>
    <x v="1"/>
    <x v="2"/>
    <x v="1"/>
    <x v="1"/>
    <x v="0"/>
    <n v="1"/>
    <n v="0"/>
    <n v="0"/>
    <n v="0"/>
    <n v="0"/>
    <n v="0"/>
    <n v="0"/>
    <m/>
    <n v="56.6"/>
    <m/>
    <s v="Unique"/>
    <s v="Valid"/>
  </r>
  <r>
    <s v="USR-100920"/>
    <d v="2025-01-30T00:00:00"/>
    <x v="1"/>
    <x v="3"/>
    <x v="1"/>
    <x v="1"/>
    <x v="1"/>
    <n v="1"/>
    <n v="0"/>
    <n v="0"/>
    <n v="0"/>
    <n v="0"/>
    <n v="0"/>
    <n v="0"/>
    <m/>
    <n v="61.8"/>
    <m/>
    <s v="Unique"/>
    <s v="Valid"/>
  </r>
  <r>
    <s v="USR-100921"/>
    <d v="2025-03-20T00:00:00"/>
    <x v="1"/>
    <x v="1"/>
    <x v="1"/>
    <x v="0"/>
    <x v="1"/>
    <n v="1"/>
    <n v="1"/>
    <n v="1"/>
    <n v="1"/>
    <n v="513.52"/>
    <n v="0"/>
    <n v="0"/>
    <n v="8"/>
    <n v="43.4"/>
    <m/>
    <s v="Unique"/>
    <s v="Valid"/>
  </r>
  <r>
    <s v="USR-100922"/>
    <d v="2025-04-10T00:00:00"/>
    <x v="1"/>
    <x v="1"/>
    <x v="2"/>
    <x v="2"/>
    <x v="1"/>
    <n v="0"/>
    <n v="0"/>
    <n v="0"/>
    <n v="0"/>
    <n v="0"/>
    <n v="0"/>
    <n v="0"/>
    <m/>
    <n v="43"/>
    <m/>
    <s v="Unique"/>
    <s v="Valid"/>
  </r>
  <r>
    <s v="USR-100923"/>
    <d v="2025-03-07T00:00:00"/>
    <x v="1"/>
    <x v="0"/>
    <x v="0"/>
    <x v="1"/>
    <x v="1"/>
    <n v="1"/>
    <n v="1"/>
    <n v="1"/>
    <n v="0"/>
    <n v="0"/>
    <n v="0"/>
    <n v="0"/>
    <m/>
    <n v="51.1"/>
    <m/>
    <s v="Unique"/>
    <s v="Valid"/>
  </r>
  <r>
    <s v="USR-100924"/>
    <d v="2025-03-12T00:00:00"/>
    <x v="1"/>
    <x v="1"/>
    <x v="1"/>
    <x v="0"/>
    <x v="0"/>
    <n v="1"/>
    <n v="0"/>
    <n v="0"/>
    <n v="0"/>
    <n v="0"/>
    <n v="0"/>
    <n v="0"/>
    <m/>
    <n v="48.8"/>
    <m/>
    <s v="Unique"/>
    <s v="Valid"/>
  </r>
  <r>
    <s v="USR-100925"/>
    <d v="2025-02-24T00:00:00"/>
    <x v="1"/>
    <x v="2"/>
    <x v="1"/>
    <x v="3"/>
    <x v="1"/>
    <n v="0"/>
    <n v="0"/>
    <n v="0"/>
    <n v="0"/>
    <n v="0"/>
    <n v="0"/>
    <n v="0"/>
    <m/>
    <n v="73.2"/>
    <m/>
    <s v="Unique"/>
    <s v="Valid"/>
  </r>
  <r>
    <s v="USR-100926"/>
    <d v="2025-01-15T00:00:00"/>
    <x v="1"/>
    <x v="2"/>
    <x v="1"/>
    <x v="3"/>
    <x v="1"/>
    <n v="1"/>
    <n v="1"/>
    <n v="1"/>
    <n v="0"/>
    <n v="0"/>
    <n v="0"/>
    <n v="0"/>
    <m/>
    <n v="80"/>
    <m/>
    <s v="Unique"/>
    <s v="Valid"/>
  </r>
  <r>
    <s v="USR-100927"/>
    <d v="2025-01-07T00:00:00"/>
    <x v="1"/>
    <x v="0"/>
    <x v="0"/>
    <x v="2"/>
    <x v="1"/>
    <n v="1"/>
    <n v="0"/>
    <n v="0"/>
    <n v="0"/>
    <n v="0"/>
    <n v="0"/>
    <n v="0"/>
    <m/>
    <n v="52.3"/>
    <m/>
    <s v="Unique"/>
    <s v="Valid"/>
  </r>
  <r>
    <s v="USR-100928"/>
    <d v="2025-03-02T00:00:00"/>
    <x v="1"/>
    <x v="0"/>
    <x v="0"/>
    <x v="1"/>
    <x v="1"/>
    <n v="0"/>
    <n v="0"/>
    <n v="0"/>
    <n v="0"/>
    <n v="0"/>
    <n v="0"/>
    <n v="0"/>
    <m/>
    <n v="49.1"/>
    <m/>
    <s v="Unique"/>
    <s v="Valid"/>
  </r>
  <r>
    <s v="USR-100929"/>
    <d v="2025-01-05T00:00:00"/>
    <x v="1"/>
    <x v="3"/>
    <x v="0"/>
    <x v="3"/>
    <x v="0"/>
    <n v="0"/>
    <n v="0"/>
    <n v="0"/>
    <n v="0"/>
    <n v="0"/>
    <n v="0"/>
    <n v="0"/>
    <m/>
    <n v="45.3"/>
    <m/>
    <s v="Unique"/>
    <s v="Valid"/>
  </r>
  <r>
    <s v="USR-100930"/>
    <d v="2025-03-03T00:00:00"/>
    <x v="1"/>
    <x v="3"/>
    <x v="1"/>
    <x v="1"/>
    <x v="1"/>
    <n v="1"/>
    <n v="1"/>
    <n v="0"/>
    <n v="0"/>
    <n v="0"/>
    <n v="0"/>
    <n v="0"/>
    <m/>
    <n v="49.1"/>
    <m/>
    <s v="Unique"/>
    <s v="Valid"/>
  </r>
  <r>
    <s v="USR-100931"/>
    <d v="2025-03-31T00:00:00"/>
    <x v="1"/>
    <x v="2"/>
    <x v="0"/>
    <x v="3"/>
    <x v="1"/>
    <n v="1"/>
    <n v="1"/>
    <n v="1"/>
    <n v="1"/>
    <n v="476.44"/>
    <n v="0"/>
    <n v="0"/>
    <n v="3"/>
    <n v="88.6"/>
    <m/>
    <s v="Unique"/>
    <s v="Valid"/>
  </r>
  <r>
    <s v="USR-100932"/>
    <d v="2025-01-14T00:00:00"/>
    <x v="1"/>
    <x v="2"/>
    <x v="0"/>
    <x v="2"/>
    <x v="2"/>
    <n v="0"/>
    <n v="0"/>
    <n v="0"/>
    <n v="0"/>
    <n v="0"/>
    <n v="1"/>
    <n v="0"/>
    <m/>
    <n v="54.4"/>
    <m/>
    <s v="Unique"/>
    <s v="Valid"/>
  </r>
  <r>
    <s v="USR-100933"/>
    <d v="2025-01-15T00:00:00"/>
    <x v="1"/>
    <x v="1"/>
    <x v="0"/>
    <x v="2"/>
    <x v="2"/>
    <n v="1"/>
    <n v="0"/>
    <n v="0"/>
    <n v="0"/>
    <n v="0"/>
    <n v="0"/>
    <n v="0"/>
    <m/>
    <n v="72.900000000000006"/>
    <m/>
    <s v="Unique"/>
    <s v="Valid"/>
  </r>
  <r>
    <s v="USR-100934"/>
    <d v="2025-04-25T00:00:00"/>
    <x v="1"/>
    <x v="1"/>
    <x v="0"/>
    <x v="1"/>
    <x v="1"/>
    <n v="1"/>
    <n v="0"/>
    <n v="0"/>
    <n v="0"/>
    <n v="0"/>
    <n v="0"/>
    <n v="0"/>
    <m/>
    <n v="53.2"/>
    <m/>
    <s v="Unique"/>
    <s v="Valid"/>
  </r>
  <r>
    <s v="USR-100935"/>
    <d v="2025-03-21T00:00:00"/>
    <x v="1"/>
    <x v="2"/>
    <x v="1"/>
    <x v="1"/>
    <x v="0"/>
    <n v="1"/>
    <n v="1"/>
    <n v="0"/>
    <n v="0"/>
    <n v="0"/>
    <n v="0"/>
    <n v="0"/>
    <m/>
    <n v="48.7"/>
    <m/>
    <s v="Unique"/>
    <s v="Valid"/>
  </r>
  <r>
    <s v="USR-100936"/>
    <d v="2025-04-26T00:00:00"/>
    <x v="1"/>
    <x v="3"/>
    <x v="1"/>
    <x v="2"/>
    <x v="0"/>
    <n v="1"/>
    <n v="1"/>
    <n v="1"/>
    <n v="0"/>
    <n v="0"/>
    <n v="0"/>
    <n v="0"/>
    <m/>
    <n v="59.9"/>
    <m/>
    <s v="Unique"/>
    <s v="Valid"/>
  </r>
  <r>
    <s v="USR-100937"/>
    <d v="2025-05-21T00:00:00"/>
    <x v="1"/>
    <x v="3"/>
    <x v="0"/>
    <x v="5"/>
    <x v="0"/>
    <n v="0"/>
    <n v="0"/>
    <n v="0"/>
    <n v="0"/>
    <n v="0"/>
    <n v="0"/>
    <n v="0"/>
    <m/>
    <n v="82"/>
    <m/>
    <s v="Unique"/>
    <s v="Valid"/>
  </r>
  <r>
    <s v="USR-100938"/>
    <d v="2025-04-18T00:00:00"/>
    <x v="1"/>
    <x v="2"/>
    <x v="1"/>
    <x v="2"/>
    <x v="1"/>
    <n v="0"/>
    <n v="0"/>
    <n v="0"/>
    <n v="0"/>
    <n v="0"/>
    <n v="0"/>
    <n v="0"/>
    <m/>
    <n v="72.099999999999994"/>
    <m/>
    <s v="Unique"/>
    <s v="Valid"/>
  </r>
  <r>
    <s v="USR-100939"/>
    <d v="2025-01-29T00:00:00"/>
    <x v="1"/>
    <x v="0"/>
    <x v="0"/>
    <x v="0"/>
    <x v="2"/>
    <n v="1"/>
    <n v="1"/>
    <n v="0"/>
    <n v="0"/>
    <n v="0"/>
    <n v="0"/>
    <n v="0"/>
    <m/>
    <n v="68.3"/>
    <m/>
    <s v="Unique"/>
    <s v="Valid"/>
  </r>
  <r>
    <s v="USR-100940"/>
    <d v="2025-05-28T00:00:00"/>
    <x v="1"/>
    <x v="1"/>
    <x v="1"/>
    <x v="1"/>
    <x v="2"/>
    <n v="0"/>
    <n v="0"/>
    <n v="0"/>
    <n v="0"/>
    <n v="0"/>
    <n v="0"/>
    <n v="0"/>
    <m/>
    <n v="100"/>
    <m/>
    <s v="Unique"/>
    <s v="Valid"/>
  </r>
  <r>
    <s v="USR-100941"/>
    <d v="2025-01-15T00:00:00"/>
    <x v="1"/>
    <x v="2"/>
    <x v="1"/>
    <x v="0"/>
    <x v="1"/>
    <n v="1"/>
    <n v="1"/>
    <n v="1"/>
    <n v="0"/>
    <n v="0"/>
    <n v="2"/>
    <n v="0"/>
    <m/>
    <n v="76.5"/>
    <m/>
    <s v="Unique"/>
    <s v="Valid"/>
  </r>
  <r>
    <s v="USR-100942"/>
    <d v="2025-01-03T00:00:00"/>
    <x v="1"/>
    <x v="3"/>
    <x v="1"/>
    <x v="1"/>
    <x v="0"/>
    <n v="1"/>
    <n v="1"/>
    <n v="0"/>
    <n v="0"/>
    <n v="0"/>
    <n v="0"/>
    <n v="0"/>
    <m/>
    <n v="62"/>
    <m/>
    <s v="Unique"/>
    <s v="Valid"/>
  </r>
  <r>
    <s v="USR-100943"/>
    <d v="2025-02-04T00:00:00"/>
    <x v="1"/>
    <x v="3"/>
    <x v="1"/>
    <x v="2"/>
    <x v="1"/>
    <n v="1"/>
    <n v="1"/>
    <n v="1"/>
    <n v="1"/>
    <n v="324.68"/>
    <n v="1"/>
    <n v="0"/>
    <n v="7"/>
    <n v="50.1"/>
    <m/>
    <s v="Unique"/>
    <s v="Valid"/>
  </r>
  <r>
    <s v="USR-100944"/>
    <d v="2025-02-22T00:00:00"/>
    <x v="1"/>
    <x v="3"/>
    <x v="1"/>
    <x v="3"/>
    <x v="2"/>
    <n v="1"/>
    <n v="0"/>
    <n v="0"/>
    <n v="0"/>
    <n v="0"/>
    <n v="0"/>
    <n v="0"/>
    <m/>
    <n v="62.1"/>
    <m/>
    <s v="Unique"/>
    <s v="Valid"/>
  </r>
  <r>
    <s v="USR-100945"/>
    <d v="2025-05-06T00:00:00"/>
    <x v="1"/>
    <x v="1"/>
    <x v="1"/>
    <x v="1"/>
    <x v="0"/>
    <n v="1"/>
    <n v="0"/>
    <n v="0"/>
    <n v="0"/>
    <n v="0"/>
    <n v="0"/>
    <n v="0"/>
    <m/>
    <n v="49.7"/>
    <m/>
    <s v="Unique"/>
    <s v="Valid"/>
  </r>
  <r>
    <s v="USR-100946"/>
    <d v="2025-01-31T00:00:00"/>
    <x v="1"/>
    <x v="3"/>
    <x v="1"/>
    <x v="1"/>
    <x v="1"/>
    <n v="1"/>
    <n v="0"/>
    <n v="0"/>
    <n v="0"/>
    <n v="0"/>
    <n v="3"/>
    <n v="0"/>
    <m/>
    <n v="71.099999999999994"/>
    <m/>
    <s v="Unique"/>
    <s v="Valid"/>
  </r>
  <r>
    <s v="USR-100947"/>
    <d v="2025-02-18T00:00:00"/>
    <x v="1"/>
    <x v="0"/>
    <x v="1"/>
    <x v="4"/>
    <x v="0"/>
    <n v="0"/>
    <n v="0"/>
    <n v="0"/>
    <n v="0"/>
    <n v="0"/>
    <n v="0"/>
    <n v="0"/>
    <m/>
    <n v="70.8"/>
    <m/>
    <s v="Unique"/>
    <s v="Valid"/>
  </r>
  <r>
    <s v="USR-100948"/>
    <d v="2025-04-23T00:00:00"/>
    <x v="1"/>
    <x v="2"/>
    <x v="1"/>
    <x v="2"/>
    <x v="1"/>
    <n v="1"/>
    <n v="1"/>
    <n v="1"/>
    <n v="1"/>
    <n v="301.98"/>
    <n v="0"/>
    <n v="0"/>
    <n v="10"/>
    <n v="52.2"/>
    <m/>
    <s v="Unique"/>
    <s v="Valid"/>
  </r>
  <r>
    <s v="USR-100949"/>
    <d v="2025-02-06T00:00:00"/>
    <x v="1"/>
    <x v="0"/>
    <x v="1"/>
    <x v="1"/>
    <x v="1"/>
    <n v="1"/>
    <n v="1"/>
    <n v="1"/>
    <n v="0"/>
    <n v="0"/>
    <n v="0"/>
    <n v="0"/>
    <m/>
    <n v="73"/>
    <m/>
    <s v="Unique"/>
    <s v="Valid"/>
  </r>
  <r>
    <s v="USR-100950"/>
    <d v="2025-04-26T00:00:00"/>
    <x v="1"/>
    <x v="3"/>
    <x v="0"/>
    <x v="2"/>
    <x v="1"/>
    <n v="0"/>
    <n v="0"/>
    <n v="0"/>
    <n v="0"/>
    <n v="0"/>
    <n v="0"/>
    <n v="0"/>
    <m/>
    <n v="78.2"/>
    <m/>
    <s v="Unique"/>
    <s v="Valid"/>
  </r>
  <r>
    <s v="USR-100951"/>
    <d v="2025-03-30T00:00:00"/>
    <x v="1"/>
    <x v="1"/>
    <x v="0"/>
    <x v="2"/>
    <x v="0"/>
    <n v="1"/>
    <n v="0"/>
    <n v="0"/>
    <n v="0"/>
    <n v="0"/>
    <n v="0"/>
    <n v="0"/>
    <m/>
    <n v="68.8"/>
    <m/>
    <s v="Unique"/>
    <s v="Valid"/>
  </r>
  <r>
    <s v="USR-100952"/>
    <d v="2025-04-13T00:00:00"/>
    <x v="1"/>
    <x v="1"/>
    <x v="1"/>
    <x v="5"/>
    <x v="2"/>
    <n v="1"/>
    <n v="0"/>
    <n v="0"/>
    <n v="0"/>
    <n v="0"/>
    <n v="0"/>
    <n v="0"/>
    <m/>
    <n v="57.1"/>
    <m/>
    <s v="Unique"/>
    <s v="Valid"/>
  </r>
  <r>
    <s v="USR-100953"/>
    <d v="2025-04-04T00:00:00"/>
    <x v="1"/>
    <x v="2"/>
    <x v="0"/>
    <x v="1"/>
    <x v="2"/>
    <n v="0"/>
    <n v="0"/>
    <n v="0"/>
    <n v="0"/>
    <n v="0"/>
    <n v="1"/>
    <n v="0"/>
    <m/>
    <n v="74.599999999999994"/>
    <m/>
    <s v="Unique"/>
    <s v="Valid"/>
  </r>
  <r>
    <s v="USR-100954"/>
    <d v="2025-04-03T00:00:00"/>
    <x v="1"/>
    <x v="0"/>
    <x v="0"/>
    <x v="3"/>
    <x v="1"/>
    <n v="1"/>
    <n v="0"/>
    <n v="0"/>
    <n v="0"/>
    <n v="0"/>
    <n v="1"/>
    <n v="0"/>
    <m/>
    <n v="64.099999999999994"/>
    <m/>
    <s v="Unique"/>
    <s v="Valid"/>
  </r>
  <r>
    <s v="USR-100955"/>
    <d v="2025-03-14T00:00:00"/>
    <x v="1"/>
    <x v="1"/>
    <x v="1"/>
    <x v="2"/>
    <x v="2"/>
    <n v="1"/>
    <n v="0"/>
    <n v="0"/>
    <n v="0"/>
    <n v="0"/>
    <n v="0"/>
    <n v="0"/>
    <m/>
    <n v="67.3"/>
    <m/>
    <s v="Unique"/>
    <s v="Valid"/>
  </r>
  <r>
    <s v="USR-100956"/>
    <d v="2025-01-14T00:00:00"/>
    <x v="1"/>
    <x v="1"/>
    <x v="1"/>
    <x v="3"/>
    <x v="1"/>
    <n v="0"/>
    <n v="0"/>
    <n v="0"/>
    <n v="0"/>
    <n v="0"/>
    <n v="2"/>
    <n v="0"/>
    <m/>
    <n v="41"/>
    <m/>
    <s v="Unique"/>
    <s v="Valid"/>
  </r>
  <r>
    <s v="USR-100957"/>
    <d v="2025-05-05T00:00:00"/>
    <x v="1"/>
    <x v="1"/>
    <x v="1"/>
    <x v="2"/>
    <x v="1"/>
    <n v="0"/>
    <n v="0"/>
    <n v="0"/>
    <n v="0"/>
    <n v="0"/>
    <n v="0"/>
    <n v="0"/>
    <m/>
    <n v="48.1"/>
    <m/>
    <s v="Unique"/>
    <s v="Valid"/>
  </r>
  <r>
    <s v="USR-100958"/>
    <d v="2025-05-02T00:00:00"/>
    <x v="1"/>
    <x v="1"/>
    <x v="0"/>
    <x v="4"/>
    <x v="1"/>
    <n v="0"/>
    <n v="0"/>
    <n v="0"/>
    <n v="0"/>
    <n v="0"/>
    <n v="1"/>
    <n v="0"/>
    <m/>
    <n v="60.8"/>
    <m/>
    <s v="Unique"/>
    <s v="Valid"/>
  </r>
  <r>
    <s v="USR-100959"/>
    <d v="2025-05-21T00:00:00"/>
    <x v="1"/>
    <x v="2"/>
    <x v="1"/>
    <x v="1"/>
    <x v="1"/>
    <n v="1"/>
    <n v="0"/>
    <n v="0"/>
    <n v="0"/>
    <n v="0"/>
    <n v="0"/>
    <n v="0"/>
    <m/>
    <n v="63.1"/>
    <m/>
    <s v="Unique"/>
    <s v="Valid"/>
  </r>
  <r>
    <s v="USR-100960"/>
    <d v="2025-05-16T00:00:00"/>
    <x v="1"/>
    <x v="0"/>
    <x v="1"/>
    <x v="3"/>
    <x v="2"/>
    <n v="1"/>
    <n v="0"/>
    <n v="0"/>
    <n v="0"/>
    <n v="0"/>
    <n v="2"/>
    <n v="0"/>
    <m/>
    <n v="49.7"/>
    <m/>
    <s v="Unique"/>
    <s v="Valid"/>
  </r>
  <r>
    <s v="USR-100961"/>
    <d v="2025-05-24T00:00:00"/>
    <x v="1"/>
    <x v="2"/>
    <x v="0"/>
    <x v="1"/>
    <x v="2"/>
    <n v="1"/>
    <n v="1"/>
    <n v="1"/>
    <n v="0"/>
    <n v="0"/>
    <n v="1"/>
    <n v="0"/>
    <m/>
    <n v="83.4"/>
    <m/>
    <s v="Unique"/>
    <s v="Valid"/>
  </r>
  <r>
    <s v="USR-100962"/>
    <d v="2025-03-18T00:00:00"/>
    <x v="1"/>
    <x v="2"/>
    <x v="1"/>
    <x v="1"/>
    <x v="0"/>
    <n v="1"/>
    <n v="0"/>
    <n v="0"/>
    <n v="0"/>
    <n v="0"/>
    <n v="0"/>
    <n v="0"/>
    <m/>
    <n v="75.900000000000006"/>
    <m/>
    <s v="Unique"/>
    <s v="Valid"/>
  </r>
  <r>
    <s v="USR-100963"/>
    <d v="2025-01-11T00:00:00"/>
    <x v="1"/>
    <x v="2"/>
    <x v="0"/>
    <x v="2"/>
    <x v="1"/>
    <n v="0"/>
    <n v="0"/>
    <n v="0"/>
    <n v="0"/>
    <n v="0"/>
    <n v="1"/>
    <n v="0"/>
    <m/>
    <n v="71.8"/>
    <m/>
    <s v="Unique"/>
    <s v="Valid"/>
  </r>
  <r>
    <s v="USR-100964"/>
    <d v="2025-02-09T00:00:00"/>
    <x v="1"/>
    <x v="3"/>
    <x v="1"/>
    <x v="1"/>
    <x v="0"/>
    <n v="0"/>
    <n v="0"/>
    <n v="0"/>
    <n v="0"/>
    <n v="0"/>
    <n v="0"/>
    <n v="0"/>
    <m/>
    <n v="37.9"/>
    <m/>
    <s v="Unique"/>
    <s v="Valid"/>
  </r>
  <r>
    <s v="USR-100965"/>
    <d v="2025-03-01T00:00:00"/>
    <x v="1"/>
    <x v="0"/>
    <x v="0"/>
    <x v="4"/>
    <x v="1"/>
    <n v="1"/>
    <n v="0"/>
    <n v="0"/>
    <n v="0"/>
    <n v="0"/>
    <n v="0"/>
    <n v="0"/>
    <m/>
    <n v="59.8"/>
    <m/>
    <s v="Unique"/>
    <s v="Valid"/>
  </r>
  <r>
    <s v="USR-100966"/>
    <d v="2025-05-07T00:00:00"/>
    <x v="1"/>
    <x v="0"/>
    <x v="1"/>
    <x v="1"/>
    <x v="0"/>
    <n v="0"/>
    <n v="0"/>
    <n v="0"/>
    <n v="0"/>
    <n v="0"/>
    <n v="0"/>
    <n v="0"/>
    <m/>
    <n v="66.900000000000006"/>
    <m/>
    <s v="Unique"/>
    <s v="Valid"/>
  </r>
  <r>
    <s v="USR-100967"/>
    <d v="2025-02-19T00:00:00"/>
    <x v="1"/>
    <x v="3"/>
    <x v="0"/>
    <x v="5"/>
    <x v="1"/>
    <n v="1"/>
    <n v="0"/>
    <n v="0"/>
    <n v="0"/>
    <n v="0"/>
    <n v="0"/>
    <n v="0"/>
    <m/>
    <n v="59"/>
    <m/>
    <s v="Unique"/>
    <s v="Valid"/>
  </r>
  <r>
    <s v="USR-100968"/>
    <d v="2025-02-26T00:00:00"/>
    <x v="1"/>
    <x v="1"/>
    <x v="1"/>
    <x v="1"/>
    <x v="2"/>
    <n v="1"/>
    <n v="0"/>
    <n v="0"/>
    <n v="0"/>
    <n v="0"/>
    <n v="0"/>
    <n v="0"/>
    <m/>
    <n v="80.099999999999994"/>
    <m/>
    <s v="Unique"/>
    <s v="Valid"/>
  </r>
  <r>
    <s v="USR-100969"/>
    <d v="2025-03-23T00:00:00"/>
    <x v="1"/>
    <x v="3"/>
    <x v="1"/>
    <x v="4"/>
    <x v="1"/>
    <n v="0"/>
    <n v="0"/>
    <n v="0"/>
    <n v="0"/>
    <n v="0"/>
    <n v="0"/>
    <n v="0"/>
    <m/>
    <n v="64.3"/>
    <m/>
    <s v="Unique"/>
    <s v="Valid"/>
  </r>
  <r>
    <s v="USR-100970"/>
    <d v="2025-04-25T00:00:00"/>
    <x v="1"/>
    <x v="3"/>
    <x v="0"/>
    <x v="4"/>
    <x v="1"/>
    <n v="0"/>
    <n v="0"/>
    <n v="0"/>
    <n v="0"/>
    <n v="0"/>
    <n v="1"/>
    <n v="0"/>
    <m/>
    <n v="57.4"/>
    <m/>
    <s v="Unique"/>
    <s v="Valid"/>
  </r>
  <r>
    <s v="USR-100971"/>
    <d v="2025-05-10T00:00:00"/>
    <x v="1"/>
    <x v="0"/>
    <x v="0"/>
    <x v="4"/>
    <x v="1"/>
    <n v="1"/>
    <n v="1"/>
    <n v="1"/>
    <n v="0"/>
    <n v="0"/>
    <n v="0"/>
    <n v="0"/>
    <m/>
    <n v="83.6"/>
    <m/>
    <s v="Unique"/>
    <s v="Valid"/>
  </r>
  <r>
    <s v="USR-100972"/>
    <d v="2025-04-22T00:00:00"/>
    <x v="1"/>
    <x v="2"/>
    <x v="1"/>
    <x v="2"/>
    <x v="2"/>
    <n v="0"/>
    <n v="0"/>
    <n v="0"/>
    <n v="0"/>
    <n v="0"/>
    <n v="0"/>
    <n v="0"/>
    <m/>
    <n v="45.8"/>
    <m/>
    <s v="Unique"/>
    <s v="Valid"/>
  </r>
  <r>
    <s v="USR-100973"/>
    <d v="2025-02-18T00:00:00"/>
    <x v="1"/>
    <x v="1"/>
    <x v="1"/>
    <x v="3"/>
    <x v="0"/>
    <n v="1"/>
    <n v="1"/>
    <n v="1"/>
    <n v="0"/>
    <n v="0"/>
    <n v="0"/>
    <n v="0"/>
    <m/>
    <n v="64.3"/>
    <m/>
    <s v="Unique"/>
    <s v="Valid"/>
  </r>
  <r>
    <s v="USR-100974"/>
    <d v="2025-01-26T00:00:00"/>
    <x v="1"/>
    <x v="3"/>
    <x v="1"/>
    <x v="2"/>
    <x v="2"/>
    <n v="1"/>
    <n v="1"/>
    <n v="1"/>
    <n v="0"/>
    <n v="0"/>
    <n v="0"/>
    <n v="0"/>
    <m/>
    <n v="80.5"/>
    <m/>
    <s v="Unique"/>
    <s v="Valid"/>
  </r>
  <r>
    <s v="USR-100975"/>
    <d v="2025-04-28T00:00:00"/>
    <x v="1"/>
    <x v="0"/>
    <x v="1"/>
    <x v="1"/>
    <x v="1"/>
    <n v="1"/>
    <n v="0"/>
    <n v="0"/>
    <n v="0"/>
    <n v="0"/>
    <n v="0"/>
    <n v="0"/>
    <m/>
    <n v="46.3"/>
    <m/>
    <s v="Unique"/>
    <s v="Valid"/>
  </r>
  <r>
    <s v="USR-100976"/>
    <d v="2025-04-02T00:00:00"/>
    <x v="1"/>
    <x v="3"/>
    <x v="0"/>
    <x v="0"/>
    <x v="0"/>
    <n v="1"/>
    <n v="0"/>
    <n v="0"/>
    <n v="0"/>
    <n v="0"/>
    <n v="0"/>
    <n v="0"/>
    <m/>
    <n v="71.599999999999994"/>
    <m/>
    <s v="Unique"/>
    <s v="Valid"/>
  </r>
  <r>
    <s v="USR-100977"/>
    <d v="2025-04-12T00:00:00"/>
    <x v="1"/>
    <x v="3"/>
    <x v="0"/>
    <x v="0"/>
    <x v="2"/>
    <n v="1"/>
    <n v="1"/>
    <n v="0"/>
    <n v="0"/>
    <n v="0"/>
    <n v="0"/>
    <n v="0"/>
    <m/>
    <n v="57.8"/>
    <m/>
    <s v="Unique"/>
    <s v="Valid"/>
  </r>
  <r>
    <s v="USR-100978"/>
    <d v="2025-01-03T00:00:00"/>
    <x v="1"/>
    <x v="1"/>
    <x v="0"/>
    <x v="0"/>
    <x v="0"/>
    <n v="1"/>
    <n v="1"/>
    <n v="1"/>
    <n v="0"/>
    <n v="0"/>
    <n v="1"/>
    <n v="0"/>
    <m/>
    <n v="57.8"/>
    <m/>
    <s v="Unique"/>
    <s v="Valid"/>
  </r>
  <r>
    <s v="USR-100979"/>
    <d v="2025-05-08T00:00:00"/>
    <x v="1"/>
    <x v="0"/>
    <x v="1"/>
    <x v="2"/>
    <x v="1"/>
    <n v="1"/>
    <n v="0"/>
    <n v="0"/>
    <n v="0"/>
    <n v="0"/>
    <n v="0"/>
    <n v="0"/>
    <m/>
    <n v="38.299999999999997"/>
    <m/>
    <s v="Unique"/>
    <s v="Valid"/>
  </r>
  <r>
    <s v="USR-100980"/>
    <d v="2025-02-20T00:00:00"/>
    <x v="1"/>
    <x v="0"/>
    <x v="1"/>
    <x v="3"/>
    <x v="2"/>
    <n v="1"/>
    <n v="0"/>
    <n v="0"/>
    <n v="0"/>
    <n v="0"/>
    <n v="1"/>
    <n v="0"/>
    <m/>
    <n v="66.099999999999994"/>
    <m/>
    <s v="Unique"/>
    <s v="Valid"/>
  </r>
  <r>
    <s v="USR-100981"/>
    <d v="2025-03-17T00:00:00"/>
    <x v="1"/>
    <x v="0"/>
    <x v="0"/>
    <x v="2"/>
    <x v="2"/>
    <n v="1"/>
    <n v="0"/>
    <n v="0"/>
    <n v="0"/>
    <n v="0"/>
    <n v="0"/>
    <n v="0"/>
    <m/>
    <n v="66.5"/>
    <m/>
    <s v="Unique"/>
    <s v="Valid"/>
  </r>
  <r>
    <s v="USR-100982"/>
    <d v="2025-04-10T00:00:00"/>
    <x v="1"/>
    <x v="3"/>
    <x v="0"/>
    <x v="0"/>
    <x v="1"/>
    <n v="1"/>
    <n v="0"/>
    <n v="0"/>
    <n v="0"/>
    <n v="0"/>
    <n v="3"/>
    <n v="0"/>
    <m/>
    <n v="51.5"/>
    <m/>
    <s v="Unique"/>
    <s v="Valid"/>
  </r>
  <r>
    <s v="USR-100983"/>
    <d v="2025-05-08T00:00:00"/>
    <x v="1"/>
    <x v="0"/>
    <x v="0"/>
    <x v="3"/>
    <x v="1"/>
    <n v="1"/>
    <n v="0"/>
    <n v="0"/>
    <n v="0"/>
    <n v="0"/>
    <n v="0"/>
    <n v="0"/>
    <m/>
    <n v="59.9"/>
    <m/>
    <s v="Unique"/>
    <s v="Valid"/>
  </r>
  <r>
    <s v="USR-100984"/>
    <d v="2025-04-19T00:00:00"/>
    <x v="1"/>
    <x v="1"/>
    <x v="1"/>
    <x v="2"/>
    <x v="0"/>
    <n v="1"/>
    <n v="0"/>
    <n v="0"/>
    <n v="0"/>
    <n v="0"/>
    <n v="0"/>
    <n v="0"/>
    <m/>
    <n v="58.8"/>
    <m/>
    <s v="Unique"/>
    <s v="Valid"/>
  </r>
  <r>
    <s v="USR-100985"/>
    <d v="2025-01-01T00:00:00"/>
    <x v="1"/>
    <x v="3"/>
    <x v="2"/>
    <x v="2"/>
    <x v="0"/>
    <n v="1"/>
    <n v="0"/>
    <n v="0"/>
    <n v="0"/>
    <n v="0"/>
    <n v="0"/>
    <n v="0"/>
    <m/>
    <n v="69.599999999999994"/>
    <m/>
    <s v="Unique"/>
    <s v="Valid"/>
  </r>
  <r>
    <s v="USR-100986"/>
    <d v="2025-03-10T00:00:00"/>
    <x v="1"/>
    <x v="2"/>
    <x v="1"/>
    <x v="2"/>
    <x v="1"/>
    <n v="1"/>
    <n v="0"/>
    <n v="0"/>
    <n v="0"/>
    <n v="0"/>
    <n v="0"/>
    <n v="0"/>
    <m/>
    <n v="77.5"/>
    <m/>
    <s v="Unique"/>
    <s v="Valid"/>
  </r>
  <r>
    <s v="USR-100987"/>
    <d v="2025-03-10T00:00:00"/>
    <x v="1"/>
    <x v="2"/>
    <x v="2"/>
    <x v="4"/>
    <x v="2"/>
    <n v="0"/>
    <n v="0"/>
    <n v="0"/>
    <n v="0"/>
    <n v="0"/>
    <n v="2"/>
    <n v="0"/>
    <m/>
    <n v="57.5"/>
    <m/>
    <s v="Unique"/>
    <s v="Valid"/>
  </r>
  <r>
    <s v="USR-100988"/>
    <d v="2025-04-19T00:00:00"/>
    <x v="1"/>
    <x v="1"/>
    <x v="2"/>
    <x v="0"/>
    <x v="0"/>
    <n v="1"/>
    <n v="0"/>
    <n v="0"/>
    <n v="0"/>
    <n v="0"/>
    <n v="0"/>
    <n v="0"/>
    <m/>
    <n v="64.2"/>
    <m/>
    <s v="Unique"/>
    <s v="Valid"/>
  </r>
  <r>
    <s v="USR-100989"/>
    <d v="2025-04-11T00:00:00"/>
    <x v="1"/>
    <x v="1"/>
    <x v="0"/>
    <x v="1"/>
    <x v="1"/>
    <n v="0"/>
    <n v="0"/>
    <n v="0"/>
    <n v="0"/>
    <n v="0"/>
    <n v="0"/>
    <n v="0"/>
    <m/>
    <n v="60"/>
    <m/>
    <s v="Unique"/>
    <s v="Valid"/>
  </r>
  <r>
    <s v="USR-100990"/>
    <d v="2025-04-10T00:00:00"/>
    <x v="1"/>
    <x v="2"/>
    <x v="1"/>
    <x v="1"/>
    <x v="0"/>
    <n v="1"/>
    <n v="0"/>
    <n v="0"/>
    <n v="0"/>
    <n v="0"/>
    <n v="1"/>
    <n v="0"/>
    <m/>
    <n v="43.7"/>
    <m/>
    <s v="Unique"/>
    <s v="Valid"/>
  </r>
  <r>
    <s v="USR-100991"/>
    <d v="2025-01-13T00:00:00"/>
    <x v="1"/>
    <x v="1"/>
    <x v="0"/>
    <x v="4"/>
    <x v="1"/>
    <n v="1"/>
    <n v="0"/>
    <n v="0"/>
    <n v="0"/>
    <n v="0"/>
    <n v="0"/>
    <n v="0"/>
    <m/>
    <n v="64.900000000000006"/>
    <m/>
    <s v="Unique"/>
    <s v="Valid"/>
  </r>
  <r>
    <s v="USR-100992"/>
    <d v="2025-03-28T00:00:00"/>
    <x v="1"/>
    <x v="3"/>
    <x v="0"/>
    <x v="1"/>
    <x v="1"/>
    <n v="1"/>
    <n v="1"/>
    <n v="0"/>
    <n v="0"/>
    <n v="0"/>
    <n v="0"/>
    <n v="0"/>
    <m/>
    <n v="45.5"/>
    <m/>
    <s v="Unique"/>
    <s v="Valid"/>
  </r>
  <r>
    <s v="USR-100993"/>
    <d v="2025-01-29T00:00:00"/>
    <x v="1"/>
    <x v="2"/>
    <x v="1"/>
    <x v="2"/>
    <x v="1"/>
    <n v="1"/>
    <n v="1"/>
    <n v="1"/>
    <n v="1"/>
    <n v="1772.97"/>
    <n v="0"/>
    <n v="0"/>
    <n v="8"/>
    <n v="61.2"/>
    <m/>
    <s v="Unique"/>
    <s v="Valid"/>
  </r>
  <r>
    <s v="USR-100994"/>
    <d v="2025-03-27T00:00:00"/>
    <x v="1"/>
    <x v="3"/>
    <x v="1"/>
    <x v="3"/>
    <x v="1"/>
    <n v="0"/>
    <n v="0"/>
    <n v="0"/>
    <n v="0"/>
    <n v="0"/>
    <n v="0"/>
    <n v="0"/>
    <m/>
    <n v="87.8"/>
    <m/>
    <s v="Unique"/>
    <s v="Valid"/>
  </r>
  <r>
    <s v="USR-100995"/>
    <d v="2025-03-20T00:00:00"/>
    <x v="1"/>
    <x v="2"/>
    <x v="2"/>
    <x v="4"/>
    <x v="1"/>
    <n v="0"/>
    <n v="0"/>
    <n v="0"/>
    <n v="0"/>
    <n v="0"/>
    <n v="0"/>
    <n v="0"/>
    <m/>
    <n v="86.4"/>
    <m/>
    <s v="Unique"/>
    <s v="Valid"/>
  </r>
  <r>
    <s v="USR-100996"/>
    <d v="2025-01-09T00:00:00"/>
    <x v="1"/>
    <x v="0"/>
    <x v="1"/>
    <x v="2"/>
    <x v="0"/>
    <n v="0"/>
    <n v="0"/>
    <n v="0"/>
    <n v="0"/>
    <n v="0"/>
    <n v="1"/>
    <n v="0"/>
    <m/>
    <n v="71.400000000000006"/>
    <m/>
    <s v="Unique"/>
    <s v="Valid"/>
  </r>
  <r>
    <s v="USR-100997"/>
    <d v="2025-04-25T00:00:00"/>
    <x v="1"/>
    <x v="1"/>
    <x v="1"/>
    <x v="4"/>
    <x v="1"/>
    <n v="1"/>
    <n v="1"/>
    <n v="1"/>
    <n v="1"/>
    <n v="218.66"/>
    <n v="0"/>
    <n v="1"/>
    <n v="8"/>
    <n v="72.2"/>
    <m/>
    <s v="Unique"/>
    <s v="Valid"/>
  </r>
  <r>
    <s v="USR-100998"/>
    <d v="2025-04-11T00:00:00"/>
    <x v="1"/>
    <x v="3"/>
    <x v="0"/>
    <x v="4"/>
    <x v="1"/>
    <n v="1"/>
    <n v="0"/>
    <n v="0"/>
    <n v="0"/>
    <n v="0"/>
    <n v="0"/>
    <n v="0"/>
    <m/>
    <n v="51.9"/>
    <m/>
    <s v="Unique"/>
    <s v="Valid"/>
  </r>
  <r>
    <s v="USR-100999"/>
    <d v="2025-02-05T00:00:00"/>
    <x v="1"/>
    <x v="2"/>
    <x v="1"/>
    <x v="4"/>
    <x v="0"/>
    <n v="1"/>
    <n v="1"/>
    <n v="1"/>
    <n v="0"/>
    <n v="0"/>
    <n v="0"/>
    <n v="0"/>
    <m/>
    <n v="70.3"/>
    <m/>
    <s v="Unique"/>
    <s v="Valid"/>
  </r>
  <r>
    <s v="USR-101000"/>
    <d v="2025-03-28T00:00:00"/>
    <x v="1"/>
    <x v="3"/>
    <x v="1"/>
    <x v="4"/>
    <x v="2"/>
    <n v="1"/>
    <n v="0"/>
    <n v="0"/>
    <n v="0"/>
    <n v="0"/>
    <n v="1"/>
    <n v="0"/>
    <m/>
    <n v="49.2"/>
    <m/>
    <s v="Unique"/>
    <s v="Valid"/>
  </r>
  <r>
    <s v="USR-101001"/>
    <d v="2025-05-14T00:00:00"/>
    <x v="1"/>
    <x v="3"/>
    <x v="1"/>
    <x v="3"/>
    <x v="1"/>
    <n v="0"/>
    <n v="0"/>
    <n v="0"/>
    <n v="0"/>
    <n v="0"/>
    <n v="0"/>
    <n v="0"/>
    <m/>
    <n v="52.2"/>
    <m/>
    <s v="Unique"/>
    <s v="Valid"/>
  </r>
  <r>
    <s v="USR-101002"/>
    <d v="2025-03-10T00:00:00"/>
    <x v="1"/>
    <x v="2"/>
    <x v="1"/>
    <x v="2"/>
    <x v="0"/>
    <n v="0"/>
    <n v="0"/>
    <n v="0"/>
    <n v="0"/>
    <n v="0"/>
    <n v="1"/>
    <n v="0"/>
    <m/>
    <n v="62.6"/>
    <m/>
    <s v="Unique"/>
    <s v="Valid"/>
  </r>
  <r>
    <s v="USR-101003"/>
    <d v="2025-04-09T00:00:00"/>
    <x v="1"/>
    <x v="2"/>
    <x v="0"/>
    <x v="2"/>
    <x v="1"/>
    <n v="1"/>
    <n v="1"/>
    <n v="0"/>
    <n v="0"/>
    <n v="0"/>
    <n v="0"/>
    <n v="0"/>
    <m/>
    <n v="100"/>
    <m/>
    <s v="Unique"/>
    <s v="Valid"/>
  </r>
  <r>
    <s v="USR-101004"/>
    <d v="2025-02-13T00:00:00"/>
    <x v="1"/>
    <x v="0"/>
    <x v="1"/>
    <x v="3"/>
    <x v="0"/>
    <n v="1"/>
    <n v="1"/>
    <n v="1"/>
    <n v="0"/>
    <n v="0"/>
    <n v="2"/>
    <n v="0"/>
    <m/>
    <n v="45.9"/>
    <m/>
    <s v="Unique"/>
    <s v="Valid"/>
  </r>
  <r>
    <s v="USR-101005"/>
    <d v="2025-05-03T00:00:00"/>
    <x v="1"/>
    <x v="2"/>
    <x v="1"/>
    <x v="0"/>
    <x v="1"/>
    <n v="1"/>
    <n v="1"/>
    <n v="1"/>
    <n v="0"/>
    <n v="0"/>
    <n v="0"/>
    <n v="0"/>
    <m/>
    <n v="80.7"/>
    <m/>
    <s v="Unique"/>
    <s v="Valid"/>
  </r>
  <r>
    <s v="USR-101006"/>
    <d v="2025-04-16T00:00:00"/>
    <x v="1"/>
    <x v="3"/>
    <x v="0"/>
    <x v="3"/>
    <x v="2"/>
    <n v="1"/>
    <n v="0"/>
    <n v="0"/>
    <n v="0"/>
    <n v="0"/>
    <n v="0"/>
    <n v="0"/>
    <m/>
    <n v="51.9"/>
    <m/>
    <s v="Unique"/>
    <s v="Valid"/>
  </r>
  <r>
    <s v="USR-101007"/>
    <d v="2025-04-30T00:00:00"/>
    <x v="1"/>
    <x v="0"/>
    <x v="1"/>
    <x v="2"/>
    <x v="2"/>
    <n v="1"/>
    <n v="0"/>
    <n v="0"/>
    <n v="0"/>
    <n v="0"/>
    <n v="0"/>
    <n v="0"/>
    <m/>
    <n v="68.900000000000006"/>
    <m/>
    <s v="Unique"/>
    <s v="Valid"/>
  </r>
  <r>
    <s v="USR-101008"/>
    <d v="2025-02-18T00:00:00"/>
    <x v="1"/>
    <x v="1"/>
    <x v="0"/>
    <x v="1"/>
    <x v="1"/>
    <n v="1"/>
    <n v="0"/>
    <n v="0"/>
    <n v="0"/>
    <n v="0"/>
    <n v="0"/>
    <n v="0"/>
    <m/>
    <n v="66"/>
    <m/>
    <s v="Unique"/>
    <s v="Valid"/>
  </r>
  <r>
    <s v="USR-101009"/>
    <d v="2025-05-22T00:00:00"/>
    <x v="1"/>
    <x v="1"/>
    <x v="0"/>
    <x v="3"/>
    <x v="0"/>
    <n v="0"/>
    <n v="0"/>
    <n v="0"/>
    <n v="0"/>
    <n v="0"/>
    <n v="0"/>
    <n v="0"/>
    <m/>
    <n v="63.1"/>
    <m/>
    <s v="Unique"/>
    <s v="Valid"/>
  </r>
  <r>
    <s v="USR-101010"/>
    <d v="2025-05-21T00:00:00"/>
    <x v="1"/>
    <x v="3"/>
    <x v="0"/>
    <x v="1"/>
    <x v="1"/>
    <n v="0"/>
    <n v="0"/>
    <n v="0"/>
    <n v="0"/>
    <n v="0"/>
    <n v="0"/>
    <n v="0"/>
    <m/>
    <n v="56"/>
    <m/>
    <s v="Unique"/>
    <s v="Valid"/>
  </r>
  <r>
    <s v="USR-101011"/>
    <d v="2025-04-10T00:00:00"/>
    <x v="1"/>
    <x v="2"/>
    <x v="0"/>
    <x v="1"/>
    <x v="1"/>
    <n v="1"/>
    <n v="0"/>
    <n v="0"/>
    <n v="0"/>
    <n v="0"/>
    <n v="1"/>
    <n v="0"/>
    <m/>
    <n v="65.7"/>
    <m/>
    <s v="Unique"/>
    <s v="Valid"/>
  </r>
  <r>
    <s v="USR-101012"/>
    <d v="2025-01-07T00:00:00"/>
    <x v="1"/>
    <x v="0"/>
    <x v="0"/>
    <x v="1"/>
    <x v="2"/>
    <n v="1"/>
    <n v="1"/>
    <n v="1"/>
    <n v="1"/>
    <n v="1938.31"/>
    <n v="1"/>
    <n v="0"/>
    <n v="9"/>
    <n v="60.9"/>
    <m/>
    <s v="Unique"/>
    <s v="Valid"/>
  </r>
  <r>
    <s v="USR-101013"/>
    <d v="2025-02-03T00:00:00"/>
    <x v="1"/>
    <x v="3"/>
    <x v="0"/>
    <x v="4"/>
    <x v="1"/>
    <n v="0"/>
    <n v="0"/>
    <n v="0"/>
    <n v="0"/>
    <n v="0"/>
    <n v="0"/>
    <n v="0"/>
    <m/>
    <n v="45.5"/>
    <m/>
    <s v="Unique"/>
    <s v="Valid"/>
  </r>
  <r>
    <s v="USR-101014"/>
    <d v="2025-05-18T00:00:00"/>
    <x v="1"/>
    <x v="0"/>
    <x v="1"/>
    <x v="2"/>
    <x v="1"/>
    <n v="1"/>
    <n v="0"/>
    <n v="0"/>
    <n v="0"/>
    <n v="0"/>
    <n v="0"/>
    <n v="0"/>
    <m/>
    <n v="50"/>
    <m/>
    <s v="Unique"/>
    <s v="Valid"/>
  </r>
  <r>
    <s v="USR-101015"/>
    <d v="2025-01-31T00:00:00"/>
    <x v="1"/>
    <x v="0"/>
    <x v="1"/>
    <x v="3"/>
    <x v="1"/>
    <n v="1"/>
    <n v="0"/>
    <n v="0"/>
    <n v="0"/>
    <n v="0"/>
    <n v="0"/>
    <n v="0"/>
    <m/>
    <n v="72.099999999999994"/>
    <m/>
    <s v="Unique"/>
    <s v="Valid"/>
  </r>
  <r>
    <s v="USR-101016"/>
    <d v="2025-01-16T00:00:00"/>
    <x v="1"/>
    <x v="3"/>
    <x v="0"/>
    <x v="1"/>
    <x v="0"/>
    <n v="1"/>
    <n v="0"/>
    <n v="0"/>
    <n v="0"/>
    <n v="0"/>
    <n v="0"/>
    <n v="0"/>
    <m/>
    <n v="76.3"/>
    <m/>
    <s v="Unique"/>
    <s v="Valid"/>
  </r>
  <r>
    <s v="USR-101017"/>
    <d v="2025-05-14T00:00:00"/>
    <x v="1"/>
    <x v="2"/>
    <x v="1"/>
    <x v="2"/>
    <x v="0"/>
    <n v="1"/>
    <n v="1"/>
    <n v="0"/>
    <n v="0"/>
    <n v="0"/>
    <n v="1"/>
    <n v="0"/>
    <m/>
    <n v="54.8"/>
    <m/>
    <s v="Unique"/>
    <s v="Valid"/>
  </r>
  <r>
    <s v="USR-101018"/>
    <d v="2025-04-01T00:00:00"/>
    <x v="1"/>
    <x v="3"/>
    <x v="1"/>
    <x v="5"/>
    <x v="0"/>
    <n v="1"/>
    <n v="0"/>
    <n v="0"/>
    <n v="0"/>
    <n v="0"/>
    <n v="0"/>
    <n v="0"/>
    <m/>
    <n v="63.6"/>
    <m/>
    <s v="Unique"/>
    <s v="Valid"/>
  </r>
  <r>
    <s v="USR-101019"/>
    <d v="2025-04-23T00:00:00"/>
    <x v="1"/>
    <x v="3"/>
    <x v="1"/>
    <x v="1"/>
    <x v="1"/>
    <n v="1"/>
    <n v="0"/>
    <n v="0"/>
    <n v="0"/>
    <n v="0"/>
    <n v="0"/>
    <n v="0"/>
    <m/>
    <n v="68.8"/>
    <m/>
    <s v="Unique"/>
    <s v="Valid"/>
  </r>
  <r>
    <s v="USR-101020"/>
    <d v="2025-03-02T00:00:00"/>
    <x v="1"/>
    <x v="3"/>
    <x v="0"/>
    <x v="2"/>
    <x v="0"/>
    <n v="1"/>
    <n v="0"/>
    <n v="0"/>
    <n v="0"/>
    <n v="0"/>
    <n v="0"/>
    <n v="0"/>
    <m/>
    <n v="63.2"/>
    <m/>
    <s v="Unique"/>
    <s v="Valid"/>
  </r>
  <r>
    <s v="USR-101021"/>
    <d v="2025-01-02T00:00:00"/>
    <x v="1"/>
    <x v="2"/>
    <x v="1"/>
    <x v="2"/>
    <x v="0"/>
    <n v="0"/>
    <n v="0"/>
    <n v="0"/>
    <n v="0"/>
    <n v="0"/>
    <n v="0"/>
    <n v="0"/>
    <m/>
    <n v="45"/>
    <m/>
    <s v="Unique"/>
    <s v="Valid"/>
  </r>
  <r>
    <s v="USR-101022"/>
    <d v="2025-05-04T00:00:00"/>
    <x v="1"/>
    <x v="3"/>
    <x v="1"/>
    <x v="1"/>
    <x v="1"/>
    <n v="1"/>
    <n v="0"/>
    <n v="0"/>
    <n v="0"/>
    <n v="0"/>
    <n v="0"/>
    <n v="0"/>
    <m/>
    <n v="77.400000000000006"/>
    <m/>
    <s v="Unique"/>
    <s v="Valid"/>
  </r>
  <r>
    <s v="USR-101023"/>
    <d v="2025-01-16T00:00:00"/>
    <x v="1"/>
    <x v="2"/>
    <x v="0"/>
    <x v="2"/>
    <x v="0"/>
    <n v="0"/>
    <n v="0"/>
    <n v="0"/>
    <n v="0"/>
    <n v="0"/>
    <n v="0"/>
    <n v="0"/>
    <m/>
    <n v="53.1"/>
    <m/>
    <s v="Unique"/>
    <s v="Valid"/>
  </r>
  <r>
    <s v="USR-101024"/>
    <d v="2025-02-11T00:00:00"/>
    <x v="1"/>
    <x v="1"/>
    <x v="2"/>
    <x v="2"/>
    <x v="2"/>
    <n v="0"/>
    <n v="0"/>
    <n v="0"/>
    <n v="0"/>
    <n v="0"/>
    <n v="0"/>
    <n v="0"/>
    <m/>
    <n v="74"/>
    <m/>
    <s v="Unique"/>
    <s v="Valid"/>
  </r>
  <r>
    <s v="USR-101025"/>
    <d v="2025-04-03T00:00:00"/>
    <x v="1"/>
    <x v="0"/>
    <x v="1"/>
    <x v="4"/>
    <x v="2"/>
    <n v="1"/>
    <n v="1"/>
    <n v="1"/>
    <n v="1"/>
    <n v="1906.23"/>
    <n v="0"/>
    <n v="0"/>
    <n v="4"/>
    <n v="84.6"/>
    <m/>
    <s v="Unique"/>
    <s v="Valid"/>
  </r>
  <r>
    <s v="USR-101026"/>
    <d v="2025-03-26T00:00:00"/>
    <x v="1"/>
    <x v="2"/>
    <x v="1"/>
    <x v="3"/>
    <x v="1"/>
    <n v="1"/>
    <n v="0"/>
    <n v="0"/>
    <n v="0"/>
    <n v="0"/>
    <n v="0"/>
    <n v="0"/>
    <m/>
    <n v="57"/>
    <m/>
    <s v="Unique"/>
    <s v="Valid"/>
  </r>
  <r>
    <s v="USR-101027"/>
    <d v="2025-05-16T00:00:00"/>
    <x v="1"/>
    <x v="3"/>
    <x v="1"/>
    <x v="0"/>
    <x v="2"/>
    <n v="0"/>
    <n v="0"/>
    <n v="0"/>
    <n v="0"/>
    <n v="0"/>
    <n v="0"/>
    <n v="0"/>
    <m/>
    <n v="46.3"/>
    <m/>
    <s v="Unique"/>
    <s v="Valid"/>
  </r>
  <r>
    <s v="USR-101028"/>
    <d v="2025-04-20T00:00:00"/>
    <x v="1"/>
    <x v="1"/>
    <x v="1"/>
    <x v="4"/>
    <x v="1"/>
    <n v="0"/>
    <n v="0"/>
    <n v="0"/>
    <n v="0"/>
    <n v="0"/>
    <n v="1"/>
    <n v="0"/>
    <m/>
    <n v="64.400000000000006"/>
    <m/>
    <s v="Unique"/>
    <s v="Valid"/>
  </r>
  <r>
    <s v="USR-101029"/>
    <d v="2025-04-15T00:00:00"/>
    <x v="1"/>
    <x v="1"/>
    <x v="1"/>
    <x v="2"/>
    <x v="1"/>
    <n v="1"/>
    <n v="0"/>
    <n v="0"/>
    <n v="0"/>
    <n v="0"/>
    <n v="2"/>
    <n v="0"/>
    <m/>
    <n v="61.9"/>
    <m/>
    <s v="Unique"/>
    <s v="Valid"/>
  </r>
  <r>
    <s v="USR-101030"/>
    <d v="2025-01-24T00:00:00"/>
    <x v="1"/>
    <x v="0"/>
    <x v="1"/>
    <x v="1"/>
    <x v="2"/>
    <n v="1"/>
    <n v="1"/>
    <n v="1"/>
    <n v="0"/>
    <n v="0"/>
    <n v="0"/>
    <n v="0"/>
    <m/>
    <n v="93.7"/>
    <m/>
    <s v="Unique"/>
    <s v="Valid"/>
  </r>
  <r>
    <s v="USR-101031"/>
    <d v="2025-04-11T00:00:00"/>
    <x v="1"/>
    <x v="3"/>
    <x v="1"/>
    <x v="3"/>
    <x v="0"/>
    <n v="0"/>
    <n v="0"/>
    <n v="0"/>
    <n v="0"/>
    <n v="0"/>
    <n v="0"/>
    <n v="0"/>
    <m/>
    <n v="61.6"/>
    <m/>
    <s v="Unique"/>
    <s v="Valid"/>
  </r>
  <r>
    <s v="USR-101032"/>
    <d v="2025-05-19T00:00:00"/>
    <x v="1"/>
    <x v="0"/>
    <x v="1"/>
    <x v="2"/>
    <x v="1"/>
    <n v="1"/>
    <n v="0"/>
    <n v="0"/>
    <n v="0"/>
    <n v="0"/>
    <n v="0"/>
    <n v="0"/>
    <m/>
    <n v="72.2"/>
    <m/>
    <s v="Unique"/>
    <s v="Valid"/>
  </r>
  <r>
    <s v="USR-101033"/>
    <d v="2025-01-14T00:00:00"/>
    <x v="1"/>
    <x v="0"/>
    <x v="1"/>
    <x v="1"/>
    <x v="0"/>
    <n v="0"/>
    <n v="0"/>
    <n v="0"/>
    <n v="0"/>
    <n v="0"/>
    <n v="0"/>
    <n v="0"/>
    <m/>
    <n v="69.5"/>
    <m/>
    <s v="Unique"/>
    <s v="Valid"/>
  </r>
  <r>
    <s v="USR-101034"/>
    <d v="2025-02-28T00:00:00"/>
    <x v="1"/>
    <x v="2"/>
    <x v="0"/>
    <x v="1"/>
    <x v="0"/>
    <n v="0"/>
    <n v="0"/>
    <n v="0"/>
    <n v="0"/>
    <n v="0"/>
    <n v="0"/>
    <n v="0"/>
    <m/>
    <n v="59.7"/>
    <m/>
    <s v="Unique"/>
    <s v="Valid"/>
  </r>
  <r>
    <s v="USR-101035"/>
    <d v="2025-05-18T00:00:00"/>
    <x v="1"/>
    <x v="2"/>
    <x v="2"/>
    <x v="2"/>
    <x v="0"/>
    <n v="1"/>
    <n v="0"/>
    <n v="0"/>
    <n v="0"/>
    <n v="0"/>
    <n v="0"/>
    <n v="0"/>
    <m/>
    <n v="73.900000000000006"/>
    <m/>
    <s v="Unique"/>
    <s v="Valid"/>
  </r>
  <r>
    <s v="USR-101036"/>
    <d v="2025-01-04T00:00:00"/>
    <x v="1"/>
    <x v="0"/>
    <x v="1"/>
    <x v="4"/>
    <x v="1"/>
    <n v="0"/>
    <n v="0"/>
    <n v="0"/>
    <n v="0"/>
    <n v="0"/>
    <n v="0"/>
    <n v="0"/>
    <m/>
    <n v="41.5"/>
    <m/>
    <s v="Unique"/>
    <s v="Valid"/>
  </r>
  <r>
    <s v="USR-101037"/>
    <d v="2025-01-16T00:00:00"/>
    <x v="1"/>
    <x v="1"/>
    <x v="1"/>
    <x v="4"/>
    <x v="2"/>
    <n v="1"/>
    <n v="0"/>
    <n v="0"/>
    <n v="0"/>
    <n v="0"/>
    <n v="0"/>
    <n v="0"/>
    <m/>
    <n v="82.8"/>
    <m/>
    <s v="Unique"/>
    <s v="Valid"/>
  </r>
  <r>
    <s v="USR-101038"/>
    <d v="2025-03-14T00:00:00"/>
    <x v="1"/>
    <x v="1"/>
    <x v="1"/>
    <x v="4"/>
    <x v="2"/>
    <n v="1"/>
    <n v="0"/>
    <n v="0"/>
    <n v="0"/>
    <n v="0"/>
    <n v="3"/>
    <n v="0"/>
    <m/>
    <n v="70.2"/>
    <m/>
    <s v="Unique"/>
    <s v="Valid"/>
  </r>
  <r>
    <s v="USR-101039"/>
    <d v="2025-01-23T00:00:00"/>
    <x v="1"/>
    <x v="2"/>
    <x v="1"/>
    <x v="2"/>
    <x v="0"/>
    <n v="1"/>
    <n v="0"/>
    <n v="0"/>
    <n v="0"/>
    <n v="0"/>
    <n v="1"/>
    <n v="0"/>
    <m/>
    <n v="69.400000000000006"/>
    <m/>
    <s v="Unique"/>
    <s v="Valid"/>
  </r>
  <r>
    <s v="USR-101040"/>
    <d v="2025-02-03T00:00:00"/>
    <x v="1"/>
    <x v="0"/>
    <x v="0"/>
    <x v="1"/>
    <x v="0"/>
    <n v="1"/>
    <n v="0"/>
    <n v="0"/>
    <n v="0"/>
    <n v="0"/>
    <n v="0"/>
    <n v="0"/>
    <m/>
    <n v="60.4"/>
    <m/>
    <s v="Unique"/>
    <s v="Valid"/>
  </r>
  <r>
    <s v="USR-101041"/>
    <d v="2025-05-16T00:00:00"/>
    <x v="1"/>
    <x v="2"/>
    <x v="1"/>
    <x v="3"/>
    <x v="1"/>
    <n v="1"/>
    <n v="0"/>
    <n v="0"/>
    <n v="0"/>
    <n v="0"/>
    <n v="0"/>
    <n v="0"/>
    <m/>
    <n v="45.7"/>
    <m/>
    <s v="Unique"/>
    <s v="Valid"/>
  </r>
  <r>
    <s v="USR-101042"/>
    <d v="2025-01-11T00:00:00"/>
    <x v="1"/>
    <x v="1"/>
    <x v="1"/>
    <x v="1"/>
    <x v="0"/>
    <n v="0"/>
    <n v="0"/>
    <n v="0"/>
    <n v="0"/>
    <n v="0"/>
    <n v="1"/>
    <n v="0"/>
    <m/>
    <n v="42.2"/>
    <m/>
    <s v="Unique"/>
    <s v="Valid"/>
  </r>
  <r>
    <s v="USR-101043"/>
    <d v="2025-05-25T00:00:00"/>
    <x v="1"/>
    <x v="0"/>
    <x v="0"/>
    <x v="1"/>
    <x v="1"/>
    <n v="0"/>
    <n v="0"/>
    <n v="0"/>
    <n v="0"/>
    <n v="0"/>
    <n v="2"/>
    <n v="0"/>
    <m/>
    <n v="61.9"/>
    <m/>
    <s v="Unique"/>
    <s v="Valid"/>
  </r>
  <r>
    <s v="USR-101044"/>
    <d v="2025-05-08T00:00:00"/>
    <x v="1"/>
    <x v="2"/>
    <x v="1"/>
    <x v="2"/>
    <x v="2"/>
    <n v="0"/>
    <n v="0"/>
    <n v="0"/>
    <n v="0"/>
    <n v="0"/>
    <n v="0"/>
    <n v="0"/>
    <m/>
    <n v="44.9"/>
    <m/>
    <s v="Unique"/>
    <s v="Valid"/>
  </r>
  <r>
    <s v="USR-101045"/>
    <d v="2025-02-26T00:00:00"/>
    <x v="1"/>
    <x v="2"/>
    <x v="0"/>
    <x v="5"/>
    <x v="0"/>
    <n v="1"/>
    <n v="0"/>
    <n v="0"/>
    <n v="0"/>
    <n v="0"/>
    <n v="0"/>
    <n v="0"/>
    <m/>
    <n v="68"/>
    <m/>
    <s v="Unique"/>
    <s v="Valid"/>
  </r>
  <r>
    <s v="USR-101046"/>
    <d v="2025-03-30T00:00:00"/>
    <x v="1"/>
    <x v="0"/>
    <x v="1"/>
    <x v="2"/>
    <x v="1"/>
    <n v="1"/>
    <n v="0"/>
    <n v="0"/>
    <n v="0"/>
    <n v="0"/>
    <n v="0"/>
    <n v="0"/>
    <m/>
    <n v="61"/>
    <m/>
    <s v="Unique"/>
    <s v="Valid"/>
  </r>
  <r>
    <s v="USR-101047"/>
    <d v="2025-04-13T00:00:00"/>
    <x v="1"/>
    <x v="1"/>
    <x v="1"/>
    <x v="1"/>
    <x v="0"/>
    <n v="1"/>
    <n v="0"/>
    <n v="0"/>
    <n v="0"/>
    <n v="0"/>
    <n v="0"/>
    <n v="0"/>
    <m/>
    <n v="55"/>
    <m/>
    <s v="Unique"/>
    <s v="Valid"/>
  </r>
  <r>
    <s v="USR-101048"/>
    <d v="2025-02-20T00:00:00"/>
    <x v="1"/>
    <x v="2"/>
    <x v="3"/>
    <x v="2"/>
    <x v="0"/>
    <n v="1"/>
    <n v="0"/>
    <n v="0"/>
    <n v="0"/>
    <n v="0"/>
    <n v="0"/>
    <n v="0"/>
    <m/>
    <n v="63.1"/>
    <m/>
    <s v="Unique"/>
    <s v="Valid"/>
  </r>
  <r>
    <s v="USR-101049"/>
    <d v="2025-04-19T00:00:00"/>
    <x v="1"/>
    <x v="1"/>
    <x v="0"/>
    <x v="4"/>
    <x v="1"/>
    <n v="1"/>
    <n v="0"/>
    <n v="0"/>
    <n v="0"/>
    <n v="0"/>
    <n v="0"/>
    <n v="0"/>
    <m/>
    <n v="75.8"/>
    <m/>
    <s v="Unique"/>
    <s v="Valid"/>
  </r>
  <r>
    <s v="USR-101050"/>
    <d v="2025-03-22T00:00:00"/>
    <x v="1"/>
    <x v="3"/>
    <x v="1"/>
    <x v="2"/>
    <x v="1"/>
    <n v="1"/>
    <n v="1"/>
    <n v="0"/>
    <n v="0"/>
    <n v="0"/>
    <n v="1"/>
    <n v="0"/>
    <m/>
    <n v="43.8"/>
    <m/>
    <s v="Unique"/>
    <s v="Valid"/>
  </r>
  <r>
    <s v="USR-101051"/>
    <d v="2025-02-28T00:00:00"/>
    <x v="1"/>
    <x v="0"/>
    <x v="1"/>
    <x v="0"/>
    <x v="0"/>
    <n v="1"/>
    <n v="1"/>
    <n v="0"/>
    <n v="0"/>
    <n v="0"/>
    <n v="0"/>
    <n v="0"/>
    <m/>
    <n v="46.8"/>
    <m/>
    <s v="Unique"/>
    <s v="Valid"/>
  </r>
  <r>
    <s v="USR-101052"/>
    <d v="2025-05-24T00:00:00"/>
    <x v="1"/>
    <x v="2"/>
    <x v="1"/>
    <x v="4"/>
    <x v="1"/>
    <n v="1"/>
    <n v="1"/>
    <n v="1"/>
    <n v="0"/>
    <n v="0"/>
    <n v="0"/>
    <n v="0"/>
    <m/>
    <n v="97.4"/>
    <m/>
    <s v="Unique"/>
    <s v="Valid"/>
  </r>
  <r>
    <s v="USR-101053"/>
    <d v="2025-02-03T00:00:00"/>
    <x v="1"/>
    <x v="0"/>
    <x v="0"/>
    <x v="0"/>
    <x v="1"/>
    <n v="1"/>
    <n v="1"/>
    <n v="1"/>
    <n v="1"/>
    <n v="268.95999999999998"/>
    <n v="0"/>
    <n v="0"/>
    <n v="14"/>
    <n v="81"/>
    <m/>
    <s v="Unique"/>
    <s v="Valid"/>
  </r>
  <r>
    <s v="USR-101054"/>
    <d v="2025-01-27T00:00:00"/>
    <x v="1"/>
    <x v="3"/>
    <x v="1"/>
    <x v="1"/>
    <x v="1"/>
    <n v="1"/>
    <n v="0"/>
    <n v="0"/>
    <n v="0"/>
    <n v="0"/>
    <n v="1"/>
    <n v="0"/>
    <m/>
    <n v="58.9"/>
    <m/>
    <s v="Unique"/>
    <s v="Valid"/>
  </r>
  <r>
    <s v="USR-101055"/>
    <d v="2025-04-17T00:00:00"/>
    <x v="1"/>
    <x v="2"/>
    <x v="1"/>
    <x v="1"/>
    <x v="1"/>
    <n v="1"/>
    <n v="0"/>
    <n v="0"/>
    <n v="0"/>
    <n v="0"/>
    <n v="0"/>
    <n v="0"/>
    <m/>
    <n v="51.9"/>
    <m/>
    <s v="Unique"/>
    <s v="Valid"/>
  </r>
  <r>
    <s v="USR-101056"/>
    <d v="2025-02-06T00:00:00"/>
    <x v="1"/>
    <x v="1"/>
    <x v="1"/>
    <x v="4"/>
    <x v="1"/>
    <n v="1"/>
    <n v="1"/>
    <n v="0"/>
    <n v="0"/>
    <n v="0"/>
    <n v="0"/>
    <n v="0"/>
    <m/>
    <n v="61.7"/>
    <m/>
    <s v="Unique"/>
    <s v="Valid"/>
  </r>
  <r>
    <s v="USR-101057"/>
    <d v="2025-04-20T00:00:00"/>
    <x v="1"/>
    <x v="3"/>
    <x v="1"/>
    <x v="2"/>
    <x v="1"/>
    <n v="1"/>
    <n v="0"/>
    <n v="0"/>
    <n v="0"/>
    <n v="0"/>
    <n v="0"/>
    <n v="0"/>
    <m/>
    <n v="44.7"/>
    <m/>
    <s v="Unique"/>
    <s v="Valid"/>
  </r>
  <r>
    <s v="USR-101058"/>
    <d v="2025-05-06T00:00:00"/>
    <x v="1"/>
    <x v="0"/>
    <x v="1"/>
    <x v="2"/>
    <x v="0"/>
    <n v="0"/>
    <n v="0"/>
    <n v="0"/>
    <n v="0"/>
    <n v="0"/>
    <n v="0"/>
    <n v="0"/>
    <m/>
    <n v="63.2"/>
    <m/>
    <s v="Unique"/>
    <s v="Valid"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m/>
    <s v="Duplicate"/>
    <s v="Valid"/>
  </r>
  <r>
    <s v="USR-101060"/>
    <d v="2025-03-02T00:00:00"/>
    <x v="1"/>
    <x v="3"/>
    <x v="1"/>
    <x v="2"/>
    <x v="2"/>
    <n v="1"/>
    <n v="1"/>
    <n v="0"/>
    <n v="0"/>
    <n v="0"/>
    <n v="1"/>
    <n v="0"/>
    <m/>
    <n v="83.1"/>
    <m/>
    <s v="Unique"/>
    <s v="Valid"/>
  </r>
  <r>
    <s v="USR-101061"/>
    <d v="2025-04-09T00:00:00"/>
    <x v="1"/>
    <x v="1"/>
    <x v="1"/>
    <x v="4"/>
    <x v="1"/>
    <n v="0"/>
    <n v="0"/>
    <n v="0"/>
    <n v="0"/>
    <n v="0"/>
    <n v="0"/>
    <n v="0"/>
    <m/>
    <n v="50.3"/>
    <m/>
    <s v="Unique"/>
    <s v="Valid"/>
  </r>
  <r>
    <s v="USR-101062"/>
    <d v="2025-01-26T00:00:00"/>
    <x v="1"/>
    <x v="2"/>
    <x v="1"/>
    <x v="2"/>
    <x v="1"/>
    <n v="1"/>
    <n v="1"/>
    <n v="1"/>
    <n v="1"/>
    <n v="437.09"/>
    <n v="2"/>
    <n v="1"/>
    <n v="1"/>
    <n v="58.2"/>
    <m/>
    <s v="Unique"/>
    <s v="Valid"/>
  </r>
  <r>
    <s v="USR-101063"/>
    <d v="2025-02-25T00:00:00"/>
    <x v="1"/>
    <x v="3"/>
    <x v="1"/>
    <x v="2"/>
    <x v="0"/>
    <n v="1"/>
    <n v="1"/>
    <n v="1"/>
    <n v="0"/>
    <n v="0"/>
    <n v="0"/>
    <n v="0"/>
    <m/>
    <n v="53.2"/>
    <m/>
    <s v="Unique"/>
    <s v="Valid"/>
  </r>
  <r>
    <s v="USR-101064"/>
    <d v="2025-01-07T00:00:00"/>
    <x v="1"/>
    <x v="2"/>
    <x v="1"/>
    <x v="1"/>
    <x v="2"/>
    <n v="0"/>
    <n v="0"/>
    <n v="0"/>
    <n v="0"/>
    <n v="0"/>
    <n v="0"/>
    <n v="0"/>
    <m/>
    <n v="36.4"/>
    <m/>
    <s v="Unique"/>
    <s v="Valid"/>
  </r>
  <r>
    <s v="USR-101065"/>
    <d v="2025-03-08T00:00:00"/>
    <x v="1"/>
    <x v="3"/>
    <x v="1"/>
    <x v="4"/>
    <x v="0"/>
    <n v="1"/>
    <n v="1"/>
    <n v="1"/>
    <n v="0"/>
    <n v="0"/>
    <n v="0"/>
    <n v="0"/>
    <m/>
    <n v="72.7"/>
    <m/>
    <s v="Unique"/>
    <s v="Valid"/>
  </r>
  <r>
    <s v="USR-101066"/>
    <d v="2025-05-22T00:00:00"/>
    <x v="1"/>
    <x v="2"/>
    <x v="1"/>
    <x v="3"/>
    <x v="1"/>
    <n v="1"/>
    <n v="0"/>
    <n v="0"/>
    <n v="0"/>
    <n v="0"/>
    <n v="1"/>
    <n v="0"/>
    <m/>
    <n v="86.7"/>
    <m/>
    <s v="Unique"/>
    <s v="Valid"/>
  </r>
  <r>
    <s v="USR-101067"/>
    <d v="2025-04-18T00:00:00"/>
    <x v="1"/>
    <x v="2"/>
    <x v="1"/>
    <x v="2"/>
    <x v="2"/>
    <n v="1"/>
    <n v="0"/>
    <n v="0"/>
    <n v="0"/>
    <n v="0"/>
    <n v="0"/>
    <n v="0"/>
    <m/>
    <n v="48.2"/>
    <m/>
    <s v="Unique"/>
    <s v="Valid"/>
  </r>
  <r>
    <s v="USR-101068"/>
    <d v="2025-02-24T00:00:00"/>
    <x v="1"/>
    <x v="1"/>
    <x v="1"/>
    <x v="3"/>
    <x v="0"/>
    <n v="0"/>
    <n v="0"/>
    <n v="0"/>
    <n v="0"/>
    <n v="0"/>
    <n v="1"/>
    <n v="0"/>
    <m/>
    <n v="57.6"/>
    <m/>
    <s v="Unique"/>
    <s v="Valid"/>
  </r>
  <r>
    <s v="USR-101069"/>
    <d v="2025-02-11T00:00:00"/>
    <x v="1"/>
    <x v="0"/>
    <x v="1"/>
    <x v="1"/>
    <x v="1"/>
    <n v="1"/>
    <n v="1"/>
    <n v="1"/>
    <n v="0"/>
    <n v="0"/>
    <n v="0"/>
    <n v="0"/>
    <m/>
    <n v="75.7"/>
    <m/>
    <s v="Unique"/>
    <s v="Valid"/>
  </r>
  <r>
    <s v="USR-101070"/>
    <d v="2025-03-11T00:00:00"/>
    <x v="1"/>
    <x v="1"/>
    <x v="0"/>
    <x v="2"/>
    <x v="1"/>
    <n v="1"/>
    <n v="0"/>
    <n v="0"/>
    <n v="0"/>
    <n v="0"/>
    <n v="2"/>
    <n v="0"/>
    <m/>
    <n v="48.6"/>
    <m/>
    <s v="Unique"/>
    <s v="Valid"/>
  </r>
  <r>
    <s v="USR-101071"/>
    <d v="2025-04-11T00:00:00"/>
    <x v="1"/>
    <x v="2"/>
    <x v="2"/>
    <x v="3"/>
    <x v="1"/>
    <n v="1"/>
    <n v="1"/>
    <n v="1"/>
    <n v="0"/>
    <n v="0"/>
    <n v="0"/>
    <n v="0"/>
    <m/>
    <n v="72"/>
    <m/>
    <s v="Unique"/>
    <s v="Valid"/>
  </r>
  <r>
    <s v="USR-101072"/>
    <d v="2025-03-11T00:00:00"/>
    <x v="1"/>
    <x v="0"/>
    <x v="1"/>
    <x v="1"/>
    <x v="1"/>
    <n v="0"/>
    <n v="0"/>
    <n v="0"/>
    <n v="0"/>
    <n v="0"/>
    <n v="0"/>
    <n v="0"/>
    <m/>
    <n v="72.2"/>
    <m/>
    <s v="Unique"/>
    <s v="Valid"/>
  </r>
  <r>
    <s v="USR-101073"/>
    <d v="2025-05-22T00:00:00"/>
    <x v="1"/>
    <x v="2"/>
    <x v="1"/>
    <x v="3"/>
    <x v="1"/>
    <n v="1"/>
    <n v="0"/>
    <n v="0"/>
    <n v="0"/>
    <n v="0"/>
    <n v="1"/>
    <n v="0"/>
    <m/>
    <n v="60.02"/>
    <m/>
    <s v="Unique"/>
    <s v="Valid"/>
  </r>
  <r>
    <s v="USR-101074"/>
    <d v="2025-02-22T00:00:00"/>
    <x v="1"/>
    <x v="3"/>
    <x v="0"/>
    <x v="1"/>
    <x v="1"/>
    <n v="1"/>
    <n v="1"/>
    <n v="1"/>
    <n v="1"/>
    <n v="331.53"/>
    <n v="2"/>
    <n v="0"/>
    <n v="4"/>
    <n v="56.8"/>
    <m/>
    <s v="Unique"/>
    <s v="Valid"/>
  </r>
  <r>
    <s v="USR-101075"/>
    <d v="2025-01-13T00:00:00"/>
    <x v="1"/>
    <x v="2"/>
    <x v="1"/>
    <x v="2"/>
    <x v="0"/>
    <n v="1"/>
    <n v="0"/>
    <n v="0"/>
    <n v="0"/>
    <n v="0"/>
    <n v="0"/>
    <n v="0"/>
    <m/>
    <n v="62.5"/>
    <m/>
    <s v="Unique"/>
    <s v="Valid"/>
  </r>
  <r>
    <s v="USR-101076"/>
    <d v="2025-05-19T00:00:00"/>
    <x v="1"/>
    <x v="3"/>
    <x v="1"/>
    <x v="1"/>
    <x v="1"/>
    <n v="1"/>
    <n v="0"/>
    <n v="0"/>
    <n v="0"/>
    <n v="0"/>
    <n v="0"/>
    <n v="0"/>
    <m/>
    <n v="63.4"/>
    <m/>
    <s v="Unique"/>
    <s v="Valid"/>
  </r>
  <r>
    <s v="USR-101077"/>
    <d v="2025-03-08T00:00:00"/>
    <x v="1"/>
    <x v="0"/>
    <x v="2"/>
    <x v="1"/>
    <x v="0"/>
    <n v="1"/>
    <n v="1"/>
    <n v="1"/>
    <n v="1"/>
    <n v="774.78"/>
    <n v="0"/>
    <n v="0"/>
    <n v="3"/>
    <n v="46.8"/>
    <m/>
    <s v="Unique"/>
    <s v="Valid"/>
  </r>
  <r>
    <s v="USR-101078"/>
    <d v="2025-04-20T00:00:00"/>
    <x v="1"/>
    <x v="3"/>
    <x v="1"/>
    <x v="1"/>
    <x v="1"/>
    <n v="1"/>
    <n v="1"/>
    <n v="1"/>
    <n v="1"/>
    <n v="422.02"/>
    <n v="0"/>
    <n v="0"/>
    <n v="8"/>
    <n v="86.5"/>
    <m/>
    <s v="Unique"/>
    <s v="Valid"/>
  </r>
  <r>
    <s v="USR-101079"/>
    <d v="2025-05-08T00:00:00"/>
    <x v="1"/>
    <x v="1"/>
    <x v="1"/>
    <x v="0"/>
    <x v="0"/>
    <n v="0"/>
    <n v="0"/>
    <n v="0"/>
    <n v="0"/>
    <n v="0"/>
    <n v="1"/>
    <n v="0"/>
    <m/>
    <n v="75.099999999999994"/>
    <m/>
    <s v="Unique"/>
    <s v="Valid"/>
  </r>
  <r>
    <s v="USR-101080"/>
    <d v="2025-05-10T00:00:00"/>
    <x v="1"/>
    <x v="3"/>
    <x v="1"/>
    <x v="1"/>
    <x v="0"/>
    <n v="1"/>
    <n v="0"/>
    <n v="0"/>
    <n v="0"/>
    <n v="0"/>
    <n v="0"/>
    <n v="0"/>
    <m/>
    <n v="64.5"/>
    <m/>
    <s v="Unique"/>
    <s v="Valid"/>
  </r>
  <r>
    <s v="USR-101081"/>
    <d v="2025-03-28T00:00:00"/>
    <x v="1"/>
    <x v="2"/>
    <x v="1"/>
    <x v="1"/>
    <x v="1"/>
    <n v="1"/>
    <n v="0"/>
    <n v="0"/>
    <n v="0"/>
    <n v="0"/>
    <n v="0"/>
    <n v="0"/>
    <m/>
    <n v="54.2"/>
    <m/>
    <s v="Unique"/>
    <s v="Valid"/>
  </r>
  <r>
    <s v="USR-101082"/>
    <d v="2025-04-30T00:00:00"/>
    <x v="1"/>
    <x v="2"/>
    <x v="1"/>
    <x v="2"/>
    <x v="2"/>
    <n v="1"/>
    <n v="1"/>
    <n v="1"/>
    <n v="0"/>
    <n v="0"/>
    <n v="0"/>
    <n v="0"/>
    <m/>
    <n v="84.1"/>
    <m/>
    <s v="Unique"/>
    <s v="Valid"/>
  </r>
  <r>
    <s v="USR-101083"/>
    <d v="2025-02-08T00:00:00"/>
    <x v="1"/>
    <x v="0"/>
    <x v="1"/>
    <x v="1"/>
    <x v="0"/>
    <n v="0"/>
    <n v="0"/>
    <n v="0"/>
    <n v="0"/>
    <n v="0"/>
    <n v="1"/>
    <n v="0"/>
    <m/>
    <n v="49.1"/>
    <m/>
    <s v="Unique"/>
    <s v="Valid"/>
  </r>
  <r>
    <s v="USR-101084"/>
    <d v="2025-03-07T00:00:00"/>
    <x v="1"/>
    <x v="3"/>
    <x v="1"/>
    <x v="3"/>
    <x v="2"/>
    <n v="0"/>
    <n v="0"/>
    <n v="0"/>
    <n v="0"/>
    <n v="0"/>
    <n v="0"/>
    <n v="0"/>
    <m/>
    <n v="92.7"/>
    <m/>
    <s v="Unique"/>
    <s v="Valid"/>
  </r>
  <r>
    <s v="USR-101085"/>
    <d v="2025-05-21T00:00:00"/>
    <x v="1"/>
    <x v="3"/>
    <x v="1"/>
    <x v="4"/>
    <x v="0"/>
    <n v="1"/>
    <n v="1"/>
    <n v="1"/>
    <n v="0"/>
    <n v="0"/>
    <n v="1"/>
    <n v="0"/>
    <m/>
    <n v="58.7"/>
    <m/>
    <s v="Unique"/>
    <s v="Valid"/>
  </r>
  <r>
    <s v="USR-101086"/>
    <d v="2025-04-12T00:00:00"/>
    <x v="1"/>
    <x v="3"/>
    <x v="1"/>
    <x v="4"/>
    <x v="1"/>
    <n v="1"/>
    <n v="1"/>
    <n v="1"/>
    <n v="0"/>
    <n v="0"/>
    <n v="0"/>
    <n v="0"/>
    <m/>
    <n v="59.3"/>
    <m/>
    <s v="Unique"/>
    <s v="Valid"/>
  </r>
  <r>
    <s v="USR-101087"/>
    <d v="2025-02-02T00:00:00"/>
    <x v="1"/>
    <x v="3"/>
    <x v="1"/>
    <x v="2"/>
    <x v="1"/>
    <n v="1"/>
    <n v="0"/>
    <n v="0"/>
    <n v="0"/>
    <n v="0"/>
    <n v="0"/>
    <n v="0"/>
    <m/>
    <n v="62"/>
    <m/>
    <s v="Unique"/>
    <s v="Valid"/>
  </r>
  <r>
    <s v="USR-101088"/>
    <d v="2025-04-22T00:00:00"/>
    <x v="1"/>
    <x v="0"/>
    <x v="2"/>
    <x v="3"/>
    <x v="1"/>
    <n v="1"/>
    <n v="1"/>
    <n v="1"/>
    <n v="0"/>
    <n v="0"/>
    <n v="1"/>
    <n v="0"/>
    <m/>
    <n v="60.3"/>
    <m/>
    <s v="Unique"/>
    <s v="Valid"/>
  </r>
  <r>
    <s v="USR-101089"/>
    <d v="2025-02-08T00:00:00"/>
    <x v="1"/>
    <x v="0"/>
    <x v="1"/>
    <x v="4"/>
    <x v="0"/>
    <n v="1"/>
    <n v="0"/>
    <n v="0"/>
    <n v="0"/>
    <n v="0"/>
    <n v="0"/>
    <n v="0"/>
    <m/>
    <n v="70.5"/>
    <m/>
    <s v="Unique"/>
    <s v="Valid"/>
  </r>
  <r>
    <s v="USR-101090"/>
    <d v="2025-01-24T00:00:00"/>
    <x v="1"/>
    <x v="3"/>
    <x v="0"/>
    <x v="0"/>
    <x v="1"/>
    <n v="1"/>
    <n v="0"/>
    <n v="0"/>
    <n v="0"/>
    <n v="0"/>
    <n v="0"/>
    <n v="0"/>
    <m/>
    <n v="36.799999999999997"/>
    <m/>
    <s v="Unique"/>
    <s v="Valid"/>
  </r>
  <r>
    <s v="USR-101091"/>
    <d v="2025-05-12T00:00:00"/>
    <x v="1"/>
    <x v="3"/>
    <x v="1"/>
    <x v="2"/>
    <x v="0"/>
    <n v="0"/>
    <n v="0"/>
    <n v="0"/>
    <n v="0"/>
    <n v="0"/>
    <n v="1"/>
    <n v="0"/>
    <m/>
    <n v="73.2"/>
    <m/>
    <s v="Unique"/>
    <s v="Valid"/>
  </r>
  <r>
    <s v="USR-101092"/>
    <d v="2025-03-30T00:00:00"/>
    <x v="1"/>
    <x v="0"/>
    <x v="1"/>
    <x v="1"/>
    <x v="0"/>
    <n v="0"/>
    <n v="0"/>
    <n v="0"/>
    <n v="0"/>
    <n v="0"/>
    <n v="0"/>
    <n v="0"/>
    <m/>
    <n v="70.099999999999994"/>
    <m/>
    <s v="Unique"/>
    <s v="Valid"/>
  </r>
  <r>
    <s v="USR-101093"/>
    <d v="2025-01-02T00:00:00"/>
    <x v="1"/>
    <x v="3"/>
    <x v="0"/>
    <x v="2"/>
    <x v="0"/>
    <n v="1"/>
    <n v="0"/>
    <n v="0"/>
    <n v="0"/>
    <n v="0"/>
    <n v="0"/>
    <n v="0"/>
    <m/>
    <n v="76.400000000000006"/>
    <m/>
    <s v="Unique"/>
    <s v="Valid"/>
  </r>
  <r>
    <s v="USR-101094"/>
    <d v="2025-03-21T00:00:00"/>
    <x v="1"/>
    <x v="3"/>
    <x v="2"/>
    <x v="0"/>
    <x v="0"/>
    <n v="0"/>
    <n v="0"/>
    <n v="0"/>
    <n v="0"/>
    <n v="0"/>
    <n v="0"/>
    <n v="0"/>
    <m/>
    <n v="46.4"/>
    <m/>
    <s v="Unique"/>
    <s v="Valid"/>
  </r>
  <r>
    <s v="USR-101095"/>
    <d v="2025-01-25T00:00:00"/>
    <x v="1"/>
    <x v="1"/>
    <x v="1"/>
    <x v="1"/>
    <x v="1"/>
    <n v="1"/>
    <n v="1"/>
    <n v="1"/>
    <n v="0"/>
    <n v="0"/>
    <n v="1"/>
    <n v="0"/>
    <m/>
    <n v="81.3"/>
    <m/>
    <s v="Unique"/>
    <s v="Valid"/>
  </r>
  <r>
    <s v="USR-101096"/>
    <d v="2025-01-12T00:00:00"/>
    <x v="1"/>
    <x v="3"/>
    <x v="2"/>
    <x v="4"/>
    <x v="1"/>
    <n v="1"/>
    <n v="1"/>
    <n v="1"/>
    <n v="0"/>
    <n v="0"/>
    <n v="0"/>
    <n v="0"/>
    <m/>
    <n v="55.3"/>
    <m/>
    <s v="Unique"/>
    <s v="Valid"/>
  </r>
  <r>
    <s v="USR-101097"/>
    <d v="2025-03-18T00:00:00"/>
    <x v="1"/>
    <x v="2"/>
    <x v="0"/>
    <x v="3"/>
    <x v="1"/>
    <n v="1"/>
    <n v="0"/>
    <n v="0"/>
    <n v="0"/>
    <n v="0"/>
    <n v="0"/>
    <n v="0"/>
    <m/>
    <n v="44.7"/>
    <m/>
    <s v="Unique"/>
    <s v="Valid"/>
  </r>
  <r>
    <s v="USR-101098"/>
    <d v="2025-03-26T00:00:00"/>
    <x v="1"/>
    <x v="2"/>
    <x v="1"/>
    <x v="2"/>
    <x v="0"/>
    <n v="1"/>
    <n v="0"/>
    <n v="0"/>
    <n v="0"/>
    <n v="0"/>
    <n v="0"/>
    <n v="0"/>
    <m/>
    <n v="67.2"/>
    <m/>
    <s v="Unique"/>
    <s v="Valid"/>
  </r>
  <r>
    <s v="USR-101099"/>
    <d v="2025-04-19T00:00:00"/>
    <x v="1"/>
    <x v="0"/>
    <x v="1"/>
    <x v="2"/>
    <x v="0"/>
    <n v="1"/>
    <n v="0"/>
    <n v="0"/>
    <n v="0"/>
    <n v="0"/>
    <n v="0"/>
    <n v="0"/>
    <m/>
    <n v="60.02"/>
    <m/>
    <s v="Unique"/>
    <s v="Valid"/>
  </r>
  <r>
    <s v="USR-101100"/>
    <d v="2025-04-17T00:00:00"/>
    <x v="1"/>
    <x v="2"/>
    <x v="1"/>
    <x v="1"/>
    <x v="2"/>
    <n v="1"/>
    <n v="1"/>
    <n v="1"/>
    <n v="0"/>
    <n v="0"/>
    <n v="1"/>
    <n v="0"/>
    <m/>
    <n v="70.8"/>
    <m/>
    <s v="Unique"/>
    <s v="Valid"/>
  </r>
  <r>
    <s v="USR-101101"/>
    <d v="2025-05-26T00:00:00"/>
    <x v="1"/>
    <x v="3"/>
    <x v="1"/>
    <x v="2"/>
    <x v="1"/>
    <n v="1"/>
    <n v="0"/>
    <n v="0"/>
    <n v="0"/>
    <n v="0"/>
    <n v="0"/>
    <n v="0"/>
    <m/>
    <n v="71.3"/>
    <m/>
    <s v="Unique"/>
    <s v="Valid"/>
  </r>
  <r>
    <s v="USR-101102"/>
    <d v="2025-04-14T00:00:00"/>
    <x v="1"/>
    <x v="0"/>
    <x v="1"/>
    <x v="4"/>
    <x v="2"/>
    <n v="1"/>
    <n v="1"/>
    <n v="1"/>
    <n v="0"/>
    <n v="0"/>
    <n v="0"/>
    <n v="0"/>
    <m/>
    <n v="69.400000000000006"/>
    <m/>
    <s v="Unique"/>
    <s v="Valid"/>
  </r>
  <r>
    <s v="USR-101103"/>
    <d v="2025-01-23T00:00:00"/>
    <x v="1"/>
    <x v="3"/>
    <x v="1"/>
    <x v="1"/>
    <x v="0"/>
    <n v="1"/>
    <n v="1"/>
    <n v="0"/>
    <n v="0"/>
    <n v="0"/>
    <n v="0"/>
    <n v="0"/>
    <m/>
    <n v="58.9"/>
    <m/>
    <s v="Unique"/>
    <s v="Valid"/>
  </r>
  <r>
    <s v="USR-101104"/>
    <d v="2025-01-06T00:00:00"/>
    <x v="1"/>
    <x v="2"/>
    <x v="1"/>
    <x v="3"/>
    <x v="1"/>
    <n v="0"/>
    <n v="0"/>
    <n v="0"/>
    <n v="0"/>
    <n v="0"/>
    <n v="0"/>
    <n v="0"/>
    <m/>
    <n v="70.7"/>
    <m/>
    <s v="Unique"/>
    <s v="Valid"/>
  </r>
  <r>
    <s v="USR-101105"/>
    <d v="2025-05-31T00:00:00"/>
    <x v="1"/>
    <x v="1"/>
    <x v="1"/>
    <x v="0"/>
    <x v="0"/>
    <n v="1"/>
    <n v="0"/>
    <n v="0"/>
    <n v="0"/>
    <n v="0"/>
    <n v="0"/>
    <n v="0"/>
    <m/>
    <n v="60.5"/>
    <m/>
    <s v="Unique"/>
    <s v="Valid"/>
  </r>
  <r>
    <s v="USR-101106"/>
    <d v="2025-05-19T00:00:00"/>
    <x v="1"/>
    <x v="0"/>
    <x v="1"/>
    <x v="1"/>
    <x v="0"/>
    <n v="1"/>
    <n v="1"/>
    <n v="1"/>
    <n v="0"/>
    <n v="0"/>
    <n v="0"/>
    <n v="0"/>
    <m/>
    <n v="77.3"/>
    <m/>
    <s v="Unique"/>
    <s v="Valid"/>
  </r>
  <r>
    <s v="USR-101107"/>
    <d v="2025-02-25T00:00:00"/>
    <x v="1"/>
    <x v="0"/>
    <x v="1"/>
    <x v="1"/>
    <x v="1"/>
    <n v="0"/>
    <n v="0"/>
    <n v="0"/>
    <n v="0"/>
    <n v="0"/>
    <n v="1"/>
    <n v="0"/>
    <m/>
    <n v="39.5"/>
    <m/>
    <s v="Unique"/>
    <s v="Valid"/>
  </r>
  <r>
    <s v="USR-101108"/>
    <d v="2025-01-10T00:00:00"/>
    <x v="1"/>
    <x v="3"/>
    <x v="2"/>
    <x v="1"/>
    <x v="0"/>
    <n v="1"/>
    <n v="0"/>
    <n v="0"/>
    <n v="0"/>
    <n v="0"/>
    <n v="0"/>
    <n v="0"/>
    <m/>
    <n v="68.099999999999994"/>
    <m/>
    <s v="Unique"/>
    <s v="Valid"/>
  </r>
  <r>
    <s v="USR-101109"/>
    <d v="2025-05-13T00:00:00"/>
    <x v="1"/>
    <x v="0"/>
    <x v="2"/>
    <x v="2"/>
    <x v="1"/>
    <n v="0"/>
    <n v="0"/>
    <n v="0"/>
    <n v="0"/>
    <n v="0"/>
    <n v="0"/>
    <n v="0"/>
    <m/>
    <n v="80.3"/>
    <m/>
    <s v="Unique"/>
    <s v="Valid"/>
  </r>
  <r>
    <s v="USR-101110"/>
    <d v="2025-04-27T00:00:00"/>
    <x v="1"/>
    <x v="1"/>
    <x v="0"/>
    <x v="1"/>
    <x v="2"/>
    <n v="1"/>
    <n v="0"/>
    <n v="0"/>
    <n v="0"/>
    <n v="0"/>
    <n v="0"/>
    <n v="0"/>
    <m/>
    <n v="77.7"/>
    <m/>
    <s v="Unique"/>
    <s v="Valid"/>
  </r>
  <r>
    <s v="USR-101111"/>
    <d v="2025-04-03T00:00:00"/>
    <x v="1"/>
    <x v="3"/>
    <x v="1"/>
    <x v="1"/>
    <x v="1"/>
    <n v="1"/>
    <n v="0"/>
    <n v="0"/>
    <n v="0"/>
    <n v="0"/>
    <n v="1"/>
    <n v="0"/>
    <m/>
    <n v="66.2"/>
    <m/>
    <s v="Unique"/>
    <s v="Valid"/>
  </r>
  <r>
    <s v="USR-101112"/>
    <d v="2025-03-26T00:00:00"/>
    <x v="1"/>
    <x v="3"/>
    <x v="1"/>
    <x v="1"/>
    <x v="1"/>
    <n v="1"/>
    <n v="1"/>
    <n v="1"/>
    <n v="0"/>
    <n v="0"/>
    <n v="1"/>
    <n v="0"/>
    <m/>
    <n v="43.9"/>
    <m/>
    <s v="Unique"/>
    <s v="Valid"/>
  </r>
  <r>
    <s v="USR-101113"/>
    <d v="2025-01-31T00:00:00"/>
    <x v="1"/>
    <x v="3"/>
    <x v="1"/>
    <x v="1"/>
    <x v="0"/>
    <n v="1"/>
    <n v="1"/>
    <n v="1"/>
    <n v="0"/>
    <n v="0"/>
    <n v="2"/>
    <n v="0"/>
    <m/>
    <n v="59.1"/>
    <m/>
    <s v="Unique"/>
    <s v="Valid"/>
  </r>
  <r>
    <s v="USR-101114"/>
    <d v="2025-01-25T00:00:00"/>
    <x v="1"/>
    <x v="3"/>
    <x v="1"/>
    <x v="4"/>
    <x v="1"/>
    <n v="1"/>
    <n v="1"/>
    <n v="1"/>
    <n v="1"/>
    <n v="416.94"/>
    <n v="1"/>
    <n v="0"/>
    <n v="11"/>
    <n v="67"/>
    <m/>
    <s v="Unique"/>
    <s v="Valid"/>
  </r>
  <r>
    <s v="USR-101115"/>
    <d v="2025-02-06T00:00:00"/>
    <x v="1"/>
    <x v="1"/>
    <x v="1"/>
    <x v="3"/>
    <x v="0"/>
    <n v="1"/>
    <n v="0"/>
    <n v="0"/>
    <n v="0"/>
    <n v="0"/>
    <n v="0"/>
    <n v="0"/>
    <m/>
    <n v="47.9"/>
    <m/>
    <s v="Unique"/>
    <s v="Valid"/>
  </r>
  <r>
    <s v="USR-101116"/>
    <d v="2025-03-10T00:00:00"/>
    <x v="1"/>
    <x v="2"/>
    <x v="1"/>
    <x v="2"/>
    <x v="1"/>
    <n v="1"/>
    <n v="1"/>
    <n v="0"/>
    <n v="0"/>
    <n v="0"/>
    <n v="0"/>
    <n v="0"/>
    <m/>
    <n v="41.5"/>
    <m/>
    <s v="Unique"/>
    <s v="Valid"/>
  </r>
  <r>
    <s v="USR-101117"/>
    <d v="2025-01-26T00:00:00"/>
    <x v="1"/>
    <x v="1"/>
    <x v="1"/>
    <x v="1"/>
    <x v="0"/>
    <n v="1"/>
    <n v="1"/>
    <n v="1"/>
    <n v="0"/>
    <n v="0"/>
    <n v="3"/>
    <n v="0"/>
    <m/>
    <n v="30.6"/>
    <m/>
    <s v="Unique"/>
    <s v="Valid"/>
  </r>
  <r>
    <s v="USR-101118"/>
    <d v="2025-01-01T00:00:00"/>
    <x v="1"/>
    <x v="2"/>
    <x v="1"/>
    <x v="2"/>
    <x v="1"/>
    <n v="1"/>
    <n v="1"/>
    <n v="0"/>
    <n v="0"/>
    <n v="0"/>
    <n v="0"/>
    <n v="0"/>
    <m/>
    <n v="91.5"/>
    <m/>
    <s v="Unique"/>
    <s v="Valid"/>
  </r>
  <r>
    <s v="USR-101119"/>
    <d v="2025-04-28T00:00:00"/>
    <x v="1"/>
    <x v="0"/>
    <x v="0"/>
    <x v="4"/>
    <x v="0"/>
    <n v="1"/>
    <n v="0"/>
    <n v="0"/>
    <n v="0"/>
    <n v="0"/>
    <n v="0"/>
    <n v="0"/>
    <m/>
    <n v="80.8"/>
    <m/>
    <s v="Unique"/>
    <s v="Valid"/>
  </r>
  <r>
    <s v="USR-101120"/>
    <d v="2025-04-04T00:00:00"/>
    <x v="1"/>
    <x v="0"/>
    <x v="1"/>
    <x v="1"/>
    <x v="2"/>
    <n v="1"/>
    <n v="0"/>
    <n v="0"/>
    <n v="0"/>
    <n v="0"/>
    <n v="0"/>
    <n v="0"/>
    <m/>
    <n v="68.099999999999994"/>
    <m/>
    <s v="Unique"/>
    <s v="Valid"/>
  </r>
  <r>
    <s v="USR-101121"/>
    <d v="2025-03-02T00:00:00"/>
    <x v="1"/>
    <x v="2"/>
    <x v="1"/>
    <x v="2"/>
    <x v="1"/>
    <n v="1"/>
    <n v="0"/>
    <n v="0"/>
    <n v="0"/>
    <n v="0"/>
    <n v="0"/>
    <n v="0"/>
    <m/>
    <n v="80.3"/>
    <m/>
    <s v="Unique"/>
    <s v="Valid"/>
  </r>
  <r>
    <s v="USR-101122"/>
    <d v="2025-03-19T00:00:00"/>
    <x v="1"/>
    <x v="3"/>
    <x v="2"/>
    <x v="1"/>
    <x v="0"/>
    <n v="1"/>
    <n v="0"/>
    <n v="0"/>
    <n v="0"/>
    <n v="0"/>
    <n v="0"/>
    <n v="0"/>
    <m/>
    <n v="44.4"/>
    <m/>
    <s v="Unique"/>
    <s v="Valid"/>
  </r>
  <r>
    <s v="USR-101123"/>
    <d v="2025-01-20T00:00:00"/>
    <x v="1"/>
    <x v="3"/>
    <x v="0"/>
    <x v="1"/>
    <x v="0"/>
    <n v="0"/>
    <n v="0"/>
    <n v="0"/>
    <n v="0"/>
    <n v="0"/>
    <n v="0"/>
    <n v="0"/>
    <m/>
    <n v="51.9"/>
    <m/>
    <s v="Unique"/>
    <s v="Valid"/>
  </r>
  <r>
    <s v="USR-101124"/>
    <d v="2025-04-03T00:00:00"/>
    <x v="1"/>
    <x v="2"/>
    <x v="1"/>
    <x v="2"/>
    <x v="1"/>
    <n v="1"/>
    <n v="1"/>
    <n v="0"/>
    <n v="0"/>
    <n v="0"/>
    <n v="0"/>
    <n v="0"/>
    <m/>
    <n v="49.8"/>
    <m/>
    <s v="Unique"/>
    <s v="Valid"/>
  </r>
  <r>
    <s v="USR-101125"/>
    <d v="2025-01-11T00:00:00"/>
    <x v="1"/>
    <x v="2"/>
    <x v="0"/>
    <x v="4"/>
    <x v="1"/>
    <n v="1"/>
    <n v="1"/>
    <n v="1"/>
    <n v="0"/>
    <n v="0"/>
    <n v="3"/>
    <n v="0"/>
    <m/>
    <n v="62.1"/>
    <m/>
    <s v="Unique"/>
    <s v="Valid"/>
  </r>
  <r>
    <s v="USR-101126"/>
    <d v="2025-02-02T00:00:00"/>
    <x v="1"/>
    <x v="1"/>
    <x v="0"/>
    <x v="4"/>
    <x v="0"/>
    <n v="1"/>
    <n v="0"/>
    <n v="0"/>
    <n v="0"/>
    <n v="0"/>
    <n v="0"/>
    <n v="0"/>
    <m/>
    <n v="91.3"/>
    <m/>
    <s v="Unique"/>
    <s v="Valid"/>
  </r>
  <r>
    <s v="USR-101127"/>
    <d v="2025-04-01T00:00:00"/>
    <x v="1"/>
    <x v="3"/>
    <x v="1"/>
    <x v="1"/>
    <x v="0"/>
    <n v="1"/>
    <n v="0"/>
    <n v="0"/>
    <n v="0"/>
    <n v="0"/>
    <n v="0"/>
    <n v="0"/>
    <m/>
    <n v="66.400000000000006"/>
    <m/>
    <s v="Unique"/>
    <s v="Valid"/>
  </r>
  <r>
    <s v="USR-101128"/>
    <d v="2025-05-22T00:00:00"/>
    <x v="1"/>
    <x v="2"/>
    <x v="1"/>
    <x v="1"/>
    <x v="0"/>
    <n v="1"/>
    <n v="0"/>
    <n v="0"/>
    <n v="0"/>
    <n v="0"/>
    <n v="0"/>
    <n v="0"/>
    <m/>
    <n v="41.5"/>
    <m/>
    <s v="Unique"/>
    <s v="Valid"/>
  </r>
  <r>
    <s v="USR-101129"/>
    <d v="2025-02-20T00:00:00"/>
    <x v="1"/>
    <x v="1"/>
    <x v="1"/>
    <x v="1"/>
    <x v="0"/>
    <n v="0"/>
    <n v="0"/>
    <n v="0"/>
    <n v="0"/>
    <n v="0"/>
    <n v="0"/>
    <n v="0"/>
    <m/>
    <n v="77.099999999999994"/>
    <m/>
    <s v="Unique"/>
    <s v="Valid"/>
  </r>
  <r>
    <s v="USR-101130"/>
    <d v="2025-03-21T00:00:00"/>
    <x v="1"/>
    <x v="1"/>
    <x v="1"/>
    <x v="1"/>
    <x v="1"/>
    <n v="1"/>
    <n v="0"/>
    <n v="0"/>
    <n v="0"/>
    <n v="0"/>
    <n v="0"/>
    <n v="0"/>
    <m/>
    <n v="63.2"/>
    <m/>
    <s v="Unique"/>
    <s v="Valid"/>
  </r>
  <r>
    <s v="USR-101131"/>
    <d v="2025-05-01T00:00:00"/>
    <x v="1"/>
    <x v="1"/>
    <x v="0"/>
    <x v="3"/>
    <x v="1"/>
    <n v="1"/>
    <n v="1"/>
    <n v="1"/>
    <n v="0"/>
    <n v="0"/>
    <n v="3"/>
    <n v="0"/>
    <m/>
    <n v="75.7"/>
    <m/>
    <s v="Unique"/>
    <s v="Valid"/>
  </r>
  <r>
    <s v="USR-101132"/>
    <d v="2025-01-06T00:00:00"/>
    <x v="1"/>
    <x v="1"/>
    <x v="1"/>
    <x v="2"/>
    <x v="0"/>
    <n v="0"/>
    <n v="0"/>
    <n v="0"/>
    <n v="0"/>
    <n v="0"/>
    <n v="0"/>
    <n v="0"/>
    <m/>
    <n v="62.9"/>
    <m/>
    <s v="Unique"/>
    <s v="Valid"/>
  </r>
  <r>
    <s v="USR-101133"/>
    <d v="2025-04-12T00:00:00"/>
    <x v="1"/>
    <x v="0"/>
    <x v="0"/>
    <x v="2"/>
    <x v="2"/>
    <n v="1"/>
    <n v="0"/>
    <n v="0"/>
    <n v="0"/>
    <n v="0"/>
    <n v="3"/>
    <n v="0"/>
    <m/>
    <n v="64.599999999999994"/>
    <m/>
    <s v="Unique"/>
    <s v="Valid"/>
  </r>
  <r>
    <s v="USR-101134"/>
    <d v="2025-04-18T00:00:00"/>
    <x v="1"/>
    <x v="0"/>
    <x v="1"/>
    <x v="5"/>
    <x v="0"/>
    <n v="1"/>
    <n v="0"/>
    <n v="0"/>
    <n v="0"/>
    <n v="0"/>
    <n v="0"/>
    <n v="0"/>
    <m/>
    <n v="76.599999999999994"/>
    <m/>
    <s v="Unique"/>
    <s v="Valid"/>
  </r>
  <r>
    <s v="USR-101135"/>
    <d v="2025-03-24T00:00:00"/>
    <x v="1"/>
    <x v="2"/>
    <x v="1"/>
    <x v="4"/>
    <x v="0"/>
    <n v="1"/>
    <n v="0"/>
    <n v="0"/>
    <n v="0"/>
    <n v="0"/>
    <n v="0"/>
    <n v="0"/>
    <m/>
    <n v="74.8"/>
    <m/>
    <s v="Unique"/>
    <s v="Valid"/>
  </r>
  <r>
    <s v="USR-101136"/>
    <d v="2025-03-18T00:00:00"/>
    <x v="1"/>
    <x v="2"/>
    <x v="0"/>
    <x v="0"/>
    <x v="2"/>
    <n v="1"/>
    <n v="0"/>
    <n v="0"/>
    <n v="0"/>
    <n v="0"/>
    <n v="2"/>
    <n v="0"/>
    <m/>
    <n v="38.1"/>
    <m/>
    <s v="Unique"/>
    <s v="Valid"/>
  </r>
  <r>
    <s v="USR-101137"/>
    <d v="2025-04-30T00:00:00"/>
    <x v="1"/>
    <x v="3"/>
    <x v="2"/>
    <x v="2"/>
    <x v="0"/>
    <n v="1"/>
    <n v="1"/>
    <n v="0"/>
    <n v="0"/>
    <n v="0"/>
    <n v="0"/>
    <n v="0"/>
    <m/>
    <n v="60.2"/>
    <m/>
    <s v="Unique"/>
    <s v="Valid"/>
  </r>
  <r>
    <s v="USR-101138"/>
    <d v="2025-01-25T00:00:00"/>
    <x v="1"/>
    <x v="1"/>
    <x v="1"/>
    <x v="0"/>
    <x v="1"/>
    <n v="1"/>
    <n v="1"/>
    <n v="0"/>
    <n v="0"/>
    <n v="0"/>
    <n v="0"/>
    <n v="0"/>
    <m/>
    <n v="73.5"/>
    <m/>
    <s v="Unique"/>
    <s v="Valid"/>
  </r>
  <r>
    <s v="USR-101139"/>
    <d v="2025-04-10T00:00:00"/>
    <x v="1"/>
    <x v="3"/>
    <x v="1"/>
    <x v="1"/>
    <x v="1"/>
    <n v="1"/>
    <n v="0"/>
    <n v="0"/>
    <n v="0"/>
    <n v="0"/>
    <n v="0"/>
    <n v="0"/>
    <m/>
    <n v="70.900000000000006"/>
    <m/>
    <s v="Unique"/>
    <s v="Valid"/>
  </r>
  <r>
    <s v="USR-101140"/>
    <d v="2025-01-10T00:00:00"/>
    <x v="1"/>
    <x v="1"/>
    <x v="1"/>
    <x v="4"/>
    <x v="1"/>
    <n v="1"/>
    <n v="0"/>
    <n v="0"/>
    <n v="0"/>
    <n v="0"/>
    <n v="0"/>
    <n v="0"/>
    <m/>
    <n v="63.7"/>
    <m/>
    <s v="Unique"/>
    <s v="Valid"/>
  </r>
  <r>
    <s v="USR-101141"/>
    <d v="2025-02-11T00:00:00"/>
    <x v="1"/>
    <x v="3"/>
    <x v="1"/>
    <x v="2"/>
    <x v="1"/>
    <n v="1"/>
    <n v="0"/>
    <n v="0"/>
    <n v="0"/>
    <n v="0"/>
    <n v="0"/>
    <n v="0"/>
    <m/>
    <n v="86.5"/>
    <m/>
    <s v="Unique"/>
    <s v="Valid"/>
  </r>
  <r>
    <s v="USR-101142"/>
    <d v="2025-05-01T00:00:00"/>
    <x v="1"/>
    <x v="2"/>
    <x v="1"/>
    <x v="4"/>
    <x v="0"/>
    <n v="1"/>
    <n v="1"/>
    <n v="1"/>
    <n v="1"/>
    <n v="921.72"/>
    <n v="3"/>
    <n v="0"/>
    <n v="7"/>
    <n v="74.599999999999994"/>
    <m/>
    <s v="Unique"/>
    <s v="Valid"/>
  </r>
  <r>
    <s v="USR-101143"/>
    <d v="2025-01-18T00:00:00"/>
    <x v="1"/>
    <x v="2"/>
    <x v="1"/>
    <x v="1"/>
    <x v="1"/>
    <n v="1"/>
    <n v="0"/>
    <n v="0"/>
    <n v="0"/>
    <n v="0"/>
    <n v="0"/>
    <n v="0"/>
    <m/>
    <n v="46.6"/>
    <m/>
    <s v="Unique"/>
    <s v="Valid"/>
  </r>
  <r>
    <s v="USR-101144"/>
    <d v="2025-01-02T00:00:00"/>
    <x v="1"/>
    <x v="0"/>
    <x v="1"/>
    <x v="2"/>
    <x v="1"/>
    <n v="0"/>
    <n v="0"/>
    <n v="0"/>
    <n v="0"/>
    <n v="0"/>
    <n v="0"/>
    <n v="0"/>
    <m/>
    <n v="61.2"/>
    <m/>
    <s v="Unique"/>
    <s v="Valid"/>
  </r>
  <r>
    <s v="USR-101145"/>
    <d v="2025-05-11T00:00:00"/>
    <x v="1"/>
    <x v="1"/>
    <x v="1"/>
    <x v="1"/>
    <x v="1"/>
    <n v="1"/>
    <n v="1"/>
    <n v="1"/>
    <n v="1"/>
    <n v="290.39"/>
    <n v="0"/>
    <n v="0"/>
    <n v="4"/>
    <n v="54.4"/>
    <m/>
    <s v="Unique"/>
    <s v="Valid"/>
  </r>
  <r>
    <s v="USR-101146"/>
    <d v="2025-03-22T00:00:00"/>
    <x v="1"/>
    <x v="0"/>
    <x v="1"/>
    <x v="3"/>
    <x v="1"/>
    <n v="1"/>
    <n v="1"/>
    <n v="1"/>
    <n v="0"/>
    <n v="0"/>
    <n v="0"/>
    <n v="0"/>
    <m/>
    <n v="72"/>
    <m/>
    <s v="Unique"/>
    <s v="Valid"/>
  </r>
  <r>
    <s v="USR-101147"/>
    <d v="2025-05-02T00:00:00"/>
    <x v="1"/>
    <x v="3"/>
    <x v="1"/>
    <x v="4"/>
    <x v="2"/>
    <n v="1"/>
    <n v="1"/>
    <n v="1"/>
    <n v="1"/>
    <n v="1858.85"/>
    <n v="0"/>
    <n v="0"/>
    <n v="8"/>
    <n v="88.6"/>
    <m/>
    <s v="Unique"/>
    <s v="Valid"/>
  </r>
  <r>
    <s v="USR-101148"/>
    <d v="2025-05-26T00:00:00"/>
    <x v="1"/>
    <x v="2"/>
    <x v="0"/>
    <x v="5"/>
    <x v="0"/>
    <n v="1"/>
    <n v="0"/>
    <n v="0"/>
    <n v="0"/>
    <n v="0"/>
    <n v="0"/>
    <n v="0"/>
    <m/>
    <n v="77.599999999999994"/>
    <m/>
    <s v="Unique"/>
    <s v="Valid"/>
  </r>
  <r>
    <s v="USR-101149"/>
    <d v="2025-03-13T00:00:00"/>
    <x v="1"/>
    <x v="3"/>
    <x v="1"/>
    <x v="1"/>
    <x v="0"/>
    <n v="1"/>
    <n v="0"/>
    <n v="0"/>
    <n v="0"/>
    <n v="0"/>
    <n v="1"/>
    <n v="0"/>
    <m/>
    <n v="44.3"/>
    <m/>
    <s v="Unique"/>
    <s v="Valid"/>
  </r>
  <r>
    <s v="USR-101150"/>
    <d v="2025-05-17T00:00:00"/>
    <x v="1"/>
    <x v="3"/>
    <x v="0"/>
    <x v="2"/>
    <x v="1"/>
    <n v="1"/>
    <n v="1"/>
    <n v="0"/>
    <n v="0"/>
    <n v="0"/>
    <n v="0"/>
    <n v="0"/>
    <m/>
    <n v="49"/>
    <m/>
    <s v="Unique"/>
    <s v="Valid"/>
  </r>
  <r>
    <s v="USR-101151"/>
    <d v="2025-03-13T00:00:00"/>
    <x v="1"/>
    <x v="0"/>
    <x v="0"/>
    <x v="3"/>
    <x v="2"/>
    <n v="1"/>
    <n v="0"/>
    <n v="0"/>
    <n v="0"/>
    <n v="0"/>
    <n v="0"/>
    <n v="0"/>
    <m/>
    <n v="53.9"/>
    <m/>
    <s v="Unique"/>
    <s v="Valid"/>
  </r>
  <r>
    <s v="USR-101152"/>
    <d v="2025-02-11T00:00:00"/>
    <x v="1"/>
    <x v="2"/>
    <x v="0"/>
    <x v="1"/>
    <x v="0"/>
    <n v="1"/>
    <n v="0"/>
    <n v="0"/>
    <n v="0"/>
    <n v="0"/>
    <n v="1"/>
    <n v="0"/>
    <m/>
    <n v="69"/>
    <m/>
    <s v="Unique"/>
    <s v="Valid"/>
  </r>
  <r>
    <s v="USR-101153"/>
    <d v="2025-03-01T00:00:00"/>
    <x v="1"/>
    <x v="1"/>
    <x v="1"/>
    <x v="4"/>
    <x v="1"/>
    <n v="0"/>
    <n v="0"/>
    <n v="0"/>
    <n v="0"/>
    <n v="0"/>
    <n v="0"/>
    <n v="0"/>
    <m/>
    <n v="37.4"/>
    <m/>
    <s v="Unique"/>
    <s v="Valid"/>
  </r>
  <r>
    <s v="USR-101154"/>
    <d v="2025-04-15T00:00:00"/>
    <x v="1"/>
    <x v="1"/>
    <x v="1"/>
    <x v="1"/>
    <x v="0"/>
    <n v="0"/>
    <n v="0"/>
    <n v="0"/>
    <n v="0"/>
    <n v="0"/>
    <n v="0"/>
    <n v="0"/>
    <m/>
    <n v="59"/>
    <m/>
    <s v="Unique"/>
    <s v="Valid"/>
  </r>
  <r>
    <s v="USR-101155"/>
    <d v="2025-02-02T00:00:00"/>
    <x v="1"/>
    <x v="2"/>
    <x v="1"/>
    <x v="1"/>
    <x v="2"/>
    <n v="1"/>
    <n v="0"/>
    <n v="0"/>
    <n v="0"/>
    <n v="0"/>
    <n v="0"/>
    <n v="0"/>
    <m/>
    <n v="60.8"/>
    <m/>
    <s v="Unique"/>
    <s v="Valid"/>
  </r>
  <r>
    <s v="USR-101156"/>
    <d v="2025-05-19T00:00:00"/>
    <x v="1"/>
    <x v="3"/>
    <x v="1"/>
    <x v="0"/>
    <x v="1"/>
    <n v="1"/>
    <n v="0"/>
    <n v="0"/>
    <n v="0"/>
    <n v="0"/>
    <n v="0"/>
    <n v="0"/>
    <m/>
    <n v="57.5"/>
    <m/>
    <s v="Unique"/>
    <s v="Valid"/>
  </r>
  <r>
    <s v="USR-101157"/>
    <d v="2025-01-05T00:00:00"/>
    <x v="1"/>
    <x v="1"/>
    <x v="1"/>
    <x v="3"/>
    <x v="1"/>
    <n v="0"/>
    <n v="0"/>
    <n v="0"/>
    <n v="0"/>
    <n v="0"/>
    <n v="0"/>
    <n v="0"/>
    <m/>
    <n v="84.2"/>
    <m/>
    <s v="Unique"/>
    <s v="Valid"/>
  </r>
  <r>
    <s v="USR-101158"/>
    <d v="2025-03-08T00:00:00"/>
    <x v="1"/>
    <x v="3"/>
    <x v="1"/>
    <x v="2"/>
    <x v="1"/>
    <n v="1"/>
    <n v="1"/>
    <n v="0"/>
    <n v="0"/>
    <n v="0"/>
    <n v="0"/>
    <n v="0"/>
    <m/>
    <n v="27.4"/>
    <m/>
    <s v="Unique"/>
    <s v="Valid"/>
  </r>
  <r>
    <s v="USR-101159"/>
    <d v="2025-03-12T00:00:00"/>
    <x v="1"/>
    <x v="1"/>
    <x v="1"/>
    <x v="0"/>
    <x v="0"/>
    <n v="1"/>
    <n v="0"/>
    <n v="0"/>
    <n v="0"/>
    <n v="0"/>
    <n v="1"/>
    <n v="0"/>
    <m/>
    <n v="67.599999999999994"/>
    <m/>
    <s v="Unique"/>
    <s v="Valid"/>
  </r>
  <r>
    <s v="USR-101160"/>
    <d v="2025-01-24T00:00:00"/>
    <x v="1"/>
    <x v="1"/>
    <x v="1"/>
    <x v="1"/>
    <x v="1"/>
    <n v="0"/>
    <n v="0"/>
    <n v="0"/>
    <n v="0"/>
    <n v="0"/>
    <n v="0"/>
    <n v="0"/>
    <m/>
    <n v="68.400000000000006"/>
    <m/>
    <s v="Unique"/>
    <s v="Valid"/>
  </r>
  <r>
    <s v="USR-101161"/>
    <d v="2025-05-22T00:00:00"/>
    <x v="1"/>
    <x v="3"/>
    <x v="1"/>
    <x v="2"/>
    <x v="0"/>
    <n v="1"/>
    <n v="1"/>
    <n v="1"/>
    <n v="0"/>
    <n v="0"/>
    <n v="0"/>
    <n v="0"/>
    <m/>
    <n v="66.5"/>
    <m/>
    <s v="Unique"/>
    <s v="Valid"/>
  </r>
  <r>
    <s v="USR-101162"/>
    <d v="2025-03-27T00:00:00"/>
    <x v="1"/>
    <x v="3"/>
    <x v="1"/>
    <x v="2"/>
    <x v="1"/>
    <n v="1"/>
    <n v="0"/>
    <n v="0"/>
    <n v="0"/>
    <n v="0"/>
    <n v="0"/>
    <n v="0"/>
    <m/>
    <n v="38.200000000000003"/>
    <m/>
    <s v="Unique"/>
    <s v="Valid"/>
  </r>
  <r>
    <s v="USR-101163"/>
    <d v="2025-01-02T00:00:00"/>
    <x v="1"/>
    <x v="1"/>
    <x v="1"/>
    <x v="4"/>
    <x v="1"/>
    <n v="0"/>
    <n v="0"/>
    <n v="0"/>
    <n v="0"/>
    <n v="0"/>
    <n v="1"/>
    <n v="0"/>
    <m/>
    <n v="66.7"/>
    <m/>
    <s v="Unique"/>
    <s v="Valid"/>
  </r>
  <r>
    <s v="USR-101164"/>
    <d v="2025-02-24T00:00:00"/>
    <x v="1"/>
    <x v="0"/>
    <x v="1"/>
    <x v="2"/>
    <x v="1"/>
    <n v="0"/>
    <n v="0"/>
    <n v="0"/>
    <n v="0"/>
    <n v="0"/>
    <n v="1"/>
    <n v="0"/>
    <m/>
    <n v="73.7"/>
    <m/>
    <s v="Unique"/>
    <s v="Valid"/>
  </r>
  <r>
    <s v="USR-101165"/>
    <d v="2025-03-01T00:00:00"/>
    <x v="1"/>
    <x v="1"/>
    <x v="0"/>
    <x v="1"/>
    <x v="0"/>
    <n v="1"/>
    <n v="1"/>
    <n v="1"/>
    <n v="0"/>
    <n v="0"/>
    <n v="0"/>
    <n v="0"/>
    <m/>
    <n v="63.9"/>
    <m/>
    <s v="Unique"/>
    <s v="Valid"/>
  </r>
  <r>
    <s v="USR-101166"/>
    <d v="2025-03-26T00:00:00"/>
    <x v="1"/>
    <x v="3"/>
    <x v="2"/>
    <x v="1"/>
    <x v="0"/>
    <n v="1"/>
    <n v="0"/>
    <n v="0"/>
    <n v="0"/>
    <n v="0"/>
    <n v="1"/>
    <n v="0"/>
    <m/>
    <n v="82.6"/>
    <m/>
    <s v="Unique"/>
    <s v="Valid"/>
  </r>
  <r>
    <s v="USR-101167"/>
    <d v="2025-05-25T00:00:00"/>
    <x v="1"/>
    <x v="2"/>
    <x v="1"/>
    <x v="2"/>
    <x v="1"/>
    <n v="0"/>
    <n v="0"/>
    <n v="0"/>
    <n v="0"/>
    <n v="0"/>
    <n v="1"/>
    <n v="0"/>
    <m/>
    <n v="58.3"/>
    <m/>
    <s v="Unique"/>
    <s v="Valid"/>
  </r>
  <r>
    <s v="USR-101168"/>
    <d v="2025-02-25T00:00:00"/>
    <x v="1"/>
    <x v="1"/>
    <x v="1"/>
    <x v="3"/>
    <x v="2"/>
    <n v="1"/>
    <n v="1"/>
    <n v="1"/>
    <n v="1"/>
    <n v="1547.06"/>
    <n v="0"/>
    <n v="1"/>
    <n v="2"/>
    <n v="72.900000000000006"/>
    <m/>
    <s v="Unique"/>
    <s v="Valid"/>
  </r>
  <r>
    <s v="USR-101169"/>
    <d v="2025-03-23T00:00:00"/>
    <x v="1"/>
    <x v="3"/>
    <x v="1"/>
    <x v="4"/>
    <x v="1"/>
    <n v="1"/>
    <n v="1"/>
    <n v="1"/>
    <n v="0"/>
    <n v="0"/>
    <n v="2"/>
    <n v="0"/>
    <m/>
    <n v="53.5"/>
    <m/>
    <s v="Unique"/>
    <s v="Valid"/>
  </r>
  <r>
    <s v="USR-101170"/>
    <d v="2025-04-21T00:00:00"/>
    <x v="1"/>
    <x v="1"/>
    <x v="1"/>
    <x v="3"/>
    <x v="1"/>
    <n v="1"/>
    <n v="0"/>
    <n v="0"/>
    <n v="0"/>
    <n v="0"/>
    <n v="0"/>
    <n v="0"/>
    <m/>
    <n v="54.8"/>
    <m/>
    <s v="Unique"/>
    <s v="Valid"/>
  </r>
  <r>
    <s v="USR-101171"/>
    <d v="2025-05-21T00:00:00"/>
    <x v="1"/>
    <x v="0"/>
    <x v="1"/>
    <x v="1"/>
    <x v="2"/>
    <n v="1"/>
    <n v="0"/>
    <n v="0"/>
    <n v="0"/>
    <n v="0"/>
    <n v="0"/>
    <n v="0"/>
    <m/>
    <n v="69.5"/>
    <m/>
    <s v="Unique"/>
    <s v="Valid"/>
  </r>
  <r>
    <s v="USR-101172"/>
    <d v="2025-04-25T00:00:00"/>
    <x v="1"/>
    <x v="0"/>
    <x v="0"/>
    <x v="4"/>
    <x v="1"/>
    <n v="1"/>
    <n v="0"/>
    <n v="0"/>
    <n v="0"/>
    <n v="0"/>
    <n v="1"/>
    <n v="0"/>
    <m/>
    <n v="71.3"/>
    <m/>
    <s v="Unique"/>
    <s v="Valid"/>
  </r>
  <r>
    <s v="USR-101173"/>
    <d v="2025-05-23T00:00:00"/>
    <x v="1"/>
    <x v="1"/>
    <x v="1"/>
    <x v="3"/>
    <x v="0"/>
    <n v="1"/>
    <n v="0"/>
    <n v="0"/>
    <n v="0"/>
    <n v="0"/>
    <n v="1"/>
    <n v="0"/>
    <m/>
    <n v="57.5"/>
    <m/>
    <s v="Unique"/>
    <s v="Valid"/>
  </r>
  <r>
    <s v="USR-101174"/>
    <d v="2025-03-18T00:00:00"/>
    <x v="1"/>
    <x v="3"/>
    <x v="1"/>
    <x v="0"/>
    <x v="1"/>
    <n v="1"/>
    <n v="0"/>
    <n v="0"/>
    <n v="0"/>
    <n v="0"/>
    <n v="4"/>
    <n v="0"/>
    <m/>
    <n v="50.9"/>
    <m/>
    <s v="Unique"/>
    <s v="Valid"/>
  </r>
  <r>
    <s v="USR-101175"/>
    <d v="2025-01-03T00:00:00"/>
    <x v="1"/>
    <x v="3"/>
    <x v="2"/>
    <x v="1"/>
    <x v="1"/>
    <n v="1"/>
    <n v="1"/>
    <n v="1"/>
    <n v="0"/>
    <n v="0"/>
    <n v="0"/>
    <n v="0"/>
    <m/>
    <n v="69.3"/>
    <m/>
    <s v="Unique"/>
    <s v="Valid"/>
  </r>
  <r>
    <s v="USR-101176"/>
    <d v="2025-02-08T00:00:00"/>
    <x v="1"/>
    <x v="1"/>
    <x v="0"/>
    <x v="1"/>
    <x v="1"/>
    <n v="1"/>
    <n v="0"/>
    <n v="0"/>
    <n v="0"/>
    <n v="0"/>
    <n v="0"/>
    <n v="0"/>
    <m/>
    <n v="50.1"/>
    <m/>
    <s v="Unique"/>
    <s v="Valid"/>
  </r>
  <r>
    <s v="USR-101177"/>
    <d v="2025-02-04T00:00:00"/>
    <x v="1"/>
    <x v="2"/>
    <x v="3"/>
    <x v="2"/>
    <x v="0"/>
    <n v="0"/>
    <n v="0"/>
    <n v="0"/>
    <n v="0"/>
    <n v="0"/>
    <n v="0"/>
    <n v="0"/>
    <m/>
    <n v="69.7"/>
    <m/>
    <s v="Unique"/>
    <s v="Valid"/>
  </r>
  <r>
    <s v="USR-101178"/>
    <d v="2025-01-16T00:00:00"/>
    <x v="1"/>
    <x v="0"/>
    <x v="1"/>
    <x v="2"/>
    <x v="1"/>
    <n v="0"/>
    <n v="0"/>
    <n v="0"/>
    <n v="0"/>
    <n v="0"/>
    <n v="0"/>
    <n v="0"/>
    <m/>
    <n v="63.5"/>
    <m/>
    <s v="Unique"/>
    <s v="Valid"/>
  </r>
  <r>
    <s v="USR-101179"/>
    <d v="2025-04-04T00:00:00"/>
    <x v="1"/>
    <x v="1"/>
    <x v="0"/>
    <x v="2"/>
    <x v="1"/>
    <n v="1"/>
    <n v="1"/>
    <n v="1"/>
    <n v="1"/>
    <n v="265.58999999999997"/>
    <n v="1"/>
    <n v="0"/>
    <n v="8"/>
    <n v="80.400000000000006"/>
    <m/>
    <s v="Unique"/>
    <s v="Valid"/>
  </r>
  <r>
    <s v="USR-101180"/>
    <d v="2025-01-23T00:00:00"/>
    <x v="1"/>
    <x v="0"/>
    <x v="0"/>
    <x v="2"/>
    <x v="1"/>
    <n v="0"/>
    <n v="0"/>
    <n v="0"/>
    <n v="0"/>
    <n v="0"/>
    <n v="0"/>
    <n v="0"/>
    <m/>
    <n v="58.9"/>
    <m/>
    <s v="Unique"/>
    <s v="Valid"/>
  </r>
  <r>
    <s v="USR-101181"/>
    <d v="2025-03-22T00:00:00"/>
    <x v="1"/>
    <x v="3"/>
    <x v="0"/>
    <x v="2"/>
    <x v="1"/>
    <n v="1"/>
    <n v="0"/>
    <n v="0"/>
    <n v="0"/>
    <n v="0"/>
    <n v="0"/>
    <n v="0"/>
    <m/>
    <n v="56.8"/>
    <m/>
    <s v="Unique"/>
    <s v="Valid"/>
  </r>
  <r>
    <s v="USR-101182"/>
    <d v="2025-02-02T00:00:00"/>
    <x v="1"/>
    <x v="2"/>
    <x v="2"/>
    <x v="4"/>
    <x v="2"/>
    <n v="0"/>
    <n v="0"/>
    <n v="0"/>
    <n v="0"/>
    <n v="0"/>
    <n v="0"/>
    <n v="0"/>
    <m/>
    <n v="73.900000000000006"/>
    <m/>
    <s v="Unique"/>
    <s v="Valid"/>
  </r>
  <r>
    <s v="USR-101183"/>
    <d v="2025-01-31T00:00:00"/>
    <x v="1"/>
    <x v="0"/>
    <x v="0"/>
    <x v="2"/>
    <x v="1"/>
    <n v="0"/>
    <n v="0"/>
    <n v="0"/>
    <n v="0"/>
    <n v="0"/>
    <n v="0"/>
    <n v="0"/>
    <m/>
    <n v="76.3"/>
    <m/>
    <s v="Unique"/>
    <s v="Valid"/>
  </r>
  <r>
    <s v="USR-101184"/>
    <d v="2025-05-27T00:00:00"/>
    <x v="1"/>
    <x v="1"/>
    <x v="1"/>
    <x v="1"/>
    <x v="0"/>
    <n v="1"/>
    <n v="0"/>
    <n v="0"/>
    <n v="0"/>
    <n v="0"/>
    <n v="0"/>
    <n v="0"/>
    <m/>
    <n v="56.9"/>
    <m/>
    <s v="Unique"/>
    <s v="Valid"/>
  </r>
  <r>
    <s v="USR-101185"/>
    <d v="2025-05-07T00:00:00"/>
    <x v="1"/>
    <x v="0"/>
    <x v="1"/>
    <x v="1"/>
    <x v="2"/>
    <n v="1"/>
    <n v="0"/>
    <n v="0"/>
    <n v="0"/>
    <n v="0"/>
    <n v="2"/>
    <n v="0"/>
    <m/>
    <n v="49.4"/>
    <m/>
    <s v="Unique"/>
    <s v="Valid"/>
  </r>
  <r>
    <s v="USR-101186"/>
    <d v="2025-05-08T00:00:00"/>
    <x v="1"/>
    <x v="0"/>
    <x v="0"/>
    <x v="2"/>
    <x v="0"/>
    <n v="1"/>
    <n v="0"/>
    <n v="0"/>
    <n v="0"/>
    <n v="0"/>
    <n v="0"/>
    <n v="0"/>
    <m/>
    <n v="86.7"/>
    <m/>
    <s v="Unique"/>
    <s v="Valid"/>
  </r>
  <r>
    <s v="USR-101187"/>
    <d v="2025-01-15T00:00:00"/>
    <x v="1"/>
    <x v="1"/>
    <x v="0"/>
    <x v="0"/>
    <x v="1"/>
    <n v="1"/>
    <n v="0"/>
    <n v="0"/>
    <n v="0"/>
    <n v="0"/>
    <n v="3"/>
    <n v="0"/>
    <m/>
    <n v="69"/>
    <m/>
    <s v="Unique"/>
    <s v="Valid"/>
  </r>
  <r>
    <s v="USR-101188"/>
    <d v="2025-01-18T00:00:00"/>
    <x v="1"/>
    <x v="0"/>
    <x v="1"/>
    <x v="2"/>
    <x v="1"/>
    <n v="0"/>
    <n v="0"/>
    <n v="0"/>
    <n v="0"/>
    <n v="0"/>
    <n v="0"/>
    <n v="0"/>
    <m/>
    <n v="84.5"/>
    <m/>
    <s v="Unique"/>
    <s v="Valid"/>
  </r>
  <r>
    <s v="USR-101189"/>
    <d v="2025-04-16T00:00:00"/>
    <x v="1"/>
    <x v="2"/>
    <x v="3"/>
    <x v="3"/>
    <x v="1"/>
    <n v="1"/>
    <n v="0"/>
    <n v="0"/>
    <n v="0"/>
    <n v="0"/>
    <n v="0"/>
    <n v="0"/>
    <m/>
    <n v="66.3"/>
    <m/>
    <s v="Unique"/>
    <s v="Valid"/>
  </r>
  <r>
    <s v="USR-101190"/>
    <d v="2025-02-16T00:00:00"/>
    <x v="1"/>
    <x v="2"/>
    <x v="0"/>
    <x v="2"/>
    <x v="1"/>
    <n v="0"/>
    <n v="0"/>
    <n v="0"/>
    <n v="0"/>
    <n v="0"/>
    <n v="0"/>
    <n v="0"/>
    <m/>
    <n v="52.2"/>
    <m/>
    <s v="Unique"/>
    <s v="Valid"/>
  </r>
  <r>
    <s v="USR-101191"/>
    <d v="2025-04-17T00:00:00"/>
    <x v="1"/>
    <x v="3"/>
    <x v="0"/>
    <x v="3"/>
    <x v="2"/>
    <n v="1"/>
    <n v="1"/>
    <n v="1"/>
    <n v="0"/>
    <n v="0"/>
    <n v="0"/>
    <n v="0"/>
    <m/>
    <n v="81.2"/>
    <m/>
    <s v="Unique"/>
    <s v="Valid"/>
  </r>
  <r>
    <s v="USR-101192"/>
    <d v="2025-04-30T00:00:00"/>
    <x v="1"/>
    <x v="3"/>
    <x v="1"/>
    <x v="1"/>
    <x v="0"/>
    <n v="0"/>
    <n v="0"/>
    <n v="0"/>
    <n v="0"/>
    <n v="0"/>
    <n v="0"/>
    <n v="0"/>
    <m/>
    <n v="53.9"/>
    <m/>
    <s v="Unique"/>
    <s v="Valid"/>
  </r>
  <r>
    <s v="USR-101193"/>
    <d v="2025-01-29T00:00:00"/>
    <x v="1"/>
    <x v="1"/>
    <x v="1"/>
    <x v="4"/>
    <x v="2"/>
    <n v="0"/>
    <n v="0"/>
    <n v="0"/>
    <n v="0"/>
    <n v="0"/>
    <n v="0"/>
    <n v="0"/>
    <m/>
    <n v="39.1"/>
    <m/>
    <s v="Unique"/>
    <s v="Valid"/>
  </r>
  <r>
    <s v="USR-101194"/>
    <d v="2025-01-11T00:00:00"/>
    <x v="1"/>
    <x v="0"/>
    <x v="1"/>
    <x v="4"/>
    <x v="0"/>
    <n v="0"/>
    <n v="0"/>
    <n v="0"/>
    <n v="0"/>
    <n v="0"/>
    <n v="0"/>
    <n v="0"/>
    <m/>
    <n v="57.3"/>
    <m/>
    <s v="Unique"/>
    <s v="Valid"/>
  </r>
  <r>
    <s v="USR-101195"/>
    <d v="2025-04-08T00:00:00"/>
    <x v="1"/>
    <x v="2"/>
    <x v="0"/>
    <x v="2"/>
    <x v="2"/>
    <n v="1"/>
    <n v="0"/>
    <n v="0"/>
    <n v="0"/>
    <n v="0"/>
    <n v="1"/>
    <n v="0"/>
    <m/>
    <n v="65.900000000000006"/>
    <m/>
    <s v="Unique"/>
    <s v="Valid"/>
  </r>
  <r>
    <s v="USR-101196"/>
    <d v="2025-02-22T00:00:00"/>
    <x v="1"/>
    <x v="0"/>
    <x v="3"/>
    <x v="4"/>
    <x v="1"/>
    <n v="1"/>
    <n v="0"/>
    <n v="0"/>
    <n v="0"/>
    <n v="0"/>
    <n v="1"/>
    <n v="0"/>
    <m/>
    <n v="34.200000000000003"/>
    <m/>
    <s v="Unique"/>
    <s v="Valid"/>
  </r>
  <r>
    <s v="USR-101197"/>
    <d v="2025-03-23T00:00:00"/>
    <x v="1"/>
    <x v="3"/>
    <x v="1"/>
    <x v="1"/>
    <x v="1"/>
    <n v="0"/>
    <n v="0"/>
    <n v="0"/>
    <n v="0"/>
    <n v="0"/>
    <n v="0"/>
    <n v="0"/>
    <m/>
    <n v="47.2"/>
    <m/>
    <s v="Unique"/>
    <s v="Valid"/>
  </r>
  <r>
    <s v="USR-101198"/>
    <d v="2025-05-23T00:00:00"/>
    <x v="1"/>
    <x v="3"/>
    <x v="2"/>
    <x v="2"/>
    <x v="1"/>
    <n v="1"/>
    <n v="0"/>
    <n v="0"/>
    <n v="0"/>
    <n v="0"/>
    <n v="1"/>
    <n v="0"/>
    <m/>
    <n v="55"/>
    <m/>
    <s v="Unique"/>
    <s v="Valid"/>
  </r>
  <r>
    <s v="USR-101199"/>
    <d v="2025-04-27T00:00:00"/>
    <x v="1"/>
    <x v="1"/>
    <x v="1"/>
    <x v="3"/>
    <x v="0"/>
    <n v="1"/>
    <n v="1"/>
    <n v="1"/>
    <n v="0"/>
    <n v="0"/>
    <n v="0"/>
    <n v="0"/>
    <m/>
    <n v="76.400000000000006"/>
    <m/>
    <s v="Unique"/>
    <s v="Valid"/>
  </r>
  <r>
    <s v="USR-101200"/>
    <d v="2025-05-26T00:00:00"/>
    <x v="1"/>
    <x v="0"/>
    <x v="1"/>
    <x v="3"/>
    <x v="1"/>
    <n v="1"/>
    <n v="0"/>
    <n v="0"/>
    <n v="0"/>
    <n v="0"/>
    <n v="0"/>
    <n v="0"/>
    <m/>
    <n v="70.8"/>
    <m/>
    <s v="Unique"/>
    <s v="Valid"/>
  </r>
  <r>
    <s v="USR-101201"/>
    <d v="2025-03-06T00:00:00"/>
    <x v="1"/>
    <x v="2"/>
    <x v="1"/>
    <x v="2"/>
    <x v="0"/>
    <n v="1"/>
    <n v="1"/>
    <n v="0"/>
    <n v="0"/>
    <n v="0"/>
    <n v="1"/>
    <n v="0"/>
    <m/>
    <n v="58"/>
    <m/>
    <s v="Unique"/>
    <s v="Valid"/>
  </r>
  <r>
    <s v="USR-101202"/>
    <d v="2025-04-03T00:00:00"/>
    <x v="1"/>
    <x v="1"/>
    <x v="1"/>
    <x v="1"/>
    <x v="0"/>
    <n v="1"/>
    <n v="1"/>
    <n v="1"/>
    <n v="0"/>
    <n v="0"/>
    <n v="1"/>
    <n v="0"/>
    <m/>
    <n v="70.8"/>
    <m/>
    <s v="Unique"/>
    <s v="Valid"/>
  </r>
  <r>
    <s v="USR-101203"/>
    <d v="2025-02-01T00:00:00"/>
    <x v="1"/>
    <x v="2"/>
    <x v="0"/>
    <x v="2"/>
    <x v="1"/>
    <n v="1"/>
    <n v="0"/>
    <n v="0"/>
    <n v="0"/>
    <n v="0"/>
    <n v="3"/>
    <n v="0"/>
    <m/>
    <n v="60"/>
    <m/>
    <s v="Unique"/>
    <s v="Valid"/>
  </r>
  <r>
    <s v="USR-101204"/>
    <d v="2025-05-01T00:00:00"/>
    <x v="1"/>
    <x v="1"/>
    <x v="1"/>
    <x v="3"/>
    <x v="2"/>
    <n v="1"/>
    <n v="1"/>
    <n v="1"/>
    <n v="0"/>
    <n v="0"/>
    <n v="3"/>
    <n v="0"/>
    <m/>
    <n v="58.1"/>
    <m/>
    <s v="Unique"/>
    <s v="Valid"/>
  </r>
  <r>
    <s v="USR-101205"/>
    <d v="2025-04-13T00:00:00"/>
    <x v="1"/>
    <x v="0"/>
    <x v="1"/>
    <x v="4"/>
    <x v="2"/>
    <n v="0"/>
    <n v="0"/>
    <n v="0"/>
    <n v="0"/>
    <n v="0"/>
    <n v="0"/>
    <n v="0"/>
    <m/>
    <n v="59.7"/>
    <m/>
    <s v="Unique"/>
    <s v="Valid"/>
  </r>
  <r>
    <s v="USR-101206"/>
    <d v="2025-01-25T00:00:00"/>
    <x v="1"/>
    <x v="2"/>
    <x v="1"/>
    <x v="4"/>
    <x v="1"/>
    <n v="0"/>
    <n v="0"/>
    <n v="0"/>
    <n v="0"/>
    <n v="0"/>
    <n v="0"/>
    <n v="0"/>
    <m/>
    <n v="47.7"/>
    <m/>
    <s v="Unique"/>
    <s v="Valid"/>
  </r>
  <r>
    <s v="USR-101207"/>
    <d v="2025-03-17T00:00:00"/>
    <x v="1"/>
    <x v="0"/>
    <x v="1"/>
    <x v="1"/>
    <x v="1"/>
    <n v="0"/>
    <n v="0"/>
    <n v="0"/>
    <n v="0"/>
    <n v="0"/>
    <n v="0"/>
    <n v="0"/>
    <m/>
    <n v="59.1"/>
    <m/>
    <s v="Unique"/>
    <s v="Valid"/>
  </r>
  <r>
    <s v="USR-101208"/>
    <d v="2025-02-21T00:00:00"/>
    <x v="1"/>
    <x v="1"/>
    <x v="0"/>
    <x v="4"/>
    <x v="0"/>
    <n v="1"/>
    <n v="0"/>
    <n v="0"/>
    <n v="0"/>
    <n v="0"/>
    <n v="1"/>
    <n v="0"/>
    <m/>
    <n v="68.7"/>
    <m/>
    <s v="Unique"/>
    <s v="Valid"/>
  </r>
  <r>
    <s v="USR-101209"/>
    <d v="2025-04-08T00:00:00"/>
    <x v="1"/>
    <x v="2"/>
    <x v="2"/>
    <x v="1"/>
    <x v="0"/>
    <n v="0"/>
    <n v="0"/>
    <n v="0"/>
    <n v="0"/>
    <n v="0"/>
    <n v="0"/>
    <n v="0"/>
    <m/>
    <n v="34.700000000000003"/>
    <m/>
    <s v="Unique"/>
    <s v="Valid"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m/>
    <s v="Duplicate"/>
    <s v="Valid"/>
  </r>
  <r>
    <s v="USR-101211"/>
    <d v="2025-05-29T00:00:00"/>
    <x v="1"/>
    <x v="3"/>
    <x v="1"/>
    <x v="1"/>
    <x v="1"/>
    <n v="1"/>
    <n v="1"/>
    <n v="0"/>
    <n v="0"/>
    <n v="0"/>
    <n v="0"/>
    <n v="0"/>
    <m/>
    <n v="56"/>
    <m/>
    <s v="Unique"/>
    <s v="Valid"/>
  </r>
  <r>
    <s v="USR-101212"/>
    <d v="2025-05-30T00:00:00"/>
    <x v="1"/>
    <x v="0"/>
    <x v="1"/>
    <x v="0"/>
    <x v="0"/>
    <n v="1"/>
    <n v="0"/>
    <n v="0"/>
    <n v="0"/>
    <n v="0"/>
    <n v="1"/>
    <n v="0"/>
    <m/>
    <n v="65.8"/>
    <m/>
    <s v="Unique"/>
    <s v="Valid"/>
  </r>
  <r>
    <s v="USR-101213"/>
    <d v="2025-01-24T00:00:00"/>
    <x v="1"/>
    <x v="0"/>
    <x v="0"/>
    <x v="1"/>
    <x v="2"/>
    <n v="0"/>
    <n v="0"/>
    <n v="0"/>
    <n v="0"/>
    <n v="0"/>
    <n v="0"/>
    <n v="0"/>
    <m/>
    <n v="54.7"/>
    <m/>
    <s v="Unique"/>
    <s v="Valid"/>
  </r>
  <r>
    <s v="USR-101214"/>
    <d v="2025-05-12T00:00:00"/>
    <x v="1"/>
    <x v="3"/>
    <x v="1"/>
    <x v="1"/>
    <x v="0"/>
    <n v="1"/>
    <n v="1"/>
    <n v="0"/>
    <n v="0"/>
    <n v="0"/>
    <n v="0"/>
    <n v="0"/>
    <m/>
    <n v="64.099999999999994"/>
    <m/>
    <s v="Unique"/>
    <s v="Valid"/>
  </r>
  <r>
    <s v="USR-101215"/>
    <d v="2025-03-28T00:00:00"/>
    <x v="1"/>
    <x v="3"/>
    <x v="1"/>
    <x v="1"/>
    <x v="0"/>
    <n v="1"/>
    <n v="1"/>
    <n v="1"/>
    <n v="0"/>
    <n v="0"/>
    <n v="0"/>
    <n v="0"/>
    <m/>
    <n v="71.599999999999994"/>
    <m/>
    <s v="Unique"/>
    <s v="Valid"/>
  </r>
  <r>
    <s v="USR-101216"/>
    <d v="2025-04-14T00:00:00"/>
    <x v="1"/>
    <x v="0"/>
    <x v="1"/>
    <x v="3"/>
    <x v="0"/>
    <n v="1"/>
    <n v="0"/>
    <n v="0"/>
    <n v="0"/>
    <n v="0"/>
    <n v="0"/>
    <n v="0"/>
    <m/>
    <n v="78.400000000000006"/>
    <m/>
    <s v="Unique"/>
    <s v="Valid"/>
  </r>
  <r>
    <s v="USR-101217"/>
    <d v="2025-01-28T00:00:00"/>
    <x v="1"/>
    <x v="2"/>
    <x v="2"/>
    <x v="3"/>
    <x v="0"/>
    <n v="0"/>
    <n v="0"/>
    <n v="0"/>
    <n v="0"/>
    <n v="0"/>
    <n v="0"/>
    <n v="0"/>
    <m/>
    <n v="49.3"/>
    <m/>
    <s v="Unique"/>
    <s v="Valid"/>
  </r>
  <r>
    <s v="USR-101218"/>
    <d v="2025-05-21T00:00:00"/>
    <x v="1"/>
    <x v="0"/>
    <x v="1"/>
    <x v="1"/>
    <x v="0"/>
    <n v="0"/>
    <n v="0"/>
    <n v="0"/>
    <n v="0"/>
    <n v="0"/>
    <n v="0"/>
    <n v="0"/>
    <m/>
    <n v="52.8"/>
    <m/>
    <s v="Unique"/>
    <s v="Valid"/>
  </r>
  <r>
    <s v="USR-101219"/>
    <d v="2025-05-11T00:00:00"/>
    <x v="1"/>
    <x v="1"/>
    <x v="0"/>
    <x v="1"/>
    <x v="1"/>
    <n v="0"/>
    <n v="0"/>
    <n v="0"/>
    <n v="0"/>
    <n v="0"/>
    <n v="0"/>
    <n v="0"/>
    <m/>
    <n v="58.5"/>
    <m/>
    <s v="Unique"/>
    <s v="Valid"/>
  </r>
  <r>
    <s v="USR-101220"/>
    <d v="2025-02-02T00:00:00"/>
    <x v="1"/>
    <x v="3"/>
    <x v="1"/>
    <x v="2"/>
    <x v="1"/>
    <n v="1"/>
    <n v="0"/>
    <n v="0"/>
    <n v="0"/>
    <n v="0"/>
    <n v="0"/>
    <n v="0"/>
    <m/>
    <n v="55.9"/>
    <m/>
    <s v="Unique"/>
    <s v="Valid"/>
  </r>
  <r>
    <s v="USR-101221"/>
    <d v="2025-02-26T00:00:00"/>
    <x v="1"/>
    <x v="0"/>
    <x v="1"/>
    <x v="4"/>
    <x v="1"/>
    <n v="1"/>
    <n v="1"/>
    <n v="1"/>
    <n v="1"/>
    <n v="351.43"/>
    <n v="1"/>
    <n v="0"/>
    <n v="6"/>
    <n v="74.900000000000006"/>
    <m/>
    <s v="Unique"/>
    <s v="Valid"/>
  </r>
  <r>
    <s v="USR-101222"/>
    <d v="2025-02-27T00:00:00"/>
    <x v="1"/>
    <x v="3"/>
    <x v="0"/>
    <x v="3"/>
    <x v="1"/>
    <n v="1"/>
    <n v="1"/>
    <n v="1"/>
    <n v="1"/>
    <n v="352.42"/>
    <n v="0"/>
    <n v="0"/>
    <n v="4"/>
    <n v="58.5"/>
    <m/>
    <s v="Unique"/>
    <s v="Valid"/>
  </r>
  <r>
    <s v="USR-101223"/>
    <d v="2025-03-09T00:00:00"/>
    <x v="1"/>
    <x v="1"/>
    <x v="1"/>
    <x v="1"/>
    <x v="1"/>
    <n v="0"/>
    <n v="0"/>
    <n v="0"/>
    <n v="0"/>
    <n v="0"/>
    <n v="0"/>
    <n v="0"/>
    <m/>
    <n v="63.5"/>
    <m/>
    <s v="Unique"/>
    <s v="Valid"/>
  </r>
  <r>
    <s v="USR-101224"/>
    <d v="2025-02-07T00:00:00"/>
    <x v="1"/>
    <x v="0"/>
    <x v="1"/>
    <x v="2"/>
    <x v="0"/>
    <n v="1"/>
    <n v="0"/>
    <n v="0"/>
    <n v="0"/>
    <n v="0"/>
    <n v="1"/>
    <n v="0"/>
    <m/>
    <n v="64.8"/>
    <m/>
    <s v="Unique"/>
    <s v="Valid"/>
  </r>
  <r>
    <s v="USR-101225"/>
    <d v="2025-01-31T00:00:00"/>
    <x v="1"/>
    <x v="1"/>
    <x v="1"/>
    <x v="4"/>
    <x v="1"/>
    <n v="0"/>
    <n v="0"/>
    <n v="0"/>
    <n v="0"/>
    <n v="0"/>
    <n v="0"/>
    <n v="0"/>
    <m/>
    <n v="63.3"/>
    <m/>
    <s v="Unique"/>
    <s v="Valid"/>
  </r>
  <r>
    <s v="USR-101226"/>
    <d v="2025-02-14T00:00:00"/>
    <x v="1"/>
    <x v="0"/>
    <x v="2"/>
    <x v="2"/>
    <x v="0"/>
    <n v="1"/>
    <n v="1"/>
    <n v="1"/>
    <n v="1"/>
    <n v="1074.1600000000001"/>
    <n v="0"/>
    <n v="0"/>
    <n v="8"/>
    <n v="83.7"/>
    <m/>
    <s v="Unique"/>
    <s v="Valid"/>
  </r>
  <r>
    <s v="USR-101227"/>
    <d v="2025-02-12T00:00:00"/>
    <x v="1"/>
    <x v="3"/>
    <x v="0"/>
    <x v="4"/>
    <x v="0"/>
    <n v="0"/>
    <n v="0"/>
    <n v="0"/>
    <n v="0"/>
    <n v="0"/>
    <n v="0"/>
    <n v="0"/>
    <m/>
    <n v="88.7"/>
    <m/>
    <s v="Unique"/>
    <s v="Valid"/>
  </r>
  <r>
    <s v="USR-101228"/>
    <d v="2025-03-23T00:00:00"/>
    <x v="1"/>
    <x v="2"/>
    <x v="3"/>
    <x v="2"/>
    <x v="1"/>
    <n v="1"/>
    <n v="0"/>
    <n v="0"/>
    <n v="0"/>
    <n v="0"/>
    <n v="1"/>
    <n v="0"/>
    <m/>
    <n v="61.5"/>
    <m/>
    <s v="Unique"/>
    <s v="Valid"/>
  </r>
  <r>
    <s v="USR-101229"/>
    <d v="2025-03-18T00:00:00"/>
    <x v="1"/>
    <x v="1"/>
    <x v="1"/>
    <x v="2"/>
    <x v="1"/>
    <n v="0"/>
    <n v="0"/>
    <n v="0"/>
    <n v="0"/>
    <n v="0"/>
    <n v="0"/>
    <n v="0"/>
    <m/>
    <n v="45.3"/>
    <m/>
    <s v="Unique"/>
    <s v="Valid"/>
  </r>
  <r>
    <s v="USR-101230"/>
    <d v="2025-05-17T00:00:00"/>
    <x v="1"/>
    <x v="0"/>
    <x v="1"/>
    <x v="4"/>
    <x v="1"/>
    <n v="1"/>
    <n v="0"/>
    <n v="0"/>
    <n v="0"/>
    <n v="0"/>
    <n v="0"/>
    <n v="0"/>
    <m/>
    <n v="37.299999999999997"/>
    <m/>
    <s v="Unique"/>
    <s v="Valid"/>
  </r>
  <r>
    <s v="USR-101231"/>
    <d v="2025-03-26T00:00:00"/>
    <x v="1"/>
    <x v="1"/>
    <x v="0"/>
    <x v="4"/>
    <x v="2"/>
    <n v="1"/>
    <n v="0"/>
    <n v="0"/>
    <n v="0"/>
    <n v="0"/>
    <n v="1"/>
    <n v="0"/>
    <m/>
    <n v="76.099999999999994"/>
    <m/>
    <s v="Unique"/>
    <s v="Valid"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m/>
    <s v="Duplicate"/>
    <s v="Valid"/>
  </r>
  <r>
    <s v="USR-101233"/>
    <d v="2025-02-25T00:00:00"/>
    <x v="1"/>
    <x v="2"/>
    <x v="0"/>
    <x v="1"/>
    <x v="1"/>
    <n v="1"/>
    <n v="0"/>
    <n v="0"/>
    <n v="0"/>
    <n v="0"/>
    <n v="0"/>
    <n v="0"/>
    <m/>
    <n v="62.3"/>
    <m/>
    <s v="Unique"/>
    <s v="Valid"/>
  </r>
  <r>
    <s v="USR-101234"/>
    <d v="2025-03-01T00:00:00"/>
    <x v="1"/>
    <x v="2"/>
    <x v="0"/>
    <x v="4"/>
    <x v="1"/>
    <n v="0"/>
    <n v="0"/>
    <n v="0"/>
    <n v="0"/>
    <n v="0"/>
    <n v="0"/>
    <n v="0"/>
    <m/>
    <n v="62.7"/>
    <m/>
    <s v="Unique"/>
    <s v="Valid"/>
  </r>
  <r>
    <s v="USR-101235"/>
    <d v="2025-05-27T00:00:00"/>
    <x v="1"/>
    <x v="0"/>
    <x v="1"/>
    <x v="2"/>
    <x v="0"/>
    <n v="0"/>
    <n v="0"/>
    <n v="0"/>
    <n v="0"/>
    <n v="0"/>
    <n v="0"/>
    <n v="0"/>
    <m/>
    <n v="82.4"/>
    <m/>
    <s v="Unique"/>
    <s v="Valid"/>
  </r>
  <r>
    <s v="USR-101236"/>
    <d v="2025-02-05T00:00:00"/>
    <x v="1"/>
    <x v="1"/>
    <x v="1"/>
    <x v="5"/>
    <x v="2"/>
    <n v="1"/>
    <n v="0"/>
    <n v="0"/>
    <n v="0"/>
    <n v="0"/>
    <n v="0"/>
    <n v="0"/>
    <m/>
    <n v="78.900000000000006"/>
    <m/>
    <s v="Unique"/>
    <s v="Valid"/>
  </r>
  <r>
    <s v="USR-101237"/>
    <d v="2025-01-25T00:00:00"/>
    <x v="1"/>
    <x v="1"/>
    <x v="0"/>
    <x v="0"/>
    <x v="1"/>
    <n v="1"/>
    <n v="1"/>
    <n v="1"/>
    <n v="1"/>
    <n v="618.91"/>
    <n v="0"/>
    <n v="0"/>
    <n v="4"/>
    <n v="67.8"/>
    <m/>
    <s v="Unique"/>
    <s v="Valid"/>
  </r>
  <r>
    <s v="USR-101238"/>
    <d v="2025-04-10T00:00:00"/>
    <x v="1"/>
    <x v="2"/>
    <x v="1"/>
    <x v="1"/>
    <x v="2"/>
    <n v="1"/>
    <n v="0"/>
    <n v="0"/>
    <n v="0"/>
    <n v="0"/>
    <n v="0"/>
    <n v="0"/>
    <m/>
    <n v="68.8"/>
    <m/>
    <s v="Unique"/>
    <s v="Valid"/>
  </r>
  <r>
    <s v="USR-101239"/>
    <d v="2025-01-10T00:00:00"/>
    <x v="1"/>
    <x v="2"/>
    <x v="1"/>
    <x v="1"/>
    <x v="2"/>
    <n v="1"/>
    <n v="0"/>
    <n v="0"/>
    <n v="0"/>
    <n v="0"/>
    <n v="0"/>
    <n v="0"/>
    <m/>
    <n v="67.7"/>
    <m/>
    <s v="Unique"/>
    <s v="Valid"/>
  </r>
  <r>
    <s v="USR-101240"/>
    <d v="2025-02-23T00:00:00"/>
    <x v="1"/>
    <x v="2"/>
    <x v="1"/>
    <x v="5"/>
    <x v="1"/>
    <n v="0"/>
    <n v="0"/>
    <n v="0"/>
    <n v="0"/>
    <n v="0"/>
    <n v="0"/>
    <n v="0"/>
    <m/>
    <n v="88"/>
    <m/>
    <s v="Unique"/>
    <s v="Valid"/>
  </r>
  <r>
    <s v="USR-101241"/>
    <d v="2025-05-23T00:00:00"/>
    <x v="1"/>
    <x v="1"/>
    <x v="0"/>
    <x v="1"/>
    <x v="0"/>
    <n v="1"/>
    <n v="1"/>
    <n v="0"/>
    <n v="0"/>
    <n v="0"/>
    <n v="0"/>
    <n v="0"/>
    <m/>
    <n v="80.099999999999994"/>
    <m/>
    <s v="Unique"/>
    <s v="Valid"/>
  </r>
  <r>
    <s v="USR-101242"/>
    <d v="2025-03-08T00:00:00"/>
    <x v="1"/>
    <x v="0"/>
    <x v="2"/>
    <x v="0"/>
    <x v="0"/>
    <n v="0"/>
    <n v="0"/>
    <n v="0"/>
    <n v="0"/>
    <n v="0"/>
    <n v="1"/>
    <n v="0"/>
    <m/>
    <n v="48.2"/>
    <m/>
    <s v="Unique"/>
    <s v="Valid"/>
  </r>
  <r>
    <s v="USR-101243"/>
    <d v="2025-05-21T00:00:00"/>
    <x v="1"/>
    <x v="2"/>
    <x v="1"/>
    <x v="1"/>
    <x v="0"/>
    <n v="1"/>
    <n v="0"/>
    <n v="0"/>
    <n v="0"/>
    <n v="0"/>
    <n v="0"/>
    <n v="0"/>
    <m/>
    <n v="52.7"/>
    <m/>
    <s v="Unique"/>
    <s v="Valid"/>
  </r>
  <r>
    <s v="USR-101244"/>
    <d v="2025-04-22T00:00:00"/>
    <x v="1"/>
    <x v="0"/>
    <x v="1"/>
    <x v="0"/>
    <x v="0"/>
    <n v="1"/>
    <n v="1"/>
    <n v="0"/>
    <n v="0"/>
    <n v="0"/>
    <n v="0"/>
    <n v="0"/>
    <m/>
    <n v="59.9"/>
    <m/>
    <s v="Unique"/>
    <s v="Valid"/>
  </r>
  <r>
    <s v="USR-101245"/>
    <d v="2025-04-16T00:00:00"/>
    <x v="1"/>
    <x v="0"/>
    <x v="1"/>
    <x v="0"/>
    <x v="2"/>
    <n v="1"/>
    <n v="0"/>
    <n v="0"/>
    <n v="0"/>
    <n v="0"/>
    <n v="0"/>
    <n v="0"/>
    <m/>
    <n v="49.5"/>
    <m/>
    <s v="Unique"/>
    <s v="Valid"/>
  </r>
  <r>
    <s v="USR-101246"/>
    <d v="2025-05-08T00:00:00"/>
    <x v="1"/>
    <x v="0"/>
    <x v="2"/>
    <x v="1"/>
    <x v="1"/>
    <n v="1"/>
    <n v="0"/>
    <n v="0"/>
    <n v="0"/>
    <n v="0"/>
    <n v="0"/>
    <n v="0"/>
    <m/>
    <n v="41.5"/>
    <m/>
    <s v="Unique"/>
    <s v="Valid"/>
  </r>
  <r>
    <s v="USR-101247"/>
    <d v="2025-05-22T00:00:00"/>
    <x v="1"/>
    <x v="0"/>
    <x v="1"/>
    <x v="2"/>
    <x v="0"/>
    <n v="1"/>
    <n v="0"/>
    <n v="0"/>
    <n v="0"/>
    <n v="0"/>
    <n v="0"/>
    <n v="0"/>
    <m/>
    <n v="71.2"/>
    <m/>
    <s v="Unique"/>
    <s v="Valid"/>
  </r>
  <r>
    <s v="USR-101248"/>
    <d v="2025-03-21T00:00:00"/>
    <x v="1"/>
    <x v="0"/>
    <x v="1"/>
    <x v="3"/>
    <x v="0"/>
    <n v="1"/>
    <n v="1"/>
    <n v="1"/>
    <n v="0"/>
    <n v="0"/>
    <n v="0"/>
    <n v="0"/>
    <m/>
    <n v="65.8"/>
    <m/>
    <s v="Unique"/>
    <s v="Valid"/>
  </r>
  <r>
    <s v="USR-101249"/>
    <d v="2025-03-22T00:00:00"/>
    <x v="1"/>
    <x v="2"/>
    <x v="1"/>
    <x v="1"/>
    <x v="0"/>
    <n v="1"/>
    <n v="0"/>
    <n v="0"/>
    <n v="0"/>
    <n v="0"/>
    <n v="1"/>
    <n v="0"/>
    <m/>
    <n v="55.1"/>
    <m/>
    <s v="Unique"/>
    <s v="Valid"/>
  </r>
  <r>
    <s v="USR-101250"/>
    <d v="2025-01-10T00:00:00"/>
    <x v="1"/>
    <x v="1"/>
    <x v="0"/>
    <x v="4"/>
    <x v="1"/>
    <n v="1"/>
    <n v="0"/>
    <n v="0"/>
    <n v="0"/>
    <n v="0"/>
    <n v="0"/>
    <n v="0"/>
    <m/>
    <n v="54.6"/>
    <m/>
    <s v="Unique"/>
    <s v="Valid"/>
  </r>
  <r>
    <s v="USR-101251"/>
    <d v="2025-02-01T00:00:00"/>
    <x v="1"/>
    <x v="2"/>
    <x v="1"/>
    <x v="1"/>
    <x v="0"/>
    <n v="1"/>
    <n v="1"/>
    <n v="1"/>
    <n v="1"/>
    <n v="923.67"/>
    <n v="0"/>
    <n v="0"/>
    <n v="4"/>
    <n v="81.900000000000006"/>
    <m/>
    <s v="Unique"/>
    <s v="Valid"/>
  </r>
  <r>
    <s v="USR-101252"/>
    <d v="2025-03-31T00:00:00"/>
    <x v="1"/>
    <x v="3"/>
    <x v="1"/>
    <x v="2"/>
    <x v="0"/>
    <n v="1"/>
    <n v="1"/>
    <n v="0"/>
    <n v="0"/>
    <n v="0"/>
    <n v="3"/>
    <n v="0"/>
    <m/>
    <n v="63.2"/>
    <m/>
    <s v="Unique"/>
    <s v="Valid"/>
  </r>
  <r>
    <s v="USR-101253"/>
    <d v="2025-04-25T00:00:00"/>
    <x v="1"/>
    <x v="0"/>
    <x v="1"/>
    <x v="2"/>
    <x v="1"/>
    <n v="1"/>
    <n v="0"/>
    <n v="0"/>
    <n v="0"/>
    <n v="0"/>
    <n v="0"/>
    <n v="0"/>
    <m/>
    <n v="55.4"/>
    <m/>
    <s v="Unique"/>
    <s v="Valid"/>
  </r>
  <r>
    <s v="USR-101254"/>
    <d v="2025-05-02T00:00:00"/>
    <x v="1"/>
    <x v="1"/>
    <x v="1"/>
    <x v="4"/>
    <x v="0"/>
    <n v="0"/>
    <n v="0"/>
    <n v="0"/>
    <n v="0"/>
    <n v="0"/>
    <n v="0"/>
    <n v="0"/>
    <m/>
    <n v="87.5"/>
    <m/>
    <s v="Unique"/>
    <s v="Valid"/>
  </r>
  <r>
    <s v="USR-101255"/>
    <d v="2025-03-08T00:00:00"/>
    <x v="1"/>
    <x v="3"/>
    <x v="0"/>
    <x v="4"/>
    <x v="0"/>
    <n v="1"/>
    <n v="0"/>
    <n v="0"/>
    <n v="0"/>
    <n v="0"/>
    <n v="0"/>
    <n v="0"/>
    <m/>
    <n v="48.5"/>
    <m/>
    <s v="Unique"/>
    <s v="Valid"/>
  </r>
  <r>
    <s v="USR-101256"/>
    <d v="2025-01-27T00:00:00"/>
    <x v="1"/>
    <x v="2"/>
    <x v="0"/>
    <x v="5"/>
    <x v="1"/>
    <n v="1"/>
    <n v="1"/>
    <n v="1"/>
    <n v="1"/>
    <n v="420.27"/>
    <n v="0"/>
    <n v="0"/>
    <n v="6"/>
    <n v="58.4"/>
    <m/>
    <s v="Unique"/>
    <s v="Valid"/>
  </r>
  <r>
    <s v="USR-101257"/>
    <d v="2025-04-27T00:00:00"/>
    <x v="1"/>
    <x v="1"/>
    <x v="1"/>
    <x v="2"/>
    <x v="1"/>
    <n v="0"/>
    <n v="0"/>
    <n v="0"/>
    <n v="0"/>
    <n v="0"/>
    <n v="0"/>
    <n v="0"/>
    <m/>
    <n v="59.5"/>
    <m/>
    <s v="Unique"/>
    <s v="Valid"/>
  </r>
  <r>
    <s v="USR-101258"/>
    <d v="2025-01-16T00:00:00"/>
    <x v="1"/>
    <x v="1"/>
    <x v="0"/>
    <x v="2"/>
    <x v="0"/>
    <n v="1"/>
    <n v="0"/>
    <n v="0"/>
    <n v="0"/>
    <n v="0"/>
    <n v="0"/>
    <n v="0"/>
    <m/>
    <n v="93.2"/>
    <m/>
    <s v="Unique"/>
    <s v="Valid"/>
  </r>
  <r>
    <s v="USR-101259"/>
    <d v="2025-01-18T00:00:00"/>
    <x v="1"/>
    <x v="1"/>
    <x v="0"/>
    <x v="2"/>
    <x v="0"/>
    <n v="1"/>
    <n v="0"/>
    <n v="0"/>
    <n v="0"/>
    <n v="0"/>
    <n v="0"/>
    <n v="0"/>
    <m/>
    <n v="59"/>
    <m/>
    <s v="Unique"/>
    <s v="Valid"/>
  </r>
  <r>
    <s v="USR-101260"/>
    <d v="2025-03-21T00:00:00"/>
    <x v="1"/>
    <x v="0"/>
    <x v="1"/>
    <x v="1"/>
    <x v="1"/>
    <n v="1"/>
    <n v="0"/>
    <n v="0"/>
    <n v="0"/>
    <n v="0"/>
    <n v="0"/>
    <n v="0"/>
    <m/>
    <n v="37"/>
    <m/>
    <s v="Unique"/>
    <s v="Valid"/>
  </r>
  <r>
    <s v="USR-101261"/>
    <d v="2025-04-02T00:00:00"/>
    <x v="1"/>
    <x v="0"/>
    <x v="0"/>
    <x v="2"/>
    <x v="1"/>
    <n v="1"/>
    <n v="0"/>
    <n v="0"/>
    <n v="0"/>
    <n v="0"/>
    <n v="0"/>
    <n v="0"/>
    <m/>
    <n v="47.5"/>
    <m/>
    <s v="Unique"/>
    <s v="Valid"/>
  </r>
  <r>
    <s v="USR-101262"/>
    <d v="2025-02-16T00:00:00"/>
    <x v="1"/>
    <x v="1"/>
    <x v="0"/>
    <x v="1"/>
    <x v="1"/>
    <n v="1"/>
    <n v="1"/>
    <n v="1"/>
    <n v="0"/>
    <n v="0"/>
    <n v="0"/>
    <n v="0"/>
    <m/>
    <n v="78.7"/>
    <m/>
    <s v="Unique"/>
    <s v="Valid"/>
  </r>
  <r>
    <s v="USR-101263"/>
    <d v="2025-02-18T00:00:00"/>
    <x v="1"/>
    <x v="0"/>
    <x v="1"/>
    <x v="4"/>
    <x v="1"/>
    <n v="1"/>
    <n v="0"/>
    <n v="0"/>
    <n v="0"/>
    <n v="0"/>
    <n v="0"/>
    <n v="0"/>
    <m/>
    <n v="49.6"/>
    <m/>
    <s v="Unique"/>
    <s v="Valid"/>
  </r>
  <r>
    <s v="USR-101264"/>
    <d v="2025-01-09T00:00:00"/>
    <x v="1"/>
    <x v="2"/>
    <x v="1"/>
    <x v="1"/>
    <x v="1"/>
    <n v="1"/>
    <n v="0"/>
    <n v="0"/>
    <n v="0"/>
    <n v="0"/>
    <n v="0"/>
    <n v="0"/>
    <m/>
    <n v="58"/>
    <m/>
    <s v="Unique"/>
    <s v="Valid"/>
  </r>
  <r>
    <s v="USR-101265"/>
    <d v="2025-02-18T00:00:00"/>
    <x v="1"/>
    <x v="0"/>
    <x v="0"/>
    <x v="2"/>
    <x v="1"/>
    <n v="1"/>
    <n v="0"/>
    <n v="0"/>
    <n v="0"/>
    <n v="0"/>
    <n v="1"/>
    <n v="0"/>
    <m/>
    <n v="54.4"/>
    <m/>
    <s v="Unique"/>
    <s v="Valid"/>
  </r>
  <r>
    <s v="USR-101266"/>
    <d v="2025-01-10T00:00:00"/>
    <x v="1"/>
    <x v="2"/>
    <x v="1"/>
    <x v="3"/>
    <x v="1"/>
    <n v="0"/>
    <n v="0"/>
    <n v="0"/>
    <n v="0"/>
    <n v="0"/>
    <n v="0"/>
    <n v="0"/>
    <m/>
    <n v="33.700000000000003"/>
    <m/>
    <s v="Unique"/>
    <s v="Valid"/>
  </r>
  <r>
    <s v="USR-101267"/>
    <d v="2025-03-08T00:00:00"/>
    <x v="1"/>
    <x v="1"/>
    <x v="1"/>
    <x v="0"/>
    <x v="1"/>
    <n v="1"/>
    <n v="0"/>
    <n v="0"/>
    <n v="0"/>
    <n v="0"/>
    <n v="0"/>
    <n v="0"/>
    <m/>
    <n v="72.7"/>
    <m/>
    <s v="Unique"/>
    <s v="Valid"/>
  </r>
  <r>
    <s v="USR-101268"/>
    <d v="2025-04-16T00:00:00"/>
    <x v="1"/>
    <x v="2"/>
    <x v="0"/>
    <x v="2"/>
    <x v="0"/>
    <n v="0"/>
    <n v="0"/>
    <n v="0"/>
    <n v="0"/>
    <n v="0"/>
    <n v="0"/>
    <n v="0"/>
    <m/>
    <n v="64.7"/>
    <m/>
    <s v="Unique"/>
    <s v="Valid"/>
  </r>
  <r>
    <s v="USR-101269"/>
    <d v="2025-02-19T00:00:00"/>
    <x v="1"/>
    <x v="1"/>
    <x v="0"/>
    <x v="2"/>
    <x v="2"/>
    <n v="0"/>
    <n v="0"/>
    <n v="0"/>
    <n v="0"/>
    <n v="0"/>
    <n v="1"/>
    <n v="0"/>
    <m/>
    <n v="48.6"/>
    <m/>
    <s v="Unique"/>
    <s v="Valid"/>
  </r>
  <r>
    <s v="USR-101270"/>
    <d v="2025-03-16T00:00:00"/>
    <x v="1"/>
    <x v="2"/>
    <x v="0"/>
    <x v="4"/>
    <x v="1"/>
    <n v="1"/>
    <n v="1"/>
    <n v="0"/>
    <n v="0"/>
    <n v="0"/>
    <n v="0"/>
    <n v="0"/>
    <m/>
    <n v="66.2"/>
    <m/>
    <s v="Unique"/>
    <s v="Valid"/>
  </r>
  <r>
    <s v="USR-101271"/>
    <d v="2025-02-03T00:00:00"/>
    <x v="1"/>
    <x v="1"/>
    <x v="3"/>
    <x v="3"/>
    <x v="0"/>
    <n v="1"/>
    <n v="0"/>
    <n v="0"/>
    <n v="0"/>
    <n v="0"/>
    <n v="1"/>
    <n v="0"/>
    <m/>
    <n v="60.7"/>
    <m/>
    <s v="Unique"/>
    <s v="Valid"/>
  </r>
  <r>
    <s v="USR-101272"/>
    <d v="2025-03-12T00:00:00"/>
    <x v="1"/>
    <x v="1"/>
    <x v="1"/>
    <x v="2"/>
    <x v="0"/>
    <n v="1"/>
    <n v="0"/>
    <n v="0"/>
    <n v="0"/>
    <n v="0"/>
    <n v="0"/>
    <n v="0"/>
    <m/>
    <n v="36.5"/>
    <m/>
    <s v="Unique"/>
    <s v="Valid"/>
  </r>
  <r>
    <s v="USR-101273"/>
    <d v="2025-05-09T00:00:00"/>
    <x v="1"/>
    <x v="1"/>
    <x v="1"/>
    <x v="4"/>
    <x v="1"/>
    <n v="1"/>
    <n v="1"/>
    <n v="1"/>
    <n v="0"/>
    <n v="0"/>
    <n v="3"/>
    <n v="0"/>
    <m/>
    <n v="69.7"/>
    <m/>
    <s v="Unique"/>
    <s v="Valid"/>
  </r>
  <r>
    <s v="USR-101274"/>
    <d v="2025-01-19T00:00:00"/>
    <x v="1"/>
    <x v="3"/>
    <x v="0"/>
    <x v="4"/>
    <x v="2"/>
    <n v="1"/>
    <n v="0"/>
    <n v="0"/>
    <n v="0"/>
    <n v="0"/>
    <n v="0"/>
    <n v="0"/>
    <m/>
    <n v="81.8"/>
    <m/>
    <s v="Unique"/>
    <s v="Valid"/>
  </r>
  <r>
    <s v="USR-101275"/>
    <d v="2025-01-24T00:00:00"/>
    <x v="1"/>
    <x v="1"/>
    <x v="1"/>
    <x v="3"/>
    <x v="1"/>
    <n v="1"/>
    <n v="1"/>
    <n v="1"/>
    <n v="0"/>
    <n v="0"/>
    <n v="1"/>
    <n v="0"/>
    <m/>
    <n v="78.3"/>
    <m/>
    <s v="Unique"/>
    <s v="Valid"/>
  </r>
  <r>
    <s v="USR-101276"/>
    <d v="2025-03-03T00:00:00"/>
    <x v="1"/>
    <x v="2"/>
    <x v="1"/>
    <x v="3"/>
    <x v="1"/>
    <n v="1"/>
    <n v="1"/>
    <n v="0"/>
    <n v="0"/>
    <n v="0"/>
    <n v="0"/>
    <n v="0"/>
    <m/>
    <n v="79.400000000000006"/>
    <m/>
    <s v="Unique"/>
    <s v="Valid"/>
  </r>
  <r>
    <s v="USR-101277"/>
    <d v="2025-05-27T00:00:00"/>
    <x v="1"/>
    <x v="0"/>
    <x v="0"/>
    <x v="3"/>
    <x v="1"/>
    <n v="1"/>
    <n v="1"/>
    <n v="1"/>
    <n v="0"/>
    <n v="0"/>
    <n v="0"/>
    <n v="0"/>
    <m/>
    <n v="54.9"/>
    <m/>
    <s v="Unique"/>
    <s v="Valid"/>
  </r>
  <r>
    <s v="USR-101278"/>
    <d v="2025-04-23T00:00:00"/>
    <x v="1"/>
    <x v="1"/>
    <x v="0"/>
    <x v="1"/>
    <x v="0"/>
    <n v="1"/>
    <n v="0"/>
    <n v="0"/>
    <n v="0"/>
    <n v="0"/>
    <n v="0"/>
    <n v="0"/>
    <m/>
    <n v="54.9"/>
    <m/>
    <s v="Unique"/>
    <s v="Valid"/>
  </r>
  <r>
    <s v="USR-101279"/>
    <d v="2025-02-10T00:00:00"/>
    <x v="1"/>
    <x v="2"/>
    <x v="0"/>
    <x v="4"/>
    <x v="1"/>
    <n v="0"/>
    <n v="0"/>
    <n v="0"/>
    <n v="0"/>
    <n v="0"/>
    <n v="0"/>
    <n v="0"/>
    <m/>
    <n v="28.7"/>
    <m/>
    <s v="Unique"/>
    <s v="Valid"/>
  </r>
  <r>
    <s v="USR-101280"/>
    <d v="2025-02-11T00:00:00"/>
    <x v="1"/>
    <x v="0"/>
    <x v="1"/>
    <x v="1"/>
    <x v="1"/>
    <n v="0"/>
    <n v="0"/>
    <n v="0"/>
    <n v="0"/>
    <n v="0"/>
    <n v="0"/>
    <n v="0"/>
    <m/>
    <n v="68.8"/>
    <m/>
    <s v="Unique"/>
    <s v="Valid"/>
  </r>
  <r>
    <s v="USR-101281"/>
    <d v="2025-01-21T00:00:00"/>
    <x v="1"/>
    <x v="2"/>
    <x v="0"/>
    <x v="2"/>
    <x v="1"/>
    <n v="1"/>
    <n v="1"/>
    <n v="1"/>
    <n v="0"/>
    <n v="0"/>
    <n v="0"/>
    <n v="0"/>
    <m/>
    <n v="43.5"/>
    <m/>
    <s v="Unique"/>
    <s v="Valid"/>
  </r>
  <r>
    <s v="USR-101282"/>
    <d v="2025-02-02T00:00:00"/>
    <x v="1"/>
    <x v="1"/>
    <x v="0"/>
    <x v="4"/>
    <x v="1"/>
    <n v="1"/>
    <n v="1"/>
    <n v="0"/>
    <n v="0"/>
    <n v="0"/>
    <n v="0"/>
    <n v="0"/>
    <m/>
    <n v="62.6"/>
    <m/>
    <s v="Unique"/>
    <s v="Valid"/>
  </r>
  <r>
    <s v="USR-101283"/>
    <d v="2025-02-02T00:00:00"/>
    <x v="1"/>
    <x v="1"/>
    <x v="1"/>
    <x v="1"/>
    <x v="1"/>
    <n v="0"/>
    <n v="0"/>
    <n v="0"/>
    <n v="0"/>
    <n v="0"/>
    <n v="1"/>
    <n v="0"/>
    <m/>
    <n v="54.1"/>
    <m/>
    <s v="Unique"/>
    <s v="Valid"/>
  </r>
  <r>
    <s v="USR-101284"/>
    <d v="2025-02-26T00:00:00"/>
    <x v="1"/>
    <x v="1"/>
    <x v="2"/>
    <x v="4"/>
    <x v="1"/>
    <n v="1"/>
    <n v="1"/>
    <n v="1"/>
    <n v="0"/>
    <n v="0"/>
    <n v="0"/>
    <n v="0"/>
    <m/>
    <n v="80.099999999999994"/>
    <m/>
    <s v="Unique"/>
    <s v="Valid"/>
  </r>
  <r>
    <s v="USR-101285"/>
    <d v="2025-04-22T00:00:00"/>
    <x v="1"/>
    <x v="0"/>
    <x v="1"/>
    <x v="4"/>
    <x v="2"/>
    <n v="1"/>
    <n v="0"/>
    <n v="0"/>
    <n v="0"/>
    <n v="0"/>
    <n v="0"/>
    <n v="0"/>
    <m/>
    <n v="69.5"/>
    <m/>
    <s v="Unique"/>
    <s v="Valid"/>
  </r>
  <r>
    <s v="USR-101286"/>
    <d v="2025-03-11T00:00:00"/>
    <x v="1"/>
    <x v="0"/>
    <x v="0"/>
    <x v="1"/>
    <x v="0"/>
    <n v="0"/>
    <n v="0"/>
    <n v="0"/>
    <n v="0"/>
    <n v="0"/>
    <n v="2"/>
    <n v="0"/>
    <m/>
    <n v="46.6"/>
    <m/>
    <s v="Unique"/>
    <s v="Valid"/>
  </r>
  <r>
    <s v="USR-101287"/>
    <d v="2025-05-08T00:00:00"/>
    <x v="1"/>
    <x v="3"/>
    <x v="1"/>
    <x v="1"/>
    <x v="2"/>
    <n v="1"/>
    <n v="0"/>
    <n v="0"/>
    <n v="0"/>
    <n v="0"/>
    <n v="1"/>
    <n v="0"/>
    <m/>
    <n v="54.9"/>
    <m/>
    <s v="Unique"/>
    <s v="Valid"/>
  </r>
  <r>
    <s v="USR-101288"/>
    <d v="2025-03-10T00:00:00"/>
    <x v="1"/>
    <x v="2"/>
    <x v="0"/>
    <x v="1"/>
    <x v="1"/>
    <n v="0"/>
    <n v="0"/>
    <n v="0"/>
    <n v="0"/>
    <n v="0"/>
    <n v="0"/>
    <n v="0"/>
    <m/>
    <n v="100"/>
    <m/>
    <s v="Unique"/>
    <s v="Valid"/>
  </r>
  <r>
    <s v="USR-101289"/>
    <d v="2025-04-16T00:00:00"/>
    <x v="1"/>
    <x v="2"/>
    <x v="0"/>
    <x v="2"/>
    <x v="1"/>
    <n v="1"/>
    <n v="1"/>
    <n v="1"/>
    <n v="0"/>
    <n v="0"/>
    <n v="1"/>
    <n v="0"/>
    <m/>
    <n v="80.5"/>
    <m/>
    <s v="Unique"/>
    <s v="Valid"/>
  </r>
  <r>
    <s v="USR-101290"/>
    <d v="2025-03-01T00:00:00"/>
    <x v="1"/>
    <x v="1"/>
    <x v="2"/>
    <x v="1"/>
    <x v="0"/>
    <n v="1"/>
    <n v="0"/>
    <n v="0"/>
    <n v="0"/>
    <n v="0"/>
    <n v="0"/>
    <n v="0"/>
    <m/>
    <n v="51.2"/>
    <m/>
    <s v="Unique"/>
    <s v="Valid"/>
  </r>
  <r>
    <s v="USR-101291"/>
    <d v="2025-01-18T00:00:00"/>
    <x v="1"/>
    <x v="3"/>
    <x v="0"/>
    <x v="1"/>
    <x v="2"/>
    <n v="1"/>
    <n v="0"/>
    <n v="0"/>
    <n v="0"/>
    <n v="0"/>
    <n v="0"/>
    <n v="0"/>
    <m/>
    <n v="42.5"/>
    <m/>
    <s v="Unique"/>
    <s v="Valid"/>
  </r>
  <r>
    <s v="USR-101292"/>
    <d v="2025-03-30T00:00:00"/>
    <x v="1"/>
    <x v="0"/>
    <x v="1"/>
    <x v="2"/>
    <x v="1"/>
    <n v="0"/>
    <n v="0"/>
    <n v="0"/>
    <n v="0"/>
    <n v="0"/>
    <n v="0"/>
    <n v="0"/>
    <m/>
    <n v="72.5"/>
    <m/>
    <s v="Unique"/>
    <s v="Valid"/>
  </r>
  <r>
    <s v="USR-101293"/>
    <d v="2025-05-26T00:00:00"/>
    <x v="1"/>
    <x v="1"/>
    <x v="1"/>
    <x v="4"/>
    <x v="2"/>
    <n v="0"/>
    <n v="0"/>
    <n v="0"/>
    <n v="0"/>
    <n v="0"/>
    <n v="0"/>
    <n v="0"/>
    <m/>
    <n v="74.400000000000006"/>
    <m/>
    <s v="Unique"/>
    <s v="Valid"/>
  </r>
  <r>
    <s v="USR-101294"/>
    <d v="2025-03-19T00:00:00"/>
    <x v="1"/>
    <x v="2"/>
    <x v="0"/>
    <x v="4"/>
    <x v="1"/>
    <n v="0"/>
    <n v="0"/>
    <n v="0"/>
    <n v="0"/>
    <n v="0"/>
    <n v="0"/>
    <n v="0"/>
    <m/>
    <n v="78.400000000000006"/>
    <m/>
    <s v="Unique"/>
    <s v="Valid"/>
  </r>
  <r>
    <s v="USR-101295"/>
    <d v="2025-03-28T00:00:00"/>
    <x v="1"/>
    <x v="0"/>
    <x v="0"/>
    <x v="3"/>
    <x v="1"/>
    <n v="1"/>
    <n v="0"/>
    <n v="0"/>
    <n v="0"/>
    <n v="0"/>
    <n v="0"/>
    <n v="0"/>
    <m/>
    <n v="71.5"/>
    <m/>
    <s v="Unique"/>
    <s v="Valid"/>
  </r>
  <r>
    <s v="USR-101296"/>
    <d v="2025-05-28T00:00:00"/>
    <x v="1"/>
    <x v="3"/>
    <x v="0"/>
    <x v="4"/>
    <x v="1"/>
    <n v="1"/>
    <n v="0"/>
    <n v="0"/>
    <n v="0"/>
    <n v="0"/>
    <n v="0"/>
    <n v="0"/>
    <m/>
    <n v="66.7"/>
    <m/>
    <s v="Unique"/>
    <s v="Valid"/>
  </r>
  <r>
    <s v="USR-101297"/>
    <d v="2025-05-31T00:00:00"/>
    <x v="1"/>
    <x v="3"/>
    <x v="0"/>
    <x v="3"/>
    <x v="2"/>
    <n v="1"/>
    <n v="1"/>
    <n v="1"/>
    <n v="1"/>
    <n v="1496.09"/>
    <n v="0"/>
    <n v="0"/>
    <n v="7"/>
    <n v="60.4"/>
    <m/>
    <s v="Unique"/>
    <s v="Valid"/>
  </r>
  <r>
    <s v="USR-101298"/>
    <d v="2025-05-10T00:00:00"/>
    <x v="1"/>
    <x v="0"/>
    <x v="1"/>
    <x v="3"/>
    <x v="1"/>
    <n v="0"/>
    <n v="0"/>
    <n v="0"/>
    <n v="0"/>
    <n v="0"/>
    <n v="1"/>
    <n v="0"/>
    <m/>
    <n v="72.900000000000006"/>
    <m/>
    <s v="Unique"/>
    <s v="Valid"/>
  </r>
  <r>
    <s v="USR-101299"/>
    <d v="2025-05-17T00:00:00"/>
    <x v="1"/>
    <x v="1"/>
    <x v="1"/>
    <x v="1"/>
    <x v="1"/>
    <n v="0"/>
    <n v="0"/>
    <n v="0"/>
    <n v="0"/>
    <n v="0"/>
    <n v="3"/>
    <n v="0"/>
    <m/>
    <n v="60.02"/>
    <m/>
    <s v="Unique"/>
    <s v="Valid"/>
  </r>
  <r>
    <s v="USR-101300"/>
    <d v="2025-01-18T00:00:00"/>
    <x v="1"/>
    <x v="3"/>
    <x v="1"/>
    <x v="1"/>
    <x v="2"/>
    <n v="1"/>
    <n v="0"/>
    <n v="0"/>
    <n v="0"/>
    <n v="0"/>
    <n v="0"/>
    <n v="0"/>
    <m/>
    <n v="55.2"/>
    <m/>
    <s v="Unique"/>
    <s v="Valid"/>
  </r>
  <r>
    <s v="USR-101301"/>
    <d v="2025-05-04T00:00:00"/>
    <x v="1"/>
    <x v="1"/>
    <x v="1"/>
    <x v="4"/>
    <x v="1"/>
    <n v="1"/>
    <n v="0"/>
    <n v="0"/>
    <n v="0"/>
    <n v="0"/>
    <n v="0"/>
    <n v="0"/>
    <m/>
    <n v="67.8"/>
    <m/>
    <s v="Unique"/>
    <s v="Valid"/>
  </r>
  <r>
    <s v="USR-101302"/>
    <d v="2025-03-25T00:00:00"/>
    <x v="1"/>
    <x v="0"/>
    <x v="1"/>
    <x v="1"/>
    <x v="1"/>
    <n v="1"/>
    <n v="0"/>
    <n v="0"/>
    <n v="0"/>
    <n v="0"/>
    <n v="2"/>
    <n v="0"/>
    <m/>
    <n v="70"/>
    <m/>
    <s v="Unique"/>
    <s v="Valid"/>
  </r>
  <r>
    <s v="USR-101303"/>
    <d v="2025-02-27T00:00:00"/>
    <x v="1"/>
    <x v="0"/>
    <x v="1"/>
    <x v="4"/>
    <x v="0"/>
    <n v="1"/>
    <n v="1"/>
    <n v="1"/>
    <n v="0"/>
    <n v="0"/>
    <n v="0"/>
    <n v="0"/>
    <m/>
    <n v="51.1"/>
    <m/>
    <s v="Unique"/>
    <s v="Valid"/>
  </r>
  <r>
    <s v="USR-101304"/>
    <d v="2025-01-14T00:00:00"/>
    <x v="1"/>
    <x v="1"/>
    <x v="1"/>
    <x v="2"/>
    <x v="0"/>
    <n v="1"/>
    <n v="1"/>
    <n v="1"/>
    <n v="0"/>
    <n v="0"/>
    <n v="0"/>
    <n v="0"/>
    <m/>
    <n v="57"/>
    <m/>
    <s v="Unique"/>
    <s v="Valid"/>
  </r>
  <r>
    <s v="USR-101305"/>
    <d v="2025-04-11T00:00:00"/>
    <x v="1"/>
    <x v="2"/>
    <x v="1"/>
    <x v="4"/>
    <x v="1"/>
    <n v="0"/>
    <n v="0"/>
    <n v="0"/>
    <n v="0"/>
    <n v="0"/>
    <n v="1"/>
    <n v="0"/>
    <m/>
    <n v="47.1"/>
    <m/>
    <s v="Unique"/>
    <s v="Valid"/>
  </r>
  <r>
    <s v="USR-101306"/>
    <d v="2025-03-26T00:00:00"/>
    <x v="1"/>
    <x v="2"/>
    <x v="0"/>
    <x v="4"/>
    <x v="0"/>
    <n v="0"/>
    <n v="0"/>
    <n v="0"/>
    <n v="0"/>
    <n v="0"/>
    <n v="0"/>
    <n v="0"/>
    <m/>
    <n v="30.7"/>
    <m/>
    <s v="Unique"/>
    <s v="Valid"/>
  </r>
  <r>
    <s v="USR-101307"/>
    <d v="2025-02-12T00:00:00"/>
    <x v="1"/>
    <x v="1"/>
    <x v="0"/>
    <x v="4"/>
    <x v="1"/>
    <n v="1"/>
    <n v="0"/>
    <n v="0"/>
    <n v="0"/>
    <n v="0"/>
    <n v="0"/>
    <n v="0"/>
    <m/>
    <n v="57.3"/>
    <m/>
    <s v="Unique"/>
    <s v="Valid"/>
  </r>
  <r>
    <s v="USR-101308"/>
    <d v="2025-02-18T00:00:00"/>
    <x v="1"/>
    <x v="1"/>
    <x v="2"/>
    <x v="2"/>
    <x v="0"/>
    <n v="1"/>
    <n v="0"/>
    <n v="0"/>
    <n v="0"/>
    <n v="0"/>
    <n v="0"/>
    <n v="0"/>
    <m/>
    <n v="70"/>
    <m/>
    <s v="Unique"/>
    <s v="Valid"/>
  </r>
  <r>
    <s v="USR-101309"/>
    <d v="2025-05-25T00:00:00"/>
    <x v="1"/>
    <x v="2"/>
    <x v="0"/>
    <x v="4"/>
    <x v="1"/>
    <n v="1"/>
    <n v="1"/>
    <n v="1"/>
    <n v="0"/>
    <n v="0"/>
    <n v="0"/>
    <n v="0"/>
    <m/>
    <n v="59.7"/>
    <m/>
    <s v="Unique"/>
    <s v="Valid"/>
  </r>
  <r>
    <s v="USR-101310"/>
    <d v="2025-05-23T00:00:00"/>
    <x v="1"/>
    <x v="2"/>
    <x v="0"/>
    <x v="2"/>
    <x v="0"/>
    <n v="1"/>
    <n v="0"/>
    <n v="0"/>
    <n v="0"/>
    <n v="0"/>
    <n v="0"/>
    <n v="0"/>
    <m/>
    <n v="68.8"/>
    <m/>
    <s v="Unique"/>
    <s v="Valid"/>
  </r>
  <r>
    <s v="USR-101311"/>
    <d v="2025-01-16T00:00:00"/>
    <x v="1"/>
    <x v="0"/>
    <x v="0"/>
    <x v="1"/>
    <x v="1"/>
    <n v="1"/>
    <n v="1"/>
    <n v="1"/>
    <n v="1"/>
    <n v="428.37"/>
    <n v="0"/>
    <n v="0"/>
    <n v="9"/>
    <n v="88.3"/>
    <m/>
    <s v="Unique"/>
    <s v="Valid"/>
  </r>
  <r>
    <s v="USR-101312"/>
    <d v="2025-01-19T00:00:00"/>
    <x v="1"/>
    <x v="1"/>
    <x v="0"/>
    <x v="0"/>
    <x v="0"/>
    <n v="0"/>
    <n v="0"/>
    <n v="0"/>
    <n v="0"/>
    <n v="0"/>
    <n v="0"/>
    <n v="0"/>
    <m/>
    <n v="83.4"/>
    <m/>
    <s v="Unique"/>
    <s v="Valid"/>
  </r>
  <r>
    <s v="USR-101313"/>
    <d v="2025-05-18T00:00:00"/>
    <x v="1"/>
    <x v="3"/>
    <x v="1"/>
    <x v="3"/>
    <x v="1"/>
    <n v="0"/>
    <n v="0"/>
    <n v="0"/>
    <n v="0"/>
    <n v="0"/>
    <n v="1"/>
    <n v="0"/>
    <m/>
    <n v="81.599999999999994"/>
    <m/>
    <s v="Unique"/>
    <s v="Valid"/>
  </r>
  <r>
    <s v="USR-101314"/>
    <d v="2025-01-23T00:00:00"/>
    <x v="1"/>
    <x v="2"/>
    <x v="2"/>
    <x v="4"/>
    <x v="2"/>
    <n v="1"/>
    <n v="0"/>
    <n v="0"/>
    <n v="0"/>
    <n v="0"/>
    <n v="0"/>
    <n v="0"/>
    <m/>
    <n v="91.6"/>
    <m/>
    <s v="Unique"/>
    <s v="Valid"/>
  </r>
  <r>
    <s v="USR-101315"/>
    <d v="2025-01-08T00:00:00"/>
    <x v="1"/>
    <x v="2"/>
    <x v="2"/>
    <x v="5"/>
    <x v="2"/>
    <n v="1"/>
    <n v="1"/>
    <n v="1"/>
    <n v="0"/>
    <n v="0"/>
    <n v="1"/>
    <n v="0"/>
    <m/>
    <n v="61.5"/>
    <m/>
    <s v="Unique"/>
    <s v="Valid"/>
  </r>
  <r>
    <s v="USR-101316"/>
    <d v="2025-02-19T00:00:00"/>
    <x v="1"/>
    <x v="0"/>
    <x v="1"/>
    <x v="1"/>
    <x v="2"/>
    <n v="0"/>
    <n v="0"/>
    <n v="0"/>
    <n v="0"/>
    <n v="0"/>
    <n v="0"/>
    <n v="0"/>
    <m/>
    <n v="60.02"/>
    <m/>
    <s v="Unique"/>
    <s v="Valid"/>
  </r>
  <r>
    <s v="USR-101317"/>
    <d v="2025-02-10T00:00:00"/>
    <x v="1"/>
    <x v="3"/>
    <x v="1"/>
    <x v="1"/>
    <x v="1"/>
    <n v="1"/>
    <n v="0"/>
    <n v="0"/>
    <n v="0"/>
    <n v="0"/>
    <n v="0"/>
    <n v="0"/>
    <m/>
    <n v="32.6"/>
    <m/>
    <s v="Unique"/>
    <s v="Valid"/>
  </r>
  <r>
    <s v="USR-101318"/>
    <d v="2025-04-13T00:00:00"/>
    <x v="1"/>
    <x v="3"/>
    <x v="1"/>
    <x v="2"/>
    <x v="1"/>
    <n v="1"/>
    <n v="0"/>
    <n v="0"/>
    <n v="0"/>
    <n v="0"/>
    <n v="0"/>
    <n v="0"/>
    <m/>
    <n v="73.900000000000006"/>
    <m/>
    <s v="Unique"/>
    <s v="Valid"/>
  </r>
  <r>
    <s v="USR-101319"/>
    <d v="2025-05-20T00:00:00"/>
    <x v="1"/>
    <x v="2"/>
    <x v="1"/>
    <x v="1"/>
    <x v="1"/>
    <n v="1"/>
    <n v="1"/>
    <n v="1"/>
    <n v="1"/>
    <n v="444.06"/>
    <n v="0"/>
    <n v="0"/>
    <n v="9"/>
    <n v="99.9"/>
    <m/>
    <s v="Unique"/>
    <s v="Valid"/>
  </r>
  <r>
    <s v="USR-101320"/>
    <d v="2025-05-13T00:00:00"/>
    <x v="1"/>
    <x v="3"/>
    <x v="1"/>
    <x v="2"/>
    <x v="0"/>
    <n v="1"/>
    <n v="1"/>
    <n v="0"/>
    <n v="0"/>
    <n v="0"/>
    <n v="1"/>
    <n v="0"/>
    <m/>
    <n v="62.4"/>
    <m/>
    <s v="Unique"/>
    <s v="Valid"/>
  </r>
  <r>
    <s v="USR-101321"/>
    <d v="2025-05-28T00:00:00"/>
    <x v="1"/>
    <x v="3"/>
    <x v="0"/>
    <x v="2"/>
    <x v="0"/>
    <n v="1"/>
    <n v="0"/>
    <n v="0"/>
    <n v="0"/>
    <n v="0"/>
    <n v="0"/>
    <n v="0"/>
    <m/>
    <n v="46.1"/>
    <m/>
    <s v="Unique"/>
    <s v="Valid"/>
  </r>
  <r>
    <s v="USR-101322"/>
    <d v="2025-03-19T00:00:00"/>
    <x v="1"/>
    <x v="1"/>
    <x v="1"/>
    <x v="1"/>
    <x v="1"/>
    <n v="1"/>
    <n v="1"/>
    <n v="1"/>
    <n v="1"/>
    <n v="2660.21"/>
    <n v="0"/>
    <n v="0"/>
    <n v="3"/>
    <n v="73.900000000000006"/>
    <m/>
    <s v="Unique"/>
    <s v="Valid"/>
  </r>
  <r>
    <s v="USR-101323"/>
    <d v="2025-02-03T00:00:00"/>
    <x v="1"/>
    <x v="0"/>
    <x v="1"/>
    <x v="0"/>
    <x v="2"/>
    <n v="0"/>
    <n v="0"/>
    <n v="0"/>
    <n v="0"/>
    <n v="0"/>
    <n v="0"/>
    <n v="0"/>
    <m/>
    <n v="90"/>
    <m/>
    <s v="Unique"/>
    <s v="Valid"/>
  </r>
  <r>
    <s v="USR-101324"/>
    <d v="2025-02-26T00:00:00"/>
    <x v="1"/>
    <x v="3"/>
    <x v="1"/>
    <x v="0"/>
    <x v="0"/>
    <n v="1"/>
    <n v="0"/>
    <n v="0"/>
    <n v="0"/>
    <n v="0"/>
    <n v="1"/>
    <n v="0"/>
    <m/>
    <n v="68.8"/>
    <m/>
    <s v="Unique"/>
    <s v="Valid"/>
  </r>
  <r>
    <s v="USR-101325"/>
    <d v="2025-01-26T00:00:00"/>
    <x v="1"/>
    <x v="1"/>
    <x v="1"/>
    <x v="2"/>
    <x v="1"/>
    <n v="1"/>
    <n v="0"/>
    <n v="0"/>
    <n v="0"/>
    <n v="0"/>
    <n v="0"/>
    <n v="0"/>
    <m/>
    <n v="66.599999999999994"/>
    <m/>
    <s v="Unique"/>
    <s v="Valid"/>
  </r>
  <r>
    <s v="USR-101326"/>
    <d v="2025-05-13T00:00:00"/>
    <x v="1"/>
    <x v="0"/>
    <x v="1"/>
    <x v="1"/>
    <x v="2"/>
    <n v="1"/>
    <n v="0"/>
    <n v="0"/>
    <n v="0"/>
    <n v="0"/>
    <n v="0"/>
    <n v="0"/>
    <m/>
    <n v="49.7"/>
    <m/>
    <s v="Unique"/>
    <s v="Valid"/>
  </r>
  <r>
    <s v="USR-101327"/>
    <d v="2025-02-02T00:00:00"/>
    <x v="1"/>
    <x v="3"/>
    <x v="1"/>
    <x v="2"/>
    <x v="0"/>
    <n v="0"/>
    <n v="0"/>
    <n v="0"/>
    <n v="0"/>
    <n v="0"/>
    <n v="0"/>
    <n v="0"/>
    <m/>
    <n v="67.900000000000006"/>
    <m/>
    <s v="Unique"/>
    <s v="Valid"/>
  </r>
  <r>
    <s v="USR-101328"/>
    <d v="2025-04-30T00:00:00"/>
    <x v="1"/>
    <x v="1"/>
    <x v="1"/>
    <x v="5"/>
    <x v="0"/>
    <n v="0"/>
    <n v="0"/>
    <n v="0"/>
    <n v="0"/>
    <n v="0"/>
    <n v="0"/>
    <n v="0"/>
    <m/>
    <n v="66.900000000000006"/>
    <m/>
    <s v="Unique"/>
    <s v="Valid"/>
  </r>
  <r>
    <s v="USR-101329"/>
    <d v="2025-03-29T00:00:00"/>
    <x v="1"/>
    <x v="2"/>
    <x v="1"/>
    <x v="1"/>
    <x v="1"/>
    <n v="0"/>
    <n v="0"/>
    <n v="0"/>
    <n v="0"/>
    <n v="0"/>
    <n v="0"/>
    <n v="0"/>
    <m/>
    <n v="46.1"/>
    <m/>
    <s v="Unique"/>
    <s v="Valid"/>
  </r>
  <r>
    <s v="USR-101330"/>
    <d v="2025-04-09T00:00:00"/>
    <x v="1"/>
    <x v="1"/>
    <x v="0"/>
    <x v="3"/>
    <x v="2"/>
    <n v="1"/>
    <n v="0"/>
    <n v="0"/>
    <n v="0"/>
    <n v="0"/>
    <n v="0"/>
    <n v="0"/>
    <m/>
    <n v="85.6"/>
    <m/>
    <s v="Unique"/>
    <s v="Valid"/>
  </r>
  <r>
    <s v="USR-101331"/>
    <d v="2025-01-22T00:00:00"/>
    <x v="1"/>
    <x v="3"/>
    <x v="2"/>
    <x v="1"/>
    <x v="1"/>
    <n v="0"/>
    <n v="0"/>
    <n v="0"/>
    <n v="0"/>
    <n v="0"/>
    <n v="0"/>
    <n v="0"/>
    <m/>
    <n v="39.6"/>
    <m/>
    <s v="Unique"/>
    <s v="Valid"/>
  </r>
  <r>
    <s v="USR-101332"/>
    <d v="2025-01-27T00:00:00"/>
    <x v="1"/>
    <x v="3"/>
    <x v="1"/>
    <x v="1"/>
    <x v="0"/>
    <n v="1"/>
    <n v="0"/>
    <n v="0"/>
    <n v="0"/>
    <n v="0"/>
    <n v="0"/>
    <n v="0"/>
    <m/>
    <n v="52.5"/>
    <m/>
    <s v="Unique"/>
    <s v="Valid"/>
  </r>
  <r>
    <s v="USR-101333"/>
    <d v="2025-01-22T00:00:00"/>
    <x v="1"/>
    <x v="2"/>
    <x v="1"/>
    <x v="4"/>
    <x v="2"/>
    <n v="1"/>
    <n v="0"/>
    <n v="0"/>
    <n v="0"/>
    <n v="0"/>
    <n v="0"/>
    <n v="0"/>
    <m/>
    <n v="73.5"/>
    <m/>
    <s v="Unique"/>
    <s v="Valid"/>
  </r>
  <r>
    <s v="USR-101334"/>
    <d v="2025-01-06T00:00:00"/>
    <x v="1"/>
    <x v="1"/>
    <x v="0"/>
    <x v="2"/>
    <x v="1"/>
    <n v="0"/>
    <n v="0"/>
    <n v="0"/>
    <n v="0"/>
    <n v="0"/>
    <n v="0"/>
    <n v="0"/>
    <m/>
    <n v="62.5"/>
    <m/>
    <s v="Unique"/>
    <s v="Valid"/>
  </r>
  <r>
    <s v="USR-101335"/>
    <d v="2025-04-16T00:00:00"/>
    <x v="1"/>
    <x v="3"/>
    <x v="3"/>
    <x v="1"/>
    <x v="1"/>
    <n v="1"/>
    <n v="0"/>
    <n v="0"/>
    <n v="0"/>
    <n v="0"/>
    <n v="0"/>
    <n v="0"/>
    <m/>
    <n v="76.900000000000006"/>
    <m/>
    <s v="Unique"/>
    <s v="Valid"/>
  </r>
  <r>
    <s v="USR-101336"/>
    <d v="2025-04-14T00:00:00"/>
    <x v="1"/>
    <x v="3"/>
    <x v="1"/>
    <x v="1"/>
    <x v="1"/>
    <n v="1"/>
    <n v="0"/>
    <n v="0"/>
    <n v="0"/>
    <n v="0"/>
    <n v="0"/>
    <n v="0"/>
    <m/>
    <n v="51.4"/>
    <m/>
    <s v="Unique"/>
    <s v="Valid"/>
  </r>
  <r>
    <s v="USR-101337"/>
    <d v="2025-02-22T00:00:00"/>
    <x v="1"/>
    <x v="1"/>
    <x v="1"/>
    <x v="2"/>
    <x v="0"/>
    <n v="1"/>
    <n v="0"/>
    <n v="0"/>
    <n v="0"/>
    <n v="0"/>
    <n v="0"/>
    <n v="0"/>
    <m/>
    <n v="59.3"/>
    <m/>
    <s v="Unique"/>
    <s v="Valid"/>
  </r>
  <r>
    <s v="USR-101338"/>
    <d v="2025-03-09T00:00:00"/>
    <x v="1"/>
    <x v="0"/>
    <x v="1"/>
    <x v="1"/>
    <x v="0"/>
    <n v="0"/>
    <n v="0"/>
    <n v="0"/>
    <n v="0"/>
    <n v="0"/>
    <n v="0"/>
    <n v="0"/>
    <m/>
    <n v="74.900000000000006"/>
    <m/>
    <s v="Unique"/>
    <s v="Valid"/>
  </r>
  <r>
    <s v="USR-101339"/>
    <d v="2025-04-20T00:00:00"/>
    <x v="1"/>
    <x v="1"/>
    <x v="0"/>
    <x v="1"/>
    <x v="1"/>
    <n v="1"/>
    <n v="0"/>
    <n v="0"/>
    <n v="0"/>
    <n v="0"/>
    <n v="0"/>
    <n v="0"/>
    <m/>
    <n v="67"/>
    <m/>
    <s v="Unique"/>
    <s v="Valid"/>
  </r>
  <r>
    <s v="USR-101340"/>
    <d v="2025-03-10T00:00:00"/>
    <x v="1"/>
    <x v="3"/>
    <x v="1"/>
    <x v="0"/>
    <x v="1"/>
    <n v="0"/>
    <n v="0"/>
    <n v="0"/>
    <n v="0"/>
    <n v="0"/>
    <n v="0"/>
    <n v="0"/>
    <m/>
    <n v="63.6"/>
    <m/>
    <s v="Unique"/>
    <s v="Valid"/>
  </r>
  <r>
    <s v="USR-101341"/>
    <d v="2025-02-21T00:00:00"/>
    <x v="1"/>
    <x v="3"/>
    <x v="1"/>
    <x v="0"/>
    <x v="1"/>
    <n v="1"/>
    <n v="1"/>
    <n v="0"/>
    <n v="0"/>
    <n v="0"/>
    <n v="1"/>
    <n v="0"/>
    <m/>
    <n v="58.4"/>
    <m/>
    <s v="Unique"/>
    <s v="Valid"/>
  </r>
  <r>
    <s v="USR-101342"/>
    <d v="2025-01-06T00:00:00"/>
    <x v="1"/>
    <x v="0"/>
    <x v="0"/>
    <x v="4"/>
    <x v="1"/>
    <n v="1"/>
    <n v="0"/>
    <n v="0"/>
    <n v="0"/>
    <n v="0"/>
    <n v="0"/>
    <n v="0"/>
    <m/>
    <n v="36.799999999999997"/>
    <m/>
    <s v="Unique"/>
    <s v="Valid"/>
  </r>
  <r>
    <s v="USR-101343"/>
    <d v="2025-04-17T00:00:00"/>
    <x v="1"/>
    <x v="3"/>
    <x v="1"/>
    <x v="1"/>
    <x v="2"/>
    <n v="1"/>
    <n v="0"/>
    <n v="0"/>
    <n v="0"/>
    <n v="0"/>
    <n v="0"/>
    <n v="0"/>
    <m/>
    <n v="71.599999999999994"/>
    <m/>
    <s v="Unique"/>
    <s v="Valid"/>
  </r>
  <r>
    <s v="USR-101344"/>
    <d v="2025-05-23T00:00:00"/>
    <x v="1"/>
    <x v="3"/>
    <x v="1"/>
    <x v="0"/>
    <x v="0"/>
    <n v="1"/>
    <n v="1"/>
    <n v="0"/>
    <n v="0"/>
    <n v="0"/>
    <n v="1"/>
    <n v="0"/>
    <m/>
    <n v="79.7"/>
    <m/>
    <s v="Unique"/>
    <s v="Valid"/>
  </r>
  <r>
    <s v="USR-101345"/>
    <d v="2025-03-14T00:00:00"/>
    <x v="1"/>
    <x v="1"/>
    <x v="0"/>
    <x v="1"/>
    <x v="0"/>
    <n v="1"/>
    <n v="0"/>
    <n v="0"/>
    <n v="0"/>
    <n v="0"/>
    <n v="1"/>
    <n v="0"/>
    <m/>
    <n v="56.5"/>
    <m/>
    <s v="Unique"/>
    <s v="Valid"/>
  </r>
  <r>
    <s v="USR-101346"/>
    <d v="2025-04-21T00:00:00"/>
    <x v="1"/>
    <x v="0"/>
    <x v="1"/>
    <x v="4"/>
    <x v="2"/>
    <n v="1"/>
    <n v="0"/>
    <n v="0"/>
    <n v="0"/>
    <n v="0"/>
    <n v="0"/>
    <n v="0"/>
    <m/>
    <n v="44.7"/>
    <m/>
    <s v="Unique"/>
    <s v="Valid"/>
  </r>
  <r>
    <s v="USR-101347"/>
    <d v="2025-01-03T00:00:00"/>
    <x v="1"/>
    <x v="3"/>
    <x v="1"/>
    <x v="4"/>
    <x v="1"/>
    <n v="1"/>
    <n v="1"/>
    <n v="1"/>
    <n v="0"/>
    <n v="0"/>
    <n v="1"/>
    <n v="0"/>
    <m/>
    <n v="66"/>
    <m/>
    <s v="Unique"/>
    <s v="Valid"/>
  </r>
  <r>
    <s v="USR-101348"/>
    <d v="2025-05-09T00:00:00"/>
    <x v="1"/>
    <x v="0"/>
    <x v="0"/>
    <x v="1"/>
    <x v="0"/>
    <n v="1"/>
    <n v="0"/>
    <n v="0"/>
    <n v="0"/>
    <n v="0"/>
    <n v="0"/>
    <n v="0"/>
    <m/>
    <n v="73"/>
    <m/>
    <s v="Unique"/>
    <s v="Valid"/>
  </r>
  <r>
    <s v="USR-101349"/>
    <d v="2025-05-22T00:00:00"/>
    <x v="1"/>
    <x v="3"/>
    <x v="1"/>
    <x v="1"/>
    <x v="0"/>
    <n v="1"/>
    <n v="1"/>
    <n v="1"/>
    <n v="0"/>
    <n v="0"/>
    <n v="1"/>
    <n v="0"/>
    <m/>
    <n v="72.5"/>
    <m/>
    <s v="Unique"/>
    <s v="Valid"/>
  </r>
  <r>
    <s v="USR-101350"/>
    <d v="2025-05-07T00:00:00"/>
    <x v="1"/>
    <x v="3"/>
    <x v="0"/>
    <x v="2"/>
    <x v="1"/>
    <n v="1"/>
    <n v="1"/>
    <n v="1"/>
    <n v="1"/>
    <n v="323.60000000000002"/>
    <n v="0"/>
    <n v="0"/>
    <n v="6"/>
    <n v="100"/>
    <m/>
    <s v="Unique"/>
    <s v="Valid"/>
  </r>
  <r>
    <s v="USR-101351"/>
    <d v="2025-02-08T00:00:00"/>
    <x v="1"/>
    <x v="2"/>
    <x v="1"/>
    <x v="4"/>
    <x v="1"/>
    <n v="0"/>
    <n v="0"/>
    <n v="0"/>
    <n v="0"/>
    <n v="0"/>
    <n v="1"/>
    <n v="0"/>
    <m/>
    <n v="90.5"/>
    <m/>
    <s v="Unique"/>
    <s v="Valid"/>
  </r>
  <r>
    <s v="USR-101352"/>
    <d v="2025-04-03T00:00:00"/>
    <x v="1"/>
    <x v="0"/>
    <x v="2"/>
    <x v="4"/>
    <x v="0"/>
    <n v="1"/>
    <n v="0"/>
    <n v="0"/>
    <n v="0"/>
    <n v="0"/>
    <n v="0"/>
    <n v="0"/>
    <m/>
    <n v="70.2"/>
    <m/>
    <s v="Unique"/>
    <s v="Valid"/>
  </r>
  <r>
    <s v="USR-101353"/>
    <d v="2025-04-17T00:00:00"/>
    <x v="1"/>
    <x v="2"/>
    <x v="0"/>
    <x v="2"/>
    <x v="1"/>
    <n v="1"/>
    <n v="0"/>
    <n v="0"/>
    <n v="0"/>
    <n v="0"/>
    <n v="1"/>
    <n v="0"/>
    <m/>
    <n v="67.099999999999994"/>
    <m/>
    <s v="Unique"/>
    <s v="Valid"/>
  </r>
  <r>
    <s v="USR-101354"/>
    <d v="2025-05-04T00:00:00"/>
    <x v="1"/>
    <x v="2"/>
    <x v="1"/>
    <x v="1"/>
    <x v="1"/>
    <n v="0"/>
    <n v="0"/>
    <n v="0"/>
    <n v="0"/>
    <n v="0"/>
    <n v="0"/>
    <n v="0"/>
    <m/>
    <n v="54.5"/>
    <m/>
    <s v="Unique"/>
    <s v="Valid"/>
  </r>
  <r>
    <s v="USR-101355"/>
    <d v="2025-05-11T00:00:00"/>
    <x v="1"/>
    <x v="1"/>
    <x v="0"/>
    <x v="1"/>
    <x v="1"/>
    <n v="1"/>
    <n v="0"/>
    <n v="0"/>
    <n v="0"/>
    <n v="0"/>
    <n v="0"/>
    <n v="0"/>
    <m/>
    <n v="63.4"/>
    <m/>
    <s v="Unique"/>
    <s v="Valid"/>
  </r>
  <r>
    <s v="USR-101356"/>
    <d v="2025-03-01T00:00:00"/>
    <x v="1"/>
    <x v="0"/>
    <x v="0"/>
    <x v="5"/>
    <x v="1"/>
    <n v="1"/>
    <n v="1"/>
    <n v="1"/>
    <n v="0"/>
    <n v="0"/>
    <n v="0"/>
    <n v="0"/>
    <m/>
    <n v="84.3"/>
    <m/>
    <s v="Unique"/>
    <s v="Valid"/>
  </r>
  <r>
    <s v="USR-101357"/>
    <d v="2025-02-20T00:00:00"/>
    <x v="1"/>
    <x v="1"/>
    <x v="0"/>
    <x v="1"/>
    <x v="1"/>
    <n v="1"/>
    <n v="0"/>
    <n v="0"/>
    <n v="0"/>
    <n v="0"/>
    <n v="1"/>
    <n v="0"/>
    <m/>
    <n v="55"/>
    <m/>
    <s v="Unique"/>
    <s v="Valid"/>
  </r>
  <r>
    <s v="USR-101358"/>
    <d v="2025-05-09T00:00:00"/>
    <x v="1"/>
    <x v="1"/>
    <x v="1"/>
    <x v="4"/>
    <x v="1"/>
    <n v="1"/>
    <n v="0"/>
    <n v="0"/>
    <n v="0"/>
    <n v="0"/>
    <n v="0"/>
    <n v="0"/>
    <m/>
    <n v="63.6"/>
    <m/>
    <s v="Unique"/>
    <s v="Valid"/>
  </r>
  <r>
    <s v="USR-101359"/>
    <d v="2025-04-30T00:00:00"/>
    <x v="1"/>
    <x v="1"/>
    <x v="1"/>
    <x v="1"/>
    <x v="1"/>
    <n v="1"/>
    <n v="0"/>
    <n v="0"/>
    <n v="0"/>
    <n v="0"/>
    <n v="0"/>
    <n v="0"/>
    <m/>
    <n v="55.5"/>
    <m/>
    <s v="Unique"/>
    <s v="Valid"/>
  </r>
  <r>
    <s v="USR-101360"/>
    <d v="2025-01-07T00:00:00"/>
    <x v="1"/>
    <x v="3"/>
    <x v="1"/>
    <x v="4"/>
    <x v="0"/>
    <n v="0"/>
    <n v="0"/>
    <n v="0"/>
    <n v="0"/>
    <n v="0"/>
    <n v="0"/>
    <n v="0"/>
    <m/>
    <n v="50.5"/>
    <m/>
    <s v="Unique"/>
    <s v="Valid"/>
  </r>
  <r>
    <s v="USR-101361"/>
    <d v="2025-04-30T00:00:00"/>
    <x v="1"/>
    <x v="0"/>
    <x v="1"/>
    <x v="4"/>
    <x v="0"/>
    <n v="1"/>
    <n v="0"/>
    <n v="0"/>
    <n v="0"/>
    <n v="0"/>
    <n v="0"/>
    <n v="0"/>
    <m/>
    <n v="45.3"/>
    <m/>
    <s v="Unique"/>
    <s v="Valid"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m/>
    <s v="Duplicate"/>
    <s v="Valid"/>
  </r>
  <r>
    <s v="USR-101363"/>
    <d v="2025-03-12T00:00:00"/>
    <x v="1"/>
    <x v="3"/>
    <x v="1"/>
    <x v="2"/>
    <x v="2"/>
    <n v="1"/>
    <n v="1"/>
    <n v="1"/>
    <n v="0"/>
    <n v="0"/>
    <n v="0"/>
    <n v="0"/>
    <m/>
    <n v="88.2"/>
    <m/>
    <s v="Unique"/>
    <s v="Valid"/>
  </r>
  <r>
    <s v="USR-101364"/>
    <d v="2025-02-17T00:00:00"/>
    <x v="1"/>
    <x v="0"/>
    <x v="1"/>
    <x v="1"/>
    <x v="2"/>
    <n v="1"/>
    <n v="0"/>
    <n v="0"/>
    <n v="0"/>
    <n v="0"/>
    <n v="0"/>
    <n v="0"/>
    <m/>
    <n v="51.8"/>
    <m/>
    <s v="Unique"/>
    <s v="Valid"/>
  </r>
  <r>
    <s v="USR-101365"/>
    <d v="2025-05-27T00:00:00"/>
    <x v="1"/>
    <x v="0"/>
    <x v="0"/>
    <x v="1"/>
    <x v="0"/>
    <n v="0"/>
    <n v="0"/>
    <n v="0"/>
    <n v="0"/>
    <n v="0"/>
    <n v="0"/>
    <n v="0"/>
    <m/>
    <n v="87.9"/>
    <m/>
    <s v="Unique"/>
    <s v="Valid"/>
  </r>
  <r>
    <s v="USR-101366"/>
    <d v="2025-05-10T00:00:00"/>
    <x v="1"/>
    <x v="3"/>
    <x v="1"/>
    <x v="4"/>
    <x v="2"/>
    <n v="1"/>
    <n v="0"/>
    <n v="0"/>
    <n v="0"/>
    <n v="0"/>
    <n v="2"/>
    <n v="0"/>
    <m/>
    <n v="70.5"/>
    <m/>
    <s v="Unique"/>
    <s v="Valid"/>
  </r>
  <r>
    <s v="USR-101367"/>
    <d v="2025-01-20T00:00:00"/>
    <x v="1"/>
    <x v="0"/>
    <x v="1"/>
    <x v="1"/>
    <x v="0"/>
    <n v="1"/>
    <n v="1"/>
    <n v="0"/>
    <n v="0"/>
    <n v="0"/>
    <n v="2"/>
    <n v="0"/>
    <m/>
    <n v="58.5"/>
    <m/>
    <s v="Unique"/>
    <s v="Valid"/>
  </r>
  <r>
    <s v="USR-101368"/>
    <d v="2025-01-19T00:00:00"/>
    <x v="1"/>
    <x v="2"/>
    <x v="1"/>
    <x v="3"/>
    <x v="1"/>
    <n v="1"/>
    <n v="0"/>
    <n v="0"/>
    <n v="0"/>
    <n v="0"/>
    <n v="0"/>
    <n v="0"/>
    <m/>
    <n v="65.599999999999994"/>
    <m/>
    <s v="Unique"/>
    <s v="Valid"/>
  </r>
  <r>
    <s v="USR-101369"/>
    <d v="2025-03-07T00:00:00"/>
    <x v="1"/>
    <x v="1"/>
    <x v="0"/>
    <x v="2"/>
    <x v="0"/>
    <n v="1"/>
    <n v="1"/>
    <n v="0"/>
    <n v="0"/>
    <n v="0"/>
    <n v="0"/>
    <n v="0"/>
    <m/>
    <n v="62.7"/>
    <m/>
    <s v="Unique"/>
    <s v="Valid"/>
  </r>
  <r>
    <s v="USR-101370"/>
    <d v="2025-02-02T00:00:00"/>
    <x v="1"/>
    <x v="2"/>
    <x v="1"/>
    <x v="1"/>
    <x v="1"/>
    <n v="0"/>
    <n v="0"/>
    <n v="0"/>
    <n v="0"/>
    <n v="0"/>
    <n v="1"/>
    <n v="0"/>
    <m/>
    <n v="50.9"/>
    <m/>
    <s v="Unique"/>
    <s v="Valid"/>
  </r>
  <r>
    <s v="USR-101371"/>
    <d v="2025-03-07T00:00:00"/>
    <x v="1"/>
    <x v="0"/>
    <x v="1"/>
    <x v="1"/>
    <x v="1"/>
    <n v="0"/>
    <n v="0"/>
    <n v="0"/>
    <n v="0"/>
    <n v="0"/>
    <n v="1"/>
    <n v="0"/>
    <m/>
    <n v="60.6"/>
    <m/>
    <s v="Unique"/>
    <s v="Valid"/>
  </r>
  <r>
    <s v="USR-101372"/>
    <d v="2025-03-30T00:00:00"/>
    <x v="1"/>
    <x v="2"/>
    <x v="0"/>
    <x v="1"/>
    <x v="1"/>
    <n v="1"/>
    <n v="1"/>
    <n v="1"/>
    <n v="0"/>
    <n v="0"/>
    <n v="0"/>
    <n v="0"/>
    <m/>
    <n v="76.599999999999994"/>
    <m/>
    <s v="Unique"/>
    <s v="Valid"/>
  </r>
  <r>
    <s v="USR-101373"/>
    <d v="2025-05-05T00:00:00"/>
    <x v="1"/>
    <x v="2"/>
    <x v="0"/>
    <x v="2"/>
    <x v="1"/>
    <n v="1"/>
    <n v="1"/>
    <n v="1"/>
    <n v="0"/>
    <n v="0"/>
    <n v="0"/>
    <n v="0"/>
    <m/>
    <n v="54.4"/>
    <m/>
    <s v="Unique"/>
    <s v="Valid"/>
  </r>
  <r>
    <s v="USR-101374"/>
    <d v="2025-04-11T00:00:00"/>
    <x v="1"/>
    <x v="3"/>
    <x v="1"/>
    <x v="4"/>
    <x v="1"/>
    <n v="1"/>
    <n v="0"/>
    <n v="0"/>
    <n v="0"/>
    <n v="0"/>
    <n v="0"/>
    <n v="0"/>
    <m/>
    <n v="31.2"/>
    <m/>
    <s v="Unique"/>
    <s v="Valid"/>
  </r>
  <r>
    <s v="USR-101375"/>
    <d v="2025-03-25T00:00:00"/>
    <x v="1"/>
    <x v="1"/>
    <x v="0"/>
    <x v="0"/>
    <x v="2"/>
    <n v="1"/>
    <n v="0"/>
    <n v="0"/>
    <n v="0"/>
    <n v="0"/>
    <n v="0"/>
    <n v="0"/>
    <m/>
    <n v="72.400000000000006"/>
    <m/>
    <s v="Unique"/>
    <s v="Valid"/>
  </r>
  <r>
    <s v="USR-101376"/>
    <d v="2025-03-24T00:00:00"/>
    <x v="1"/>
    <x v="0"/>
    <x v="1"/>
    <x v="1"/>
    <x v="2"/>
    <n v="1"/>
    <n v="0"/>
    <n v="0"/>
    <n v="0"/>
    <n v="0"/>
    <n v="0"/>
    <n v="0"/>
    <m/>
    <n v="74.5"/>
    <m/>
    <s v="Unique"/>
    <s v="Valid"/>
  </r>
  <r>
    <s v="USR-101377"/>
    <d v="2025-04-27T00:00:00"/>
    <x v="1"/>
    <x v="2"/>
    <x v="1"/>
    <x v="1"/>
    <x v="0"/>
    <n v="0"/>
    <n v="0"/>
    <n v="0"/>
    <n v="0"/>
    <n v="0"/>
    <n v="0"/>
    <n v="0"/>
    <m/>
    <n v="52.6"/>
    <m/>
    <s v="Unique"/>
    <s v="Valid"/>
  </r>
  <r>
    <s v="USR-101378"/>
    <d v="2025-01-25T00:00:00"/>
    <x v="1"/>
    <x v="0"/>
    <x v="0"/>
    <x v="2"/>
    <x v="1"/>
    <n v="1"/>
    <n v="0"/>
    <n v="0"/>
    <n v="0"/>
    <n v="0"/>
    <n v="0"/>
    <n v="0"/>
    <m/>
    <n v="75.400000000000006"/>
    <m/>
    <s v="Unique"/>
    <s v="Valid"/>
  </r>
  <r>
    <s v="USR-101379"/>
    <d v="2025-02-17T00:00:00"/>
    <x v="1"/>
    <x v="0"/>
    <x v="2"/>
    <x v="4"/>
    <x v="0"/>
    <n v="1"/>
    <n v="1"/>
    <n v="1"/>
    <n v="1"/>
    <n v="751.33"/>
    <n v="0"/>
    <n v="0"/>
    <n v="9"/>
    <n v="34"/>
    <m/>
    <s v="Unique"/>
    <s v="Valid"/>
  </r>
  <r>
    <s v="USR-101380"/>
    <d v="2025-04-13T00:00:00"/>
    <x v="1"/>
    <x v="3"/>
    <x v="0"/>
    <x v="1"/>
    <x v="1"/>
    <n v="1"/>
    <n v="0"/>
    <n v="0"/>
    <n v="0"/>
    <n v="0"/>
    <n v="0"/>
    <n v="0"/>
    <m/>
    <n v="67.099999999999994"/>
    <m/>
    <s v="Unique"/>
    <s v="Valid"/>
  </r>
  <r>
    <s v="USR-101381"/>
    <d v="2025-05-03T00:00:00"/>
    <x v="1"/>
    <x v="1"/>
    <x v="0"/>
    <x v="2"/>
    <x v="2"/>
    <n v="1"/>
    <n v="0"/>
    <n v="0"/>
    <n v="0"/>
    <n v="0"/>
    <n v="0"/>
    <n v="0"/>
    <m/>
    <n v="37.299999999999997"/>
    <m/>
    <s v="Unique"/>
    <s v="Valid"/>
  </r>
  <r>
    <s v="USR-101382"/>
    <d v="2025-04-29T00:00:00"/>
    <x v="1"/>
    <x v="1"/>
    <x v="1"/>
    <x v="0"/>
    <x v="1"/>
    <n v="1"/>
    <n v="0"/>
    <n v="0"/>
    <n v="0"/>
    <n v="0"/>
    <n v="0"/>
    <n v="0"/>
    <m/>
    <n v="54.7"/>
    <m/>
    <s v="Unique"/>
    <s v="Valid"/>
  </r>
  <r>
    <s v="USR-101383"/>
    <d v="2025-05-03T00:00:00"/>
    <x v="1"/>
    <x v="2"/>
    <x v="0"/>
    <x v="2"/>
    <x v="1"/>
    <n v="1"/>
    <n v="0"/>
    <n v="0"/>
    <n v="0"/>
    <n v="0"/>
    <n v="0"/>
    <n v="0"/>
    <m/>
    <n v="51.8"/>
    <m/>
    <s v="Unique"/>
    <s v="Valid"/>
  </r>
  <r>
    <s v="USR-101384"/>
    <d v="2025-04-28T00:00:00"/>
    <x v="1"/>
    <x v="1"/>
    <x v="1"/>
    <x v="2"/>
    <x v="1"/>
    <n v="0"/>
    <n v="0"/>
    <n v="0"/>
    <n v="0"/>
    <n v="0"/>
    <n v="0"/>
    <n v="0"/>
    <m/>
    <n v="49.2"/>
    <m/>
    <s v="Unique"/>
    <s v="Valid"/>
  </r>
  <r>
    <s v="USR-101385"/>
    <d v="2025-01-21T00:00:00"/>
    <x v="1"/>
    <x v="1"/>
    <x v="1"/>
    <x v="1"/>
    <x v="1"/>
    <n v="1"/>
    <n v="0"/>
    <n v="0"/>
    <n v="0"/>
    <n v="0"/>
    <n v="2"/>
    <n v="0"/>
    <m/>
    <n v="58.8"/>
    <m/>
    <s v="Unique"/>
    <s v="Valid"/>
  </r>
  <r>
    <s v="USR-101386"/>
    <d v="2025-01-21T00:00:00"/>
    <x v="1"/>
    <x v="0"/>
    <x v="2"/>
    <x v="2"/>
    <x v="0"/>
    <n v="0"/>
    <n v="0"/>
    <n v="0"/>
    <n v="0"/>
    <n v="0"/>
    <n v="1"/>
    <n v="0"/>
    <m/>
    <n v="59.1"/>
    <m/>
    <s v="Unique"/>
    <s v="Valid"/>
  </r>
  <r>
    <s v="USR-101387"/>
    <d v="2025-05-21T00:00:00"/>
    <x v="1"/>
    <x v="1"/>
    <x v="0"/>
    <x v="2"/>
    <x v="1"/>
    <n v="1"/>
    <n v="0"/>
    <n v="0"/>
    <n v="0"/>
    <n v="0"/>
    <n v="2"/>
    <n v="0"/>
    <m/>
    <n v="49.6"/>
    <m/>
    <s v="Unique"/>
    <s v="Valid"/>
  </r>
  <r>
    <s v="USR-101388"/>
    <d v="2025-01-05T00:00:00"/>
    <x v="1"/>
    <x v="0"/>
    <x v="1"/>
    <x v="3"/>
    <x v="1"/>
    <n v="0"/>
    <n v="0"/>
    <n v="0"/>
    <n v="0"/>
    <n v="0"/>
    <n v="0"/>
    <n v="0"/>
    <m/>
    <n v="58.2"/>
    <m/>
    <s v="Unique"/>
    <s v="Valid"/>
  </r>
  <r>
    <s v="USR-101389"/>
    <d v="2025-03-06T00:00:00"/>
    <x v="1"/>
    <x v="3"/>
    <x v="0"/>
    <x v="1"/>
    <x v="1"/>
    <n v="1"/>
    <n v="0"/>
    <n v="0"/>
    <n v="0"/>
    <n v="0"/>
    <n v="0"/>
    <n v="0"/>
    <m/>
    <n v="66.8"/>
    <m/>
    <s v="Unique"/>
    <s v="Valid"/>
  </r>
  <r>
    <s v="USR-101390"/>
    <d v="2025-04-18T00:00:00"/>
    <x v="1"/>
    <x v="0"/>
    <x v="1"/>
    <x v="2"/>
    <x v="1"/>
    <n v="1"/>
    <n v="0"/>
    <n v="0"/>
    <n v="0"/>
    <n v="0"/>
    <n v="3"/>
    <n v="0"/>
    <m/>
    <n v="58.3"/>
    <m/>
    <s v="Unique"/>
    <s v="Valid"/>
  </r>
  <r>
    <s v="USR-101391"/>
    <d v="2025-04-15T00:00:00"/>
    <x v="1"/>
    <x v="1"/>
    <x v="1"/>
    <x v="1"/>
    <x v="0"/>
    <n v="1"/>
    <n v="1"/>
    <n v="1"/>
    <n v="0"/>
    <n v="0"/>
    <n v="0"/>
    <n v="0"/>
    <m/>
    <n v="38.5"/>
    <m/>
    <s v="Unique"/>
    <s v="Valid"/>
  </r>
  <r>
    <s v="USR-101392"/>
    <d v="2025-02-10T00:00:00"/>
    <x v="1"/>
    <x v="2"/>
    <x v="1"/>
    <x v="2"/>
    <x v="1"/>
    <n v="1"/>
    <n v="0"/>
    <n v="0"/>
    <n v="0"/>
    <n v="0"/>
    <n v="0"/>
    <n v="0"/>
    <m/>
    <n v="76.900000000000006"/>
    <m/>
    <s v="Unique"/>
    <s v="Valid"/>
  </r>
  <r>
    <s v="USR-101393"/>
    <d v="2025-05-08T00:00:00"/>
    <x v="1"/>
    <x v="2"/>
    <x v="1"/>
    <x v="1"/>
    <x v="1"/>
    <n v="1"/>
    <n v="0"/>
    <n v="0"/>
    <n v="0"/>
    <n v="0"/>
    <n v="0"/>
    <n v="0"/>
    <m/>
    <n v="54"/>
    <m/>
    <s v="Unique"/>
    <s v="Valid"/>
  </r>
  <r>
    <s v="USR-101394"/>
    <d v="2025-05-28T00:00:00"/>
    <x v="1"/>
    <x v="2"/>
    <x v="2"/>
    <x v="1"/>
    <x v="1"/>
    <n v="1"/>
    <n v="0"/>
    <n v="0"/>
    <n v="0"/>
    <n v="0"/>
    <n v="0"/>
    <n v="0"/>
    <m/>
    <n v="70.599999999999994"/>
    <m/>
    <s v="Unique"/>
    <s v="Valid"/>
  </r>
  <r>
    <s v="USR-101395"/>
    <d v="2025-04-25T00:00:00"/>
    <x v="1"/>
    <x v="0"/>
    <x v="2"/>
    <x v="3"/>
    <x v="2"/>
    <n v="1"/>
    <n v="1"/>
    <n v="1"/>
    <n v="0"/>
    <n v="0"/>
    <n v="1"/>
    <n v="0"/>
    <m/>
    <n v="69.400000000000006"/>
    <m/>
    <s v="Unique"/>
    <s v="Valid"/>
  </r>
  <r>
    <s v="USR-101396"/>
    <d v="2025-02-11T00:00:00"/>
    <x v="1"/>
    <x v="3"/>
    <x v="1"/>
    <x v="5"/>
    <x v="2"/>
    <n v="1"/>
    <n v="1"/>
    <n v="1"/>
    <n v="1"/>
    <n v="1009.9"/>
    <n v="0"/>
    <n v="0"/>
    <n v="6"/>
    <n v="89.7"/>
    <m/>
    <s v="Unique"/>
    <s v="Valid"/>
  </r>
  <r>
    <s v="USR-101397"/>
    <d v="2025-04-14T00:00:00"/>
    <x v="1"/>
    <x v="1"/>
    <x v="1"/>
    <x v="1"/>
    <x v="1"/>
    <n v="1"/>
    <n v="0"/>
    <n v="0"/>
    <n v="0"/>
    <n v="0"/>
    <n v="0"/>
    <n v="0"/>
    <m/>
    <n v="62.4"/>
    <m/>
    <s v="Unique"/>
    <s v="Valid"/>
  </r>
  <r>
    <s v="USR-101398"/>
    <d v="2025-02-04T00:00:00"/>
    <x v="1"/>
    <x v="1"/>
    <x v="2"/>
    <x v="1"/>
    <x v="2"/>
    <n v="0"/>
    <n v="0"/>
    <n v="0"/>
    <n v="0"/>
    <n v="0"/>
    <n v="0"/>
    <n v="0"/>
    <m/>
    <n v="67.3"/>
    <m/>
    <s v="Unique"/>
    <s v="Valid"/>
  </r>
  <r>
    <s v="USR-101399"/>
    <d v="2025-03-22T00:00:00"/>
    <x v="1"/>
    <x v="2"/>
    <x v="1"/>
    <x v="3"/>
    <x v="1"/>
    <n v="1"/>
    <n v="0"/>
    <n v="0"/>
    <n v="0"/>
    <n v="0"/>
    <n v="0"/>
    <n v="0"/>
    <m/>
    <n v="54.9"/>
    <m/>
    <s v="Unique"/>
    <s v="Valid"/>
  </r>
  <r>
    <s v="USR-101400"/>
    <d v="2025-04-18T00:00:00"/>
    <x v="1"/>
    <x v="2"/>
    <x v="0"/>
    <x v="4"/>
    <x v="1"/>
    <n v="0"/>
    <n v="0"/>
    <n v="0"/>
    <n v="0"/>
    <n v="0"/>
    <n v="0"/>
    <n v="0"/>
    <m/>
    <n v="55.7"/>
    <m/>
    <s v="Unique"/>
    <s v="Valid"/>
  </r>
  <r>
    <s v="USR-100917"/>
    <d v="2025-02-23T00:00:00"/>
    <x v="1"/>
    <x v="1"/>
    <x v="0"/>
    <x v="4"/>
    <x v="0"/>
    <n v="1"/>
    <n v="1"/>
    <n v="1"/>
    <n v="0"/>
    <n v="0"/>
    <n v="0"/>
    <n v="0"/>
    <m/>
    <n v="70.599999999999994"/>
    <m/>
    <s v="Duplicate"/>
    <s v="Valid"/>
  </r>
  <r>
    <s v="USR-100433"/>
    <d v="2025-02-03T00:00:00"/>
    <x v="0"/>
    <x v="0"/>
    <x v="2"/>
    <x v="0"/>
    <x v="0"/>
    <n v="1"/>
    <n v="0"/>
    <n v="0"/>
    <n v="0"/>
    <n v="0"/>
    <n v="0"/>
    <n v="0"/>
    <m/>
    <n v="60.9"/>
    <m/>
    <s v="Duplicate"/>
    <s v="Valid"/>
  </r>
  <r>
    <s v="USR-101362"/>
    <d v="2025-05-23T00:00:00"/>
    <x v="1"/>
    <x v="2"/>
    <x v="1"/>
    <x v="1"/>
    <x v="0"/>
    <n v="1"/>
    <n v="0"/>
    <n v="0"/>
    <n v="0"/>
    <n v="0"/>
    <n v="0"/>
    <n v="0"/>
    <m/>
    <n v="33.6"/>
    <m/>
    <s v="Duplicate"/>
    <s v="Valid"/>
  </r>
  <r>
    <s v="USR-100096"/>
    <d v="2025-02-05T00:00:00"/>
    <x v="0"/>
    <x v="2"/>
    <x v="1"/>
    <x v="4"/>
    <x v="1"/>
    <n v="0"/>
    <n v="0"/>
    <n v="0"/>
    <n v="0"/>
    <n v="0"/>
    <n v="0"/>
    <n v="0"/>
    <m/>
    <n v="68"/>
    <m/>
    <s v="Duplicate"/>
    <s v="Valid"/>
  </r>
  <r>
    <s v="USR-101210"/>
    <d v="2025-02-24T00:00:00"/>
    <x v="1"/>
    <x v="1"/>
    <x v="1"/>
    <x v="1"/>
    <x v="0"/>
    <n v="1"/>
    <n v="0"/>
    <n v="0"/>
    <n v="0"/>
    <n v="0"/>
    <n v="0"/>
    <n v="0"/>
    <m/>
    <n v="62"/>
    <m/>
    <s v="Duplicate"/>
    <s v="Valid"/>
  </r>
  <r>
    <s v="USR-101232"/>
    <d v="2025-03-30T00:00:00"/>
    <x v="1"/>
    <x v="2"/>
    <x v="1"/>
    <x v="1"/>
    <x v="1"/>
    <n v="1"/>
    <n v="1"/>
    <n v="1"/>
    <n v="0"/>
    <n v="0"/>
    <n v="1"/>
    <n v="0"/>
    <m/>
    <n v="72.5"/>
    <m/>
    <s v="Duplicate"/>
    <s v="Valid"/>
  </r>
  <r>
    <s v="USR-101059"/>
    <d v="2025-05-16T00:00:00"/>
    <x v="1"/>
    <x v="3"/>
    <x v="1"/>
    <x v="1"/>
    <x v="1"/>
    <n v="1"/>
    <n v="0"/>
    <n v="0"/>
    <n v="0"/>
    <n v="0"/>
    <n v="0"/>
    <n v="0"/>
    <m/>
    <n v="70.3"/>
    <m/>
    <s v="Duplicate"/>
    <s v="Valid"/>
  </r>
  <r>
    <s v="USR-100541"/>
    <d v="2025-05-22T00:00:00"/>
    <x v="0"/>
    <x v="0"/>
    <x v="1"/>
    <x v="2"/>
    <x v="0"/>
    <n v="1"/>
    <n v="1"/>
    <n v="0"/>
    <n v="0"/>
    <n v="0"/>
    <n v="0"/>
    <n v="0"/>
    <m/>
    <n v="39.9"/>
    <m/>
    <s v="Duplicate"/>
    <s v="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40D591-1A1F-4588-8A86-DBD8BDB4F88B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6">
    <pivotField dataField="1"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624C81-F763-4080-976C-593731E05461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9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9EDAED-CD11-4AC5-96FB-CF621AB83D6C}" name="PivotTable4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9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345E6A-CAA1-4F13-B943-BE00F2231E24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1" firstHeaderRow="1" firstDataRow="2" firstDataCol="1"/>
  <pivotFields count="19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F62373-0C37-4E7E-8604-162D280A5451}" name="PivotTable6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1" firstDataRow="2" firstDataCol="1"/>
  <pivotFields count="19">
    <pivotField dataField="1"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43405F-A283-49A6-BF80-B383DB07D932}" name="PivotTable7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9">
    <pivotField showAll="0"/>
    <pivotField numFmtId="16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3" baseItem="0"/>
  </dataFields>
  <formats count="2">
    <format dxfId="1">
      <pivotArea collapsedLevelsAreSubtotals="1" fieldPosition="0">
        <references count="1">
          <reference field="3" count="0"/>
        </references>
      </pivotArea>
    </format>
    <format dxfId="0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3066E-6525-4675-B4F7-E68459B47953}" name="PivotTable8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19">
    <pivotField showAll="0"/>
    <pivotField numFmtId="16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engagement_score" fld="15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33A822-E6B3-4457-B6B0-2A85C5376A7E}" name="PivotTable9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1" firstHeaderRow="1" firstDataRow="2" firstDataCol="1"/>
  <pivotFields count="19">
    <pivotField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revenue_30d" fld="11" subtotal="average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A32B-BAAB-407B-8E7B-5C2FB66EDFF6}">
  <dimension ref="A3:B6"/>
  <sheetViews>
    <sheetView workbookViewId="0">
      <selection activeCell="A3" sqref="A3"/>
    </sheetView>
  </sheetViews>
  <sheetFormatPr defaultRowHeight="13.8"/>
  <cols>
    <col min="1" max="1" width="13.09765625" bestFit="1" customWidth="1"/>
    <col min="2" max="2" width="15.3984375" bestFit="1" customWidth="1"/>
  </cols>
  <sheetData>
    <row r="3" spans="1:2">
      <c r="A3" s="4" t="s">
        <v>1455</v>
      </c>
      <c r="B3" t="s">
        <v>1457</v>
      </c>
    </row>
    <row r="4" spans="1:2">
      <c r="A4" s="5" t="s">
        <v>17</v>
      </c>
      <c r="B4" s="6">
        <v>693</v>
      </c>
    </row>
    <row r="5" spans="1:2">
      <c r="A5" s="5" t="s">
        <v>723</v>
      </c>
      <c r="B5" s="6">
        <v>715</v>
      </c>
    </row>
    <row r="6" spans="1:2">
      <c r="A6" s="5" t="s">
        <v>1456</v>
      </c>
      <c r="B6" s="6">
        <v>1408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DE5C-665C-4B0E-A366-4868E6CB3BD1}">
  <dimension ref="A3:D9"/>
  <sheetViews>
    <sheetView workbookViewId="0">
      <selection activeCell="A3" sqref="A3"/>
    </sheetView>
  </sheetViews>
  <sheetFormatPr defaultRowHeight="13.8"/>
  <cols>
    <col min="1" max="1" width="15.3984375" bestFit="1" customWidth="1"/>
    <col min="2" max="2" width="16.09765625" bestFit="1" customWidth="1"/>
    <col min="3" max="3" width="9.8984375" bestFit="1" customWidth="1"/>
    <col min="4" max="4" width="11" bestFit="1" customWidth="1"/>
  </cols>
  <sheetData>
    <row r="3" spans="1:4">
      <c r="A3" s="4" t="s">
        <v>1457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28</v>
      </c>
      <c r="B5" s="6">
        <v>158</v>
      </c>
      <c r="C5" s="6">
        <v>172</v>
      </c>
      <c r="D5" s="6">
        <v>330</v>
      </c>
    </row>
    <row r="6" spans="1:4">
      <c r="A6" s="5" t="s">
        <v>18</v>
      </c>
      <c r="B6" s="6">
        <v>203</v>
      </c>
      <c r="C6" s="6">
        <v>180</v>
      </c>
      <c r="D6" s="6">
        <v>383</v>
      </c>
    </row>
    <row r="7" spans="1:4">
      <c r="A7" s="5" t="s">
        <v>32</v>
      </c>
      <c r="B7" s="6">
        <v>184</v>
      </c>
      <c r="C7" s="6">
        <v>184</v>
      </c>
      <c r="D7" s="6">
        <v>368</v>
      </c>
    </row>
    <row r="8" spans="1:4">
      <c r="A8" s="5" t="s">
        <v>23</v>
      </c>
      <c r="B8" s="6">
        <v>148</v>
      </c>
      <c r="C8" s="6">
        <v>179</v>
      </c>
      <c r="D8" s="6">
        <v>327</v>
      </c>
    </row>
    <row r="9" spans="1:4">
      <c r="A9" s="5" t="s">
        <v>1456</v>
      </c>
      <c r="B9" s="6">
        <v>693</v>
      </c>
      <c r="C9" s="6">
        <v>715</v>
      </c>
      <c r="D9" s="6">
        <v>1408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821A8-F91B-4C73-AFDF-D466F60E5272}">
  <dimension ref="A3:D9"/>
  <sheetViews>
    <sheetView workbookViewId="0">
      <selection activeCell="A3" sqref="A3"/>
    </sheetView>
  </sheetViews>
  <sheetFormatPr defaultRowHeight="13.8"/>
  <cols>
    <col min="1" max="1" width="15.3984375" bestFit="1" customWidth="1"/>
    <col min="2" max="2" width="16.09765625" bestFit="1" customWidth="1"/>
    <col min="3" max="3" width="9.8984375" bestFit="1" customWidth="1"/>
    <col min="4" max="4" width="11" bestFit="1" customWidth="1"/>
  </cols>
  <sheetData>
    <row r="3" spans="1:4">
      <c r="A3" s="4" t="s">
        <v>1457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19</v>
      </c>
      <c r="B5" s="6">
        <v>200</v>
      </c>
      <c r="C5" s="6">
        <v>214</v>
      </c>
      <c r="D5" s="6">
        <v>414</v>
      </c>
    </row>
    <row r="6" spans="1:4">
      <c r="A6" s="5" t="s">
        <v>24</v>
      </c>
      <c r="B6" s="6">
        <v>428</v>
      </c>
      <c r="C6" s="6">
        <v>436</v>
      </c>
      <c r="D6" s="6">
        <v>864</v>
      </c>
    </row>
    <row r="7" spans="1:4">
      <c r="A7" s="5" t="s">
        <v>34</v>
      </c>
      <c r="B7" s="6">
        <v>56</v>
      </c>
      <c r="C7" s="6">
        <v>56</v>
      </c>
      <c r="D7" s="6">
        <v>112</v>
      </c>
    </row>
    <row r="8" spans="1:4">
      <c r="A8" s="5" t="s">
        <v>1451</v>
      </c>
      <c r="B8" s="6">
        <v>9</v>
      </c>
      <c r="C8" s="6">
        <v>9</v>
      </c>
      <c r="D8" s="6">
        <v>18</v>
      </c>
    </row>
    <row r="9" spans="1:4">
      <c r="A9" s="5" t="s">
        <v>1456</v>
      </c>
      <c r="B9" s="6">
        <v>693</v>
      </c>
      <c r="C9" s="6">
        <v>715</v>
      </c>
      <c r="D9" s="6">
        <v>1408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251CB-2292-4EF0-8DC8-1B6511CAD36C}">
  <dimension ref="A3:D11"/>
  <sheetViews>
    <sheetView workbookViewId="0">
      <selection activeCell="A3" sqref="A3"/>
    </sheetView>
  </sheetViews>
  <sheetFormatPr defaultRowHeight="13.8"/>
  <cols>
    <col min="1" max="1" width="15.3984375" bestFit="1" customWidth="1"/>
    <col min="2" max="2" width="16.09765625" bestFit="1" customWidth="1"/>
    <col min="3" max="3" width="9.8984375" bestFit="1" customWidth="1"/>
    <col min="4" max="4" width="11" bestFit="1" customWidth="1"/>
  </cols>
  <sheetData>
    <row r="3" spans="1:4">
      <c r="A3" s="4" t="s">
        <v>1457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20</v>
      </c>
      <c r="B5" s="6">
        <v>74</v>
      </c>
      <c r="C5" s="6">
        <v>56</v>
      </c>
      <c r="D5" s="6">
        <v>130</v>
      </c>
    </row>
    <row r="6" spans="1:4">
      <c r="A6" s="5" t="s">
        <v>25</v>
      </c>
      <c r="B6" s="6">
        <v>246</v>
      </c>
      <c r="C6" s="6">
        <v>241</v>
      </c>
      <c r="D6" s="6">
        <v>487</v>
      </c>
    </row>
    <row r="7" spans="1:4">
      <c r="A7" s="5" t="s">
        <v>29</v>
      </c>
      <c r="B7" s="6">
        <v>156</v>
      </c>
      <c r="C7" s="6">
        <v>176</v>
      </c>
      <c r="D7" s="6">
        <v>332</v>
      </c>
    </row>
    <row r="8" spans="1:4">
      <c r="A8" s="5" t="s">
        <v>39</v>
      </c>
      <c r="B8" s="6">
        <v>81</v>
      </c>
      <c r="C8" s="6">
        <v>91</v>
      </c>
      <c r="D8" s="6">
        <v>172</v>
      </c>
    </row>
    <row r="9" spans="1:4">
      <c r="A9" s="5" t="s">
        <v>41</v>
      </c>
      <c r="B9" s="6">
        <v>130</v>
      </c>
      <c r="C9" s="6">
        <v>133</v>
      </c>
      <c r="D9" s="6">
        <v>263</v>
      </c>
    </row>
    <row r="10" spans="1:4">
      <c r="A10" s="5" t="s">
        <v>1451</v>
      </c>
      <c r="B10" s="6">
        <v>6</v>
      </c>
      <c r="C10" s="6">
        <v>18</v>
      </c>
      <c r="D10" s="6">
        <v>24</v>
      </c>
    </row>
    <row r="11" spans="1:4">
      <c r="A11" s="5" t="s">
        <v>1456</v>
      </c>
      <c r="B11" s="6">
        <v>693</v>
      </c>
      <c r="C11" s="6">
        <v>715</v>
      </c>
      <c r="D11" s="6">
        <v>1408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AEA1-7EF1-4EDB-B688-1C94B574341D}">
  <dimension ref="A3:D8"/>
  <sheetViews>
    <sheetView workbookViewId="0">
      <selection activeCell="D11" sqref="D11"/>
    </sheetView>
  </sheetViews>
  <sheetFormatPr defaultRowHeight="13.8"/>
  <cols>
    <col min="1" max="1" width="15.3984375" bestFit="1" customWidth="1"/>
    <col min="2" max="2" width="16.09765625" bestFit="1" customWidth="1"/>
    <col min="3" max="3" width="9.8984375" bestFit="1" customWidth="1"/>
    <col min="4" max="4" width="11" bestFit="1" customWidth="1"/>
  </cols>
  <sheetData>
    <row r="3" spans="1:4">
      <c r="A3" s="4" t="s">
        <v>1457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21</v>
      </c>
      <c r="B5" s="6">
        <v>223</v>
      </c>
      <c r="C5" s="6">
        <v>235</v>
      </c>
      <c r="D5" s="6">
        <v>458</v>
      </c>
    </row>
    <row r="6" spans="1:4">
      <c r="A6" s="5" t="s">
        <v>26</v>
      </c>
      <c r="B6" s="6">
        <v>361</v>
      </c>
      <c r="C6" s="6">
        <v>368</v>
      </c>
      <c r="D6" s="6">
        <v>729</v>
      </c>
    </row>
    <row r="7" spans="1:4">
      <c r="A7" s="5" t="s">
        <v>30</v>
      </c>
      <c r="B7" s="6">
        <v>109</v>
      </c>
      <c r="C7" s="6">
        <v>112</v>
      </c>
      <c r="D7" s="6">
        <v>221</v>
      </c>
    </row>
    <row r="8" spans="1:4">
      <c r="A8" s="5" t="s">
        <v>1456</v>
      </c>
      <c r="B8" s="6">
        <v>693</v>
      </c>
      <c r="C8" s="6">
        <v>715</v>
      </c>
      <c r="D8" s="6">
        <v>1408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C31ED-E036-4E1B-8BD6-604BFD45EB3A}">
  <dimension ref="A3:D9"/>
  <sheetViews>
    <sheetView workbookViewId="0">
      <selection activeCell="A3" sqref="A3:D9"/>
    </sheetView>
  </sheetViews>
  <sheetFormatPr defaultRowHeight="13.8"/>
  <cols>
    <col min="1" max="1" width="27.69921875" bestFit="1" customWidth="1"/>
    <col min="2" max="2" width="16.09765625" bestFit="1" customWidth="1"/>
    <col min="3" max="4" width="11.8984375" bestFit="1" customWidth="1"/>
  </cols>
  <sheetData>
    <row r="3" spans="1:4">
      <c r="A3" s="4" t="s">
        <v>1472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28</v>
      </c>
      <c r="B5" s="9">
        <v>2.5316455696202531E-2</v>
      </c>
      <c r="C5" s="9">
        <v>6.3953488372093026E-2</v>
      </c>
      <c r="D5" s="9">
        <v>4.5454545454545456E-2</v>
      </c>
    </row>
    <row r="6" spans="1:4">
      <c r="A6" s="5" t="s">
        <v>18</v>
      </c>
      <c r="B6" s="9">
        <v>3.4482758620689655E-2</v>
      </c>
      <c r="C6" s="9">
        <v>8.8888888888888892E-2</v>
      </c>
      <c r="D6" s="9">
        <v>6.0052219321148827E-2</v>
      </c>
    </row>
    <row r="7" spans="1:4">
      <c r="A7" s="5" t="s">
        <v>32</v>
      </c>
      <c r="B7" s="9">
        <v>3.2608695652173912E-2</v>
      </c>
      <c r="C7" s="9">
        <v>7.6086956521739135E-2</v>
      </c>
      <c r="D7" s="9">
        <v>5.434782608695652E-2</v>
      </c>
    </row>
    <row r="8" spans="1:4">
      <c r="A8" s="5" t="s">
        <v>23</v>
      </c>
      <c r="B8" s="9">
        <v>3.3783783783783786E-2</v>
      </c>
      <c r="C8" s="9">
        <v>5.027932960893855E-2</v>
      </c>
      <c r="D8" s="9">
        <v>4.2813455657492352E-2</v>
      </c>
    </row>
    <row r="9" spans="1:4">
      <c r="A9" s="5" t="s">
        <v>1456</v>
      </c>
      <c r="B9" s="9">
        <v>3.1746031746031744E-2</v>
      </c>
      <c r="C9" s="9">
        <v>6.9930069930069935E-2</v>
      </c>
      <c r="D9" s="9">
        <v>5.113636363636364E-2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9DEE0-070A-431F-BECF-69E9CE572DB7}">
  <dimension ref="A3:D9"/>
  <sheetViews>
    <sheetView workbookViewId="0">
      <selection activeCell="A3" sqref="A3:D9"/>
    </sheetView>
  </sheetViews>
  <sheetFormatPr defaultRowHeight="13.8"/>
  <cols>
    <col min="1" max="1" width="28.296875" bestFit="1" customWidth="1"/>
    <col min="2" max="2" width="16.09765625" bestFit="1" customWidth="1"/>
    <col min="3" max="4" width="11.8984375" bestFit="1" customWidth="1"/>
  </cols>
  <sheetData>
    <row r="3" spans="1:4">
      <c r="A3" s="4" t="s">
        <v>1473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19</v>
      </c>
      <c r="B5" s="6">
        <v>57.226600000000005</v>
      </c>
      <c r="C5" s="6">
        <v>63.215140186915903</v>
      </c>
      <c r="D5" s="6">
        <v>60.322125603864734</v>
      </c>
    </row>
    <row r="6" spans="1:4">
      <c r="A6" s="5" t="s">
        <v>24</v>
      </c>
      <c r="B6" s="6">
        <v>57.372850467289688</v>
      </c>
      <c r="C6" s="6">
        <v>62.74568807339454</v>
      </c>
      <c r="D6" s="6">
        <v>60.084143518518481</v>
      </c>
    </row>
    <row r="7" spans="1:4">
      <c r="A7" s="5" t="s">
        <v>34</v>
      </c>
      <c r="B7" s="6">
        <v>55.83428571428572</v>
      </c>
      <c r="C7" s="6">
        <v>63.007142857142846</v>
      </c>
      <c r="D7" s="6">
        <v>59.420714285714304</v>
      </c>
    </row>
    <row r="8" spans="1:4">
      <c r="A8" s="5" t="s">
        <v>1451</v>
      </c>
      <c r="B8" s="6">
        <v>45.500000000000007</v>
      </c>
      <c r="C8" s="6">
        <v>62.166666666666664</v>
      </c>
      <c r="D8" s="6">
        <v>53.833333333333343</v>
      </c>
    </row>
    <row r="9" spans="1:4">
      <c r="A9" s="5" t="s">
        <v>1456</v>
      </c>
      <c r="B9" s="6">
        <v>57.052121212121257</v>
      </c>
      <c r="C9" s="6">
        <v>62.899384615384662</v>
      </c>
      <c r="D9" s="6">
        <v>60.021434659090886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C0CEB-1EFD-4E32-8087-61EFB486FB2C}">
  <dimension ref="A3:D11"/>
  <sheetViews>
    <sheetView workbookViewId="0">
      <selection activeCell="D18" sqref="D18"/>
    </sheetView>
  </sheetViews>
  <sheetFormatPr defaultRowHeight="13.8"/>
  <cols>
    <col min="1" max="1" width="22.69921875" bestFit="1" customWidth="1"/>
    <col min="2" max="2" width="16.09765625" bestFit="1" customWidth="1"/>
    <col min="3" max="4" width="11.8984375" bestFit="1" customWidth="1"/>
  </cols>
  <sheetData>
    <row r="3" spans="1:4">
      <c r="A3" s="4" t="s">
        <v>1474</v>
      </c>
      <c r="B3" s="4" t="s">
        <v>1471</v>
      </c>
    </row>
    <row r="4" spans="1:4">
      <c r="A4" s="4" t="s">
        <v>1455</v>
      </c>
      <c r="B4" t="s">
        <v>17</v>
      </c>
      <c r="C4" t="s">
        <v>723</v>
      </c>
      <c r="D4" t="s">
        <v>1456</v>
      </c>
    </row>
    <row r="5" spans="1:4">
      <c r="A5" s="5" t="s">
        <v>20</v>
      </c>
      <c r="B5" s="6">
        <v>28.720675675675675</v>
      </c>
      <c r="C5" s="6">
        <v>44.980892857142855</v>
      </c>
      <c r="D5" s="6">
        <v>35.725076923076927</v>
      </c>
    </row>
    <row r="6" spans="1:4">
      <c r="A6" s="5" t="s">
        <v>25</v>
      </c>
      <c r="B6" s="6">
        <v>42.512601626016256</v>
      </c>
      <c r="C6" s="6">
        <v>50.706390041493769</v>
      </c>
      <c r="D6" s="6">
        <v>46.56743326488705</v>
      </c>
    </row>
    <row r="7" spans="1:4">
      <c r="A7" s="5" t="s">
        <v>29</v>
      </c>
      <c r="B7" s="6">
        <v>10.837435897435897</v>
      </c>
      <c r="C7" s="6">
        <v>34.781590909090909</v>
      </c>
      <c r="D7" s="6">
        <v>23.530722891566267</v>
      </c>
    </row>
    <row r="8" spans="1:4">
      <c r="A8" s="5" t="s">
        <v>39</v>
      </c>
      <c r="B8" s="6">
        <v>33.310987654320989</v>
      </c>
      <c r="C8" s="6">
        <v>103.00417582417583</v>
      </c>
      <c r="D8" s="6">
        <v>70.18354651162791</v>
      </c>
    </row>
    <row r="9" spans="1:4">
      <c r="A9" s="5" t="s">
        <v>41</v>
      </c>
      <c r="B9" s="6">
        <v>136.08715384615383</v>
      </c>
      <c r="C9" s="6">
        <v>51.552105263157898</v>
      </c>
      <c r="D9" s="6">
        <v>93.337490494296574</v>
      </c>
    </row>
    <row r="10" spans="1:4">
      <c r="A10" s="5" t="s">
        <v>1451</v>
      </c>
      <c r="B10" s="6">
        <v>199.78166666666667</v>
      </c>
      <c r="C10" s="6">
        <v>79.453888888888898</v>
      </c>
      <c r="D10" s="6">
        <v>109.53583333333334</v>
      </c>
    </row>
    <row r="11" spans="1:4">
      <c r="A11" s="5" t="s">
        <v>1456</v>
      </c>
      <c r="B11" s="6">
        <v>51.74932178932179</v>
      </c>
      <c r="C11" s="6">
        <v>53.87511888111888</v>
      </c>
      <c r="D11" s="6">
        <v>52.828828124999994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82F65-CDE5-4151-9C9E-A5097D74C107}">
  <dimension ref="A1:G716"/>
  <sheetViews>
    <sheetView tabSelected="1" workbookViewId="0">
      <selection activeCell="F18" sqref="F18"/>
    </sheetView>
  </sheetViews>
  <sheetFormatPr defaultRowHeight="13.8"/>
  <cols>
    <col min="5" max="5" width="25.796875" bestFit="1" customWidth="1"/>
    <col min="6" max="6" width="12.5" bestFit="1" customWidth="1"/>
    <col min="7" max="7" width="11.8984375" bestFit="1" customWidth="1"/>
  </cols>
  <sheetData>
    <row r="1" spans="1:7" ht="15.6">
      <c r="A1" t="s">
        <v>17</v>
      </c>
      <c r="B1" t="s">
        <v>723</v>
      </c>
      <c r="E1" s="10" t="s">
        <v>1475</v>
      </c>
      <c r="F1" s="10"/>
      <c r="G1" s="10"/>
    </row>
    <row r="2" spans="1:7">
      <c r="A2" cm="1">
        <f t="array" ref="A2:A694">_xlfn._xlws.FILTER(experiment_data!K2:K1409,experiment_data!C2:C1409="Control")</f>
        <v>0</v>
      </c>
      <c r="B2" cm="1">
        <f t="array" ref="B2:B716">_xlfn._xlws.FILTER(experiment_data!K2:K1409,experiment_data!C2:C1409="Treatment")</f>
        <v>0</v>
      </c>
    </row>
    <row r="3" spans="1:7">
      <c r="A3">
        <v>0</v>
      </c>
      <c r="B3">
        <v>0</v>
      </c>
      <c r="F3" t="s">
        <v>17</v>
      </c>
      <c r="G3" t="s">
        <v>723</v>
      </c>
    </row>
    <row r="4" spans="1:7">
      <c r="A4">
        <v>0</v>
      </c>
      <c r="B4">
        <v>0</v>
      </c>
      <c r="E4" t="s">
        <v>1476</v>
      </c>
      <c r="F4">
        <v>3.1746031746031744E-2</v>
      </c>
      <c r="G4">
        <v>6.9930069930069935E-2</v>
      </c>
    </row>
    <row r="5" spans="1:7">
      <c r="A5">
        <v>0</v>
      </c>
      <c r="B5">
        <v>0</v>
      </c>
      <c r="E5" t="s">
        <v>1477</v>
      </c>
      <c r="F5">
        <v>3.0782640609230204E-2</v>
      </c>
      <c r="G5">
        <v>6.513094748388866E-2</v>
      </c>
    </row>
    <row r="6" spans="1:7">
      <c r="A6">
        <v>0</v>
      </c>
      <c r="B6">
        <v>0</v>
      </c>
      <c r="E6" t="s">
        <v>1478</v>
      </c>
      <c r="F6">
        <v>693</v>
      </c>
      <c r="G6">
        <v>715</v>
      </c>
    </row>
    <row r="7" spans="1:7">
      <c r="A7">
        <v>0</v>
      </c>
      <c r="B7">
        <v>0</v>
      </c>
      <c r="E7" t="s">
        <v>1479</v>
      </c>
      <c r="F7">
        <v>0</v>
      </c>
    </row>
    <row r="8" spans="1:7">
      <c r="A8">
        <v>0</v>
      </c>
      <c r="B8">
        <v>0</v>
      </c>
      <c r="E8" t="s">
        <v>1480</v>
      </c>
      <c r="F8">
        <v>1269</v>
      </c>
    </row>
    <row r="9" spans="1:7">
      <c r="A9">
        <v>0</v>
      </c>
      <c r="B9">
        <v>0</v>
      </c>
      <c r="E9" t="s">
        <v>1481</v>
      </c>
      <c r="F9">
        <v>-3.2801490050026385</v>
      </c>
    </row>
    <row r="10" spans="1:7">
      <c r="A10">
        <v>0</v>
      </c>
      <c r="B10">
        <v>0</v>
      </c>
      <c r="E10" t="s">
        <v>1482</v>
      </c>
      <c r="F10">
        <v>5.3284668418793831E-4</v>
      </c>
    </row>
    <row r="11" spans="1:7">
      <c r="A11">
        <v>0</v>
      </c>
      <c r="B11">
        <v>0</v>
      </c>
      <c r="E11" t="s">
        <v>1483</v>
      </c>
      <c r="F11">
        <v>1.646055273058157</v>
      </c>
    </row>
    <row r="12" spans="1:7">
      <c r="A12">
        <v>0</v>
      </c>
      <c r="B12">
        <v>1</v>
      </c>
      <c r="E12" t="s">
        <v>1484</v>
      </c>
      <c r="F12">
        <v>1.0656933683758766E-3</v>
      </c>
    </row>
    <row r="13" spans="1:7">
      <c r="A13">
        <v>0</v>
      </c>
      <c r="B13">
        <v>0</v>
      </c>
      <c r="E13" t="s">
        <v>1485</v>
      </c>
      <c r="F13">
        <v>1.961835140575849</v>
      </c>
    </row>
    <row r="14" spans="1:7">
      <c r="A14">
        <v>0</v>
      </c>
      <c r="B14">
        <v>0</v>
      </c>
    </row>
    <row r="15" spans="1:7">
      <c r="A15">
        <v>0</v>
      </c>
      <c r="B15">
        <v>0</v>
      </c>
      <c r="E15" s="11" t="s">
        <v>1486</v>
      </c>
      <c r="F15" s="11" t="s">
        <v>1487</v>
      </c>
      <c r="G15" s="11"/>
    </row>
    <row r="16" spans="1:7">
      <c r="A16">
        <v>0</v>
      </c>
      <c r="B16">
        <v>0</v>
      </c>
    </row>
    <row r="17" spans="1:2">
      <c r="A17">
        <v>0</v>
      </c>
      <c r="B17">
        <v>0</v>
      </c>
    </row>
    <row r="18" spans="1:2">
      <c r="A18">
        <v>0</v>
      </c>
      <c r="B18">
        <v>0</v>
      </c>
    </row>
    <row r="19" spans="1:2">
      <c r="A19">
        <v>0</v>
      </c>
      <c r="B19">
        <v>0</v>
      </c>
    </row>
    <row r="20" spans="1:2">
      <c r="A20">
        <v>0</v>
      </c>
      <c r="B20">
        <v>0</v>
      </c>
    </row>
    <row r="21" spans="1:2">
      <c r="A21">
        <v>0</v>
      </c>
      <c r="B21">
        <v>0</v>
      </c>
    </row>
    <row r="22" spans="1:2">
      <c r="A22">
        <v>0</v>
      </c>
      <c r="B22">
        <v>0</v>
      </c>
    </row>
    <row r="23" spans="1:2">
      <c r="A23">
        <v>0</v>
      </c>
      <c r="B23">
        <v>0</v>
      </c>
    </row>
    <row r="24" spans="1:2">
      <c r="A24">
        <v>0</v>
      </c>
      <c r="B24">
        <v>1</v>
      </c>
    </row>
    <row r="25" spans="1:2">
      <c r="A25">
        <v>0</v>
      </c>
      <c r="B25">
        <v>1</v>
      </c>
    </row>
    <row r="26" spans="1:2">
      <c r="A26">
        <v>0</v>
      </c>
      <c r="B26">
        <v>0</v>
      </c>
    </row>
    <row r="27" spans="1:2">
      <c r="A27">
        <v>0</v>
      </c>
      <c r="B27">
        <v>0</v>
      </c>
    </row>
    <row r="28" spans="1:2">
      <c r="A28">
        <v>0</v>
      </c>
      <c r="B28">
        <v>0</v>
      </c>
    </row>
    <row r="29" spans="1:2">
      <c r="A29">
        <v>0</v>
      </c>
      <c r="B29">
        <v>0</v>
      </c>
    </row>
    <row r="30" spans="1:2">
      <c r="A30">
        <v>0</v>
      </c>
      <c r="B30">
        <v>0</v>
      </c>
    </row>
    <row r="31" spans="1:2">
      <c r="A31">
        <v>0</v>
      </c>
      <c r="B31">
        <v>0</v>
      </c>
    </row>
    <row r="32" spans="1:2">
      <c r="A32">
        <v>0</v>
      </c>
      <c r="B32">
        <v>0</v>
      </c>
    </row>
    <row r="33" spans="1:2">
      <c r="A33">
        <v>0</v>
      </c>
      <c r="B33">
        <v>0</v>
      </c>
    </row>
    <row r="34" spans="1:2">
      <c r="A34">
        <v>0</v>
      </c>
      <c r="B34">
        <v>0</v>
      </c>
    </row>
    <row r="35" spans="1:2">
      <c r="A35">
        <v>0</v>
      </c>
      <c r="B35">
        <v>0</v>
      </c>
    </row>
    <row r="36" spans="1:2">
      <c r="A36">
        <v>0</v>
      </c>
      <c r="B36">
        <v>0</v>
      </c>
    </row>
    <row r="37" spans="1:2">
      <c r="A37">
        <v>0</v>
      </c>
      <c r="B37">
        <v>0</v>
      </c>
    </row>
    <row r="38" spans="1:2">
      <c r="A38">
        <v>0</v>
      </c>
      <c r="B38">
        <v>0</v>
      </c>
    </row>
    <row r="39" spans="1:2">
      <c r="A39">
        <v>0</v>
      </c>
      <c r="B39">
        <v>1</v>
      </c>
    </row>
    <row r="40" spans="1:2">
      <c r="A40">
        <v>0</v>
      </c>
      <c r="B40">
        <v>0</v>
      </c>
    </row>
    <row r="41" spans="1:2">
      <c r="A41">
        <v>0</v>
      </c>
      <c r="B41">
        <v>0</v>
      </c>
    </row>
    <row r="42" spans="1:2">
      <c r="A42">
        <v>0</v>
      </c>
      <c r="B42">
        <v>0</v>
      </c>
    </row>
    <row r="43" spans="1:2">
      <c r="A43">
        <v>0</v>
      </c>
      <c r="B43">
        <v>1</v>
      </c>
    </row>
    <row r="44" spans="1:2">
      <c r="A44">
        <v>0</v>
      </c>
      <c r="B44">
        <v>0</v>
      </c>
    </row>
    <row r="45" spans="1:2">
      <c r="A45">
        <v>0</v>
      </c>
      <c r="B45">
        <v>0</v>
      </c>
    </row>
    <row r="46" spans="1:2">
      <c r="A46">
        <v>0</v>
      </c>
      <c r="B46">
        <v>0</v>
      </c>
    </row>
    <row r="47" spans="1:2">
      <c r="A47">
        <v>0</v>
      </c>
      <c r="B47">
        <v>0</v>
      </c>
    </row>
    <row r="48" spans="1:2">
      <c r="A48">
        <v>0</v>
      </c>
      <c r="B48">
        <v>0</v>
      </c>
    </row>
    <row r="49" spans="1:2">
      <c r="A49">
        <v>0</v>
      </c>
      <c r="B49">
        <v>0</v>
      </c>
    </row>
    <row r="50" spans="1:2">
      <c r="A50">
        <v>0</v>
      </c>
      <c r="B50">
        <v>0</v>
      </c>
    </row>
    <row r="51" spans="1:2">
      <c r="A51">
        <v>0</v>
      </c>
      <c r="B51">
        <v>0</v>
      </c>
    </row>
    <row r="52" spans="1:2">
      <c r="A52">
        <v>0</v>
      </c>
      <c r="B52">
        <v>0</v>
      </c>
    </row>
    <row r="53" spans="1:2">
      <c r="A53">
        <v>0</v>
      </c>
      <c r="B53">
        <v>0</v>
      </c>
    </row>
    <row r="54" spans="1:2">
      <c r="A54">
        <v>0</v>
      </c>
      <c r="B54">
        <v>0</v>
      </c>
    </row>
    <row r="55" spans="1:2">
      <c r="A55">
        <v>0</v>
      </c>
      <c r="B55">
        <v>0</v>
      </c>
    </row>
    <row r="56" spans="1:2">
      <c r="A56">
        <v>0</v>
      </c>
      <c r="B56">
        <v>0</v>
      </c>
    </row>
    <row r="57" spans="1:2">
      <c r="A57">
        <v>0</v>
      </c>
      <c r="B57">
        <v>0</v>
      </c>
    </row>
    <row r="58" spans="1:2">
      <c r="A58">
        <v>0</v>
      </c>
      <c r="B58">
        <v>0</v>
      </c>
    </row>
    <row r="59" spans="1:2">
      <c r="A59">
        <v>0</v>
      </c>
      <c r="B59">
        <v>0</v>
      </c>
    </row>
    <row r="60" spans="1:2">
      <c r="A60">
        <v>0</v>
      </c>
      <c r="B60">
        <v>0</v>
      </c>
    </row>
    <row r="61" spans="1:2">
      <c r="A61">
        <v>1</v>
      </c>
      <c r="B61">
        <v>0</v>
      </c>
    </row>
    <row r="62" spans="1:2">
      <c r="A62">
        <v>0</v>
      </c>
      <c r="B62">
        <v>0</v>
      </c>
    </row>
    <row r="63" spans="1:2">
      <c r="A63">
        <v>0</v>
      </c>
      <c r="B63">
        <v>0</v>
      </c>
    </row>
    <row r="64" spans="1:2">
      <c r="A64">
        <v>0</v>
      </c>
      <c r="B64">
        <v>0</v>
      </c>
    </row>
    <row r="65" spans="1:2">
      <c r="A65">
        <v>0</v>
      </c>
      <c r="B65">
        <v>0</v>
      </c>
    </row>
    <row r="66" spans="1:2">
      <c r="A66">
        <v>0</v>
      </c>
      <c r="B66">
        <v>0</v>
      </c>
    </row>
    <row r="67" spans="1:2">
      <c r="A67">
        <v>0</v>
      </c>
      <c r="B67">
        <v>0</v>
      </c>
    </row>
    <row r="68" spans="1:2">
      <c r="A68">
        <v>0</v>
      </c>
      <c r="B68">
        <v>0</v>
      </c>
    </row>
    <row r="69" spans="1:2">
      <c r="A69">
        <v>0</v>
      </c>
      <c r="B69">
        <v>1</v>
      </c>
    </row>
    <row r="70" spans="1:2">
      <c r="A70">
        <v>0</v>
      </c>
      <c r="B70">
        <v>0</v>
      </c>
    </row>
    <row r="71" spans="1:2">
      <c r="A71">
        <v>0</v>
      </c>
      <c r="B71">
        <v>0</v>
      </c>
    </row>
    <row r="72" spans="1:2">
      <c r="A72">
        <v>0</v>
      </c>
      <c r="B72">
        <v>0</v>
      </c>
    </row>
    <row r="73" spans="1:2">
      <c r="A73">
        <v>0</v>
      </c>
      <c r="B73">
        <v>0</v>
      </c>
    </row>
    <row r="74" spans="1:2">
      <c r="A74">
        <v>0</v>
      </c>
      <c r="B74">
        <v>0</v>
      </c>
    </row>
    <row r="75" spans="1:2">
      <c r="A75">
        <v>0</v>
      </c>
      <c r="B75">
        <v>0</v>
      </c>
    </row>
    <row r="76" spans="1:2">
      <c r="A76">
        <v>0</v>
      </c>
      <c r="B76">
        <v>0</v>
      </c>
    </row>
    <row r="77" spans="1:2">
      <c r="A77">
        <v>0</v>
      </c>
      <c r="B77">
        <v>0</v>
      </c>
    </row>
    <row r="78" spans="1:2">
      <c r="A78">
        <v>0</v>
      </c>
      <c r="B78">
        <v>0</v>
      </c>
    </row>
    <row r="79" spans="1:2">
      <c r="A79">
        <v>0</v>
      </c>
      <c r="B79">
        <v>0</v>
      </c>
    </row>
    <row r="80" spans="1:2">
      <c r="A80">
        <v>1</v>
      </c>
      <c r="B80">
        <v>0</v>
      </c>
    </row>
    <row r="81" spans="1:2">
      <c r="A81">
        <v>0</v>
      </c>
      <c r="B81">
        <v>0</v>
      </c>
    </row>
    <row r="82" spans="1:2">
      <c r="A82">
        <v>0</v>
      </c>
      <c r="B82">
        <v>0</v>
      </c>
    </row>
    <row r="83" spans="1:2">
      <c r="A83">
        <v>0</v>
      </c>
      <c r="B83">
        <v>0</v>
      </c>
    </row>
    <row r="84" spans="1:2">
      <c r="A84">
        <v>0</v>
      </c>
      <c r="B84">
        <v>0</v>
      </c>
    </row>
    <row r="85" spans="1:2">
      <c r="A85">
        <v>0</v>
      </c>
      <c r="B85">
        <v>0</v>
      </c>
    </row>
    <row r="86" spans="1:2">
      <c r="A86">
        <v>0</v>
      </c>
      <c r="B86">
        <v>0</v>
      </c>
    </row>
    <row r="87" spans="1:2">
      <c r="A87">
        <v>0</v>
      </c>
      <c r="B87">
        <v>0</v>
      </c>
    </row>
    <row r="88" spans="1:2">
      <c r="A88">
        <v>0</v>
      </c>
      <c r="B88">
        <v>0</v>
      </c>
    </row>
    <row r="89" spans="1:2">
      <c r="A89">
        <v>0</v>
      </c>
      <c r="B89">
        <v>0</v>
      </c>
    </row>
    <row r="90" spans="1:2">
      <c r="A90">
        <v>0</v>
      </c>
      <c r="B90">
        <v>0</v>
      </c>
    </row>
    <row r="91" spans="1:2">
      <c r="A91">
        <v>0</v>
      </c>
      <c r="B91">
        <v>0</v>
      </c>
    </row>
    <row r="92" spans="1:2">
      <c r="A92">
        <v>0</v>
      </c>
      <c r="B92">
        <v>0</v>
      </c>
    </row>
    <row r="93" spans="1:2">
      <c r="A93">
        <v>0</v>
      </c>
      <c r="B93">
        <v>0</v>
      </c>
    </row>
    <row r="94" spans="1:2">
      <c r="A94">
        <v>0</v>
      </c>
      <c r="B94">
        <v>0</v>
      </c>
    </row>
    <row r="95" spans="1:2">
      <c r="A95">
        <v>0</v>
      </c>
      <c r="B95">
        <v>0</v>
      </c>
    </row>
    <row r="96" spans="1:2">
      <c r="A96">
        <v>0</v>
      </c>
      <c r="B96">
        <v>0</v>
      </c>
    </row>
    <row r="97" spans="1:2">
      <c r="A97">
        <v>0</v>
      </c>
      <c r="B97">
        <v>0</v>
      </c>
    </row>
    <row r="98" spans="1:2">
      <c r="A98">
        <v>0</v>
      </c>
      <c r="B98">
        <v>0</v>
      </c>
    </row>
    <row r="99" spans="1:2">
      <c r="A99">
        <v>0</v>
      </c>
      <c r="B99">
        <v>0</v>
      </c>
    </row>
    <row r="100" spans="1:2">
      <c r="A100">
        <v>1</v>
      </c>
      <c r="B100">
        <v>0</v>
      </c>
    </row>
    <row r="101" spans="1:2">
      <c r="A101">
        <v>0</v>
      </c>
      <c r="B101">
        <v>0</v>
      </c>
    </row>
    <row r="102" spans="1:2">
      <c r="A102">
        <v>0</v>
      </c>
      <c r="B102">
        <v>0</v>
      </c>
    </row>
    <row r="103" spans="1:2">
      <c r="A103">
        <v>0</v>
      </c>
      <c r="B103">
        <v>0</v>
      </c>
    </row>
    <row r="104" spans="1:2">
      <c r="A104">
        <v>1</v>
      </c>
      <c r="B104">
        <v>0</v>
      </c>
    </row>
    <row r="105" spans="1:2">
      <c r="A105">
        <v>0</v>
      </c>
      <c r="B105">
        <v>0</v>
      </c>
    </row>
    <row r="106" spans="1:2">
      <c r="A106">
        <v>0</v>
      </c>
      <c r="B106">
        <v>0</v>
      </c>
    </row>
    <row r="107" spans="1:2">
      <c r="A107">
        <v>1</v>
      </c>
      <c r="B107">
        <v>0</v>
      </c>
    </row>
    <row r="108" spans="1:2">
      <c r="A108">
        <v>0</v>
      </c>
      <c r="B108">
        <v>0</v>
      </c>
    </row>
    <row r="109" spans="1:2">
      <c r="A109">
        <v>0</v>
      </c>
      <c r="B109">
        <v>0</v>
      </c>
    </row>
    <row r="110" spans="1:2">
      <c r="A110">
        <v>0</v>
      </c>
      <c r="B110">
        <v>0</v>
      </c>
    </row>
    <row r="111" spans="1:2">
      <c r="A111">
        <v>0</v>
      </c>
      <c r="B111">
        <v>0</v>
      </c>
    </row>
    <row r="112" spans="1:2">
      <c r="A112">
        <v>0</v>
      </c>
      <c r="B112">
        <v>0</v>
      </c>
    </row>
    <row r="113" spans="1:2">
      <c r="A113">
        <v>0</v>
      </c>
      <c r="B113">
        <v>0</v>
      </c>
    </row>
    <row r="114" spans="1:2">
      <c r="A114">
        <v>0</v>
      </c>
      <c r="B114">
        <v>0</v>
      </c>
    </row>
    <row r="115" spans="1:2">
      <c r="A115">
        <v>0</v>
      </c>
      <c r="B115">
        <v>0</v>
      </c>
    </row>
    <row r="116" spans="1:2">
      <c r="A116">
        <v>0</v>
      </c>
      <c r="B116">
        <v>1</v>
      </c>
    </row>
    <row r="117" spans="1:2">
      <c r="A117">
        <v>0</v>
      </c>
      <c r="B117">
        <v>0</v>
      </c>
    </row>
    <row r="118" spans="1:2">
      <c r="A118">
        <v>0</v>
      </c>
      <c r="B118">
        <v>0</v>
      </c>
    </row>
    <row r="119" spans="1:2">
      <c r="A119">
        <v>0</v>
      </c>
      <c r="B119">
        <v>0</v>
      </c>
    </row>
    <row r="120" spans="1:2">
      <c r="A120">
        <v>0</v>
      </c>
      <c r="B120">
        <v>0</v>
      </c>
    </row>
    <row r="121" spans="1:2">
      <c r="A121">
        <v>0</v>
      </c>
      <c r="B121">
        <v>0</v>
      </c>
    </row>
    <row r="122" spans="1:2">
      <c r="A122">
        <v>0</v>
      </c>
      <c r="B122">
        <v>0</v>
      </c>
    </row>
    <row r="123" spans="1:2">
      <c r="A123">
        <v>0</v>
      </c>
      <c r="B123">
        <v>0</v>
      </c>
    </row>
    <row r="124" spans="1:2">
      <c r="A124">
        <v>0</v>
      </c>
      <c r="B124">
        <v>0</v>
      </c>
    </row>
    <row r="125" spans="1:2">
      <c r="A125">
        <v>0</v>
      </c>
      <c r="B125">
        <v>1</v>
      </c>
    </row>
    <row r="126" spans="1:2">
      <c r="A126">
        <v>0</v>
      </c>
      <c r="B126">
        <v>0</v>
      </c>
    </row>
    <row r="127" spans="1:2">
      <c r="A127">
        <v>0</v>
      </c>
      <c r="B127">
        <v>0</v>
      </c>
    </row>
    <row r="128" spans="1:2">
      <c r="A128">
        <v>0</v>
      </c>
      <c r="B128">
        <v>0</v>
      </c>
    </row>
    <row r="129" spans="1:2">
      <c r="A129">
        <v>0</v>
      </c>
      <c r="B129">
        <v>0</v>
      </c>
    </row>
    <row r="130" spans="1:2">
      <c r="A130">
        <v>0</v>
      </c>
      <c r="B130">
        <v>1</v>
      </c>
    </row>
    <row r="131" spans="1:2">
      <c r="A131">
        <v>0</v>
      </c>
      <c r="B131">
        <v>0</v>
      </c>
    </row>
    <row r="132" spans="1:2">
      <c r="A132">
        <v>0</v>
      </c>
      <c r="B132">
        <v>0</v>
      </c>
    </row>
    <row r="133" spans="1:2">
      <c r="A133">
        <v>0</v>
      </c>
      <c r="B133">
        <v>0</v>
      </c>
    </row>
    <row r="134" spans="1:2">
      <c r="A134">
        <v>0</v>
      </c>
      <c r="B134">
        <v>0</v>
      </c>
    </row>
    <row r="135" spans="1:2">
      <c r="A135">
        <v>0</v>
      </c>
      <c r="B135">
        <v>0</v>
      </c>
    </row>
    <row r="136" spans="1:2">
      <c r="A136">
        <v>0</v>
      </c>
      <c r="B136">
        <v>1</v>
      </c>
    </row>
    <row r="137" spans="1:2">
      <c r="A137">
        <v>0</v>
      </c>
      <c r="B137">
        <v>0</v>
      </c>
    </row>
    <row r="138" spans="1:2">
      <c r="A138">
        <v>0</v>
      </c>
      <c r="B138">
        <v>0</v>
      </c>
    </row>
    <row r="139" spans="1:2">
      <c r="A139">
        <v>0</v>
      </c>
      <c r="B139">
        <v>0</v>
      </c>
    </row>
    <row r="140" spans="1:2">
      <c r="A140">
        <v>0</v>
      </c>
      <c r="B140">
        <v>0</v>
      </c>
    </row>
    <row r="141" spans="1:2">
      <c r="A141">
        <v>0</v>
      </c>
      <c r="B141">
        <v>1</v>
      </c>
    </row>
    <row r="142" spans="1:2">
      <c r="A142">
        <v>0</v>
      </c>
      <c r="B142">
        <v>0</v>
      </c>
    </row>
    <row r="143" spans="1:2">
      <c r="A143">
        <v>1</v>
      </c>
      <c r="B143">
        <v>0</v>
      </c>
    </row>
    <row r="144" spans="1:2">
      <c r="A144">
        <v>0</v>
      </c>
      <c r="B144">
        <v>1</v>
      </c>
    </row>
    <row r="145" spans="1:2">
      <c r="A145">
        <v>0</v>
      </c>
      <c r="B145">
        <v>0</v>
      </c>
    </row>
    <row r="146" spans="1:2">
      <c r="A146">
        <v>0</v>
      </c>
      <c r="B146">
        <v>0</v>
      </c>
    </row>
    <row r="147" spans="1:2">
      <c r="A147">
        <v>0</v>
      </c>
      <c r="B147">
        <v>1</v>
      </c>
    </row>
    <row r="148" spans="1:2">
      <c r="A148">
        <v>0</v>
      </c>
      <c r="B148">
        <v>1</v>
      </c>
    </row>
    <row r="149" spans="1:2">
      <c r="A149">
        <v>0</v>
      </c>
      <c r="B149">
        <v>0</v>
      </c>
    </row>
    <row r="150" spans="1:2">
      <c r="A150">
        <v>1</v>
      </c>
      <c r="B150">
        <v>0</v>
      </c>
    </row>
    <row r="151" spans="1:2">
      <c r="A151">
        <v>0</v>
      </c>
      <c r="B151">
        <v>0</v>
      </c>
    </row>
    <row r="152" spans="1:2">
      <c r="A152">
        <v>0</v>
      </c>
      <c r="B152">
        <v>0</v>
      </c>
    </row>
    <row r="153" spans="1:2">
      <c r="A153">
        <v>0</v>
      </c>
      <c r="B153">
        <v>0</v>
      </c>
    </row>
    <row r="154" spans="1:2">
      <c r="A154">
        <v>0</v>
      </c>
      <c r="B154">
        <v>0</v>
      </c>
    </row>
    <row r="155" spans="1:2">
      <c r="A155">
        <v>0</v>
      </c>
      <c r="B155">
        <v>0</v>
      </c>
    </row>
    <row r="156" spans="1:2">
      <c r="A156">
        <v>0</v>
      </c>
      <c r="B156">
        <v>0</v>
      </c>
    </row>
    <row r="157" spans="1:2">
      <c r="A157">
        <v>0</v>
      </c>
      <c r="B157">
        <v>0</v>
      </c>
    </row>
    <row r="158" spans="1:2">
      <c r="A158">
        <v>0</v>
      </c>
      <c r="B158">
        <v>0</v>
      </c>
    </row>
    <row r="159" spans="1:2">
      <c r="A159">
        <v>0</v>
      </c>
      <c r="B159">
        <v>0</v>
      </c>
    </row>
    <row r="160" spans="1:2">
      <c r="A160">
        <v>0</v>
      </c>
      <c r="B160">
        <v>0</v>
      </c>
    </row>
    <row r="161" spans="1:2">
      <c r="A161">
        <v>0</v>
      </c>
      <c r="B161">
        <v>0</v>
      </c>
    </row>
    <row r="162" spans="1:2">
      <c r="A162">
        <v>0</v>
      </c>
      <c r="B162">
        <v>0</v>
      </c>
    </row>
    <row r="163" spans="1:2">
      <c r="A163">
        <v>0</v>
      </c>
      <c r="B163">
        <v>0</v>
      </c>
    </row>
    <row r="164" spans="1:2">
      <c r="A164">
        <v>0</v>
      </c>
      <c r="B164">
        <v>0</v>
      </c>
    </row>
    <row r="165" spans="1:2">
      <c r="A165">
        <v>0</v>
      </c>
      <c r="B165">
        <v>0</v>
      </c>
    </row>
    <row r="166" spans="1:2">
      <c r="A166">
        <v>0</v>
      </c>
      <c r="B166">
        <v>1</v>
      </c>
    </row>
    <row r="167" spans="1:2">
      <c r="A167">
        <v>1</v>
      </c>
      <c r="B167">
        <v>0</v>
      </c>
    </row>
    <row r="168" spans="1:2">
      <c r="A168">
        <v>0</v>
      </c>
      <c r="B168">
        <v>0</v>
      </c>
    </row>
    <row r="169" spans="1:2">
      <c r="A169">
        <v>0</v>
      </c>
      <c r="B169">
        <v>0</v>
      </c>
    </row>
    <row r="170" spans="1:2">
      <c r="A170">
        <v>0</v>
      </c>
      <c r="B170">
        <v>1</v>
      </c>
    </row>
    <row r="171" spans="1:2">
      <c r="A171">
        <v>0</v>
      </c>
      <c r="B171">
        <v>0</v>
      </c>
    </row>
    <row r="172" spans="1:2">
      <c r="A172">
        <v>0</v>
      </c>
      <c r="B172">
        <v>0</v>
      </c>
    </row>
    <row r="173" spans="1:2">
      <c r="A173">
        <v>0</v>
      </c>
      <c r="B173">
        <v>0</v>
      </c>
    </row>
    <row r="174" spans="1:2">
      <c r="A174">
        <v>0</v>
      </c>
      <c r="B174">
        <v>0</v>
      </c>
    </row>
    <row r="175" spans="1:2">
      <c r="A175">
        <v>0</v>
      </c>
      <c r="B175">
        <v>0</v>
      </c>
    </row>
    <row r="176" spans="1:2">
      <c r="A176">
        <v>0</v>
      </c>
      <c r="B176">
        <v>0</v>
      </c>
    </row>
    <row r="177" spans="1:2">
      <c r="A177">
        <v>0</v>
      </c>
      <c r="B177">
        <v>0</v>
      </c>
    </row>
    <row r="178" spans="1:2">
      <c r="A178">
        <v>0</v>
      </c>
      <c r="B178">
        <v>0</v>
      </c>
    </row>
    <row r="179" spans="1:2">
      <c r="A179">
        <v>0</v>
      </c>
      <c r="B179">
        <v>0</v>
      </c>
    </row>
    <row r="180" spans="1:2">
      <c r="A180">
        <v>0</v>
      </c>
      <c r="B180">
        <v>0</v>
      </c>
    </row>
    <row r="181" spans="1:2">
      <c r="A181">
        <v>0</v>
      </c>
      <c r="B181">
        <v>0</v>
      </c>
    </row>
    <row r="182" spans="1:2">
      <c r="A182">
        <v>0</v>
      </c>
      <c r="B182">
        <v>0</v>
      </c>
    </row>
    <row r="183" spans="1:2">
      <c r="A183">
        <v>0</v>
      </c>
      <c r="B183">
        <v>0</v>
      </c>
    </row>
    <row r="184" spans="1:2">
      <c r="A184">
        <v>0</v>
      </c>
      <c r="B184">
        <v>0</v>
      </c>
    </row>
    <row r="185" spans="1:2">
      <c r="A185">
        <v>0</v>
      </c>
      <c r="B185">
        <v>0</v>
      </c>
    </row>
    <row r="186" spans="1:2">
      <c r="A186">
        <v>0</v>
      </c>
      <c r="B186">
        <v>0</v>
      </c>
    </row>
    <row r="187" spans="1:2">
      <c r="A187">
        <v>0</v>
      </c>
      <c r="B187">
        <v>0</v>
      </c>
    </row>
    <row r="188" spans="1:2">
      <c r="A188">
        <v>0</v>
      </c>
      <c r="B188">
        <v>0</v>
      </c>
    </row>
    <row r="189" spans="1:2">
      <c r="A189">
        <v>0</v>
      </c>
      <c r="B189">
        <v>0</v>
      </c>
    </row>
    <row r="190" spans="1:2">
      <c r="A190">
        <v>0</v>
      </c>
      <c r="B190">
        <v>0</v>
      </c>
    </row>
    <row r="191" spans="1:2">
      <c r="A191">
        <v>0</v>
      </c>
      <c r="B191">
        <v>0</v>
      </c>
    </row>
    <row r="192" spans="1:2">
      <c r="A192">
        <v>0</v>
      </c>
      <c r="B192">
        <v>0</v>
      </c>
    </row>
    <row r="193" spans="1:2">
      <c r="A193">
        <v>0</v>
      </c>
      <c r="B193">
        <v>0</v>
      </c>
    </row>
    <row r="194" spans="1:2">
      <c r="A194">
        <v>0</v>
      </c>
      <c r="B194">
        <v>0</v>
      </c>
    </row>
    <row r="195" spans="1:2">
      <c r="A195">
        <v>0</v>
      </c>
      <c r="B195">
        <v>0</v>
      </c>
    </row>
    <row r="196" spans="1:2">
      <c r="A196">
        <v>0</v>
      </c>
      <c r="B196">
        <v>0</v>
      </c>
    </row>
    <row r="197" spans="1:2">
      <c r="A197">
        <v>0</v>
      </c>
      <c r="B197">
        <v>0</v>
      </c>
    </row>
    <row r="198" spans="1:2">
      <c r="A198">
        <v>1</v>
      </c>
      <c r="B198">
        <v>0</v>
      </c>
    </row>
    <row r="199" spans="1:2">
      <c r="A199">
        <v>0</v>
      </c>
      <c r="B199">
        <v>0</v>
      </c>
    </row>
    <row r="200" spans="1:2">
      <c r="A200">
        <v>0</v>
      </c>
      <c r="B200">
        <v>1</v>
      </c>
    </row>
    <row r="201" spans="1:2">
      <c r="A201">
        <v>0</v>
      </c>
      <c r="B201">
        <v>0</v>
      </c>
    </row>
    <row r="202" spans="1:2">
      <c r="A202">
        <v>0</v>
      </c>
      <c r="B202">
        <v>0</v>
      </c>
    </row>
    <row r="203" spans="1:2">
      <c r="A203">
        <v>0</v>
      </c>
      <c r="B203">
        <v>0</v>
      </c>
    </row>
    <row r="204" spans="1:2">
      <c r="A204">
        <v>0</v>
      </c>
      <c r="B204">
        <v>0</v>
      </c>
    </row>
    <row r="205" spans="1:2">
      <c r="A205">
        <v>0</v>
      </c>
      <c r="B205">
        <v>0</v>
      </c>
    </row>
    <row r="206" spans="1:2">
      <c r="A206">
        <v>0</v>
      </c>
      <c r="B206">
        <v>0</v>
      </c>
    </row>
    <row r="207" spans="1:2">
      <c r="A207">
        <v>0</v>
      </c>
      <c r="B207">
        <v>0</v>
      </c>
    </row>
    <row r="208" spans="1:2">
      <c r="A208">
        <v>0</v>
      </c>
      <c r="B208">
        <v>0</v>
      </c>
    </row>
    <row r="209" spans="1:2">
      <c r="A209">
        <v>0</v>
      </c>
      <c r="B209">
        <v>0</v>
      </c>
    </row>
    <row r="210" spans="1:2">
      <c r="A210">
        <v>0</v>
      </c>
      <c r="B210">
        <v>0</v>
      </c>
    </row>
    <row r="211" spans="1:2">
      <c r="A211">
        <v>0</v>
      </c>
      <c r="B211">
        <v>0</v>
      </c>
    </row>
    <row r="212" spans="1:2">
      <c r="A212">
        <v>1</v>
      </c>
      <c r="B212">
        <v>0</v>
      </c>
    </row>
    <row r="213" spans="1:2">
      <c r="A213">
        <v>0</v>
      </c>
      <c r="B213">
        <v>0</v>
      </c>
    </row>
    <row r="214" spans="1:2">
      <c r="A214">
        <v>0</v>
      </c>
      <c r="B214">
        <v>0</v>
      </c>
    </row>
    <row r="215" spans="1:2">
      <c r="A215">
        <v>0</v>
      </c>
      <c r="B215">
        <v>0</v>
      </c>
    </row>
    <row r="216" spans="1:2">
      <c r="A216">
        <v>0</v>
      </c>
      <c r="B216">
        <v>1</v>
      </c>
    </row>
    <row r="217" spans="1:2">
      <c r="A217">
        <v>0</v>
      </c>
      <c r="B217">
        <v>0</v>
      </c>
    </row>
    <row r="218" spans="1:2">
      <c r="A218">
        <v>0</v>
      </c>
      <c r="B218">
        <v>0</v>
      </c>
    </row>
    <row r="219" spans="1:2">
      <c r="A219">
        <v>0</v>
      </c>
      <c r="B219">
        <v>0</v>
      </c>
    </row>
    <row r="220" spans="1:2">
      <c r="A220">
        <v>0</v>
      </c>
      <c r="B220">
        <v>0</v>
      </c>
    </row>
    <row r="221" spans="1:2">
      <c r="A221">
        <v>0</v>
      </c>
      <c r="B221">
        <v>0</v>
      </c>
    </row>
    <row r="222" spans="1:2">
      <c r="A222">
        <v>0</v>
      </c>
      <c r="B222">
        <v>0</v>
      </c>
    </row>
    <row r="223" spans="1:2">
      <c r="A223">
        <v>0</v>
      </c>
      <c r="B223">
        <v>0</v>
      </c>
    </row>
    <row r="224" spans="1:2">
      <c r="A224">
        <v>0</v>
      </c>
      <c r="B224">
        <v>0</v>
      </c>
    </row>
    <row r="225" spans="1:2">
      <c r="A225">
        <v>0</v>
      </c>
      <c r="B225">
        <v>0</v>
      </c>
    </row>
    <row r="226" spans="1:2">
      <c r="A226">
        <v>0</v>
      </c>
      <c r="B226">
        <v>0</v>
      </c>
    </row>
    <row r="227" spans="1:2">
      <c r="A227">
        <v>0</v>
      </c>
      <c r="B227">
        <v>0</v>
      </c>
    </row>
    <row r="228" spans="1:2">
      <c r="A228">
        <v>0</v>
      </c>
      <c r="B228">
        <v>0</v>
      </c>
    </row>
    <row r="229" spans="1:2">
      <c r="A229">
        <v>0</v>
      </c>
      <c r="B229">
        <v>0</v>
      </c>
    </row>
    <row r="230" spans="1:2">
      <c r="A230">
        <v>0</v>
      </c>
      <c r="B230">
        <v>0</v>
      </c>
    </row>
    <row r="231" spans="1:2">
      <c r="A231">
        <v>0</v>
      </c>
      <c r="B231">
        <v>0</v>
      </c>
    </row>
    <row r="232" spans="1:2">
      <c r="A232">
        <v>0</v>
      </c>
      <c r="B232">
        <v>1</v>
      </c>
    </row>
    <row r="233" spans="1:2">
      <c r="A233">
        <v>0</v>
      </c>
      <c r="B233">
        <v>0</v>
      </c>
    </row>
    <row r="234" spans="1:2">
      <c r="A234">
        <v>0</v>
      </c>
      <c r="B234">
        <v>0</v>
      </c>
    </row>
    <row r="235" spans="1:2">
      <c r="A235">
        <v>0</v>
      </c>
      <c r="B235">
        <v>0</v>
      </c>
    </row>
    <row r="236" spans="1:2">
      <c r="A236">
        <v>0</v>
      </c>
      <c r="B236">
        <v>0</v>
      </c>
    </row>
    <row r="237" spans="1:2">
      <c r="A237">
        <v>0</v>
      </c>
      <c r="B237">
        <v>0</v>
      </c>
    </row>
    <row r="238" spans="1:2">
      <c r="A238">
        <v>0</v>
      </c>
      <c r="B238">
        <v>0</v>
      </c>
    </row>
    <row r="239" spans="1:2">
      <c r="A239">
        <v>0</v>
      </c>
      <c r="B239">
        <v>0</v>
      </c>
    </row>
    <row r="240" spans="1:2">
      <c r="A240">
        <v>0</v>
      </c>
      <c r="B240">
        <v>0</v>
      </c>
    </row>
    <row r="241" spans="1:2">
      <c r="A241">
        <v>0</v>
      </c>
      <c r="B241">
        <v>0</v>
      </c>
    </row>
    <row r="242" spans="1:2">
      <c r="A242">
        <v>0</v>
      </c>
      <c r="B242">
        <v>1</v>
      </c>
    </row>
    <row r="243" spans="1:2">
      <c r="A243">
        <v>0</v>
      </c>
      <c r="B243">
        <v>0</v>
      </c>
    </row>
    <row r="244" spans="1:2">
      <c r="A244">
        <v>0</v>
      </c>
      <c r="B244">
        <v>0</v>
      </c>
    </row>
    <row r="245" spans="1:2">
      <c r="A245">
        <v>0</v>
      </c>
      <c r="B245">
        <v>0</v>
      </c>
    </row>
    <row r="246" spans="1:2">
      <c r="A246">
        <v>0</v>
      </c>
      <c r="B246">
        <v>0</v>
      </c>
    </row>
    <row r="247" spans="1:2">
      <c r="A247">
        <v>0</v>
      </c>
      <c r="B247">
        <v>0</v>
      </c>
    </row>
    <row r="248" spans="1:2">
      <c r="A248">
        <v>0</v>
      </c>
      <c r="B248">
        <v>0</v>
      </c>
    </row>
    <row r="249" spans="1:2">
      <c r="A249">
        <v>0</v>
      </c>
      <c r="B249">
        <v>0</v>
      </c>
    </row>
    <row r="250" spans="1:2">
      <c r="A250">
        <v>0</v>
      </c>
      <c r="B250">
        <v>0</v>
      </c>
    </row>
    <row r="251" spans="1:2">
      <c r="A251">
        <v>0</v>
      </c>
      <c r="B251">
        <v>0</v>
      </c>
    </row>
    <row r="252" spans="1:2">
      <c r="A252">
        <v>1</v>
      </c>
      <c r="B252">
        <v>0</v>
      </c>
    </row>
    <row r="253" spans="1:2">
      <c r="A253">
        <v>0</v>
      </c>
      <c r="B253">
        <v>0</v>
      </c>
    </row>
    <row r="254" spans="1:2">
      <c r="A254">
        <v>0</v>
      </c>
      <c r="B254">
        <v>1</v>
      </c>
    </row>
    <row r="255" spans="1:2">
      <c r="A255">
        <v>0</v>
      </c>
      <c r="B255">
        <v>0</v>
      </c>
    </row>
    <row r="256" spans="1:2">
      <c r="A256">
        <v>0</v>
      </c>
      <c r="B256">
        <v>0</v>
      </c>
    </row>
    <row r="257" spans="1:2">
      <c r="A257">
        <v>0</v>
      </c>
      <c r="B257">
        <v>0</v>
      </c>
    </row>
    <row r="258" spans="1:2">
      <c r="A258">
        <v>0</v>
      </c>
      <c r="B258">
        <v>0</v>
      </c>
    </row>
    <row r="259" spans="1:2">
      <c r="A259">
        <v>0</v>
      </c>
      <c r="B259">
        <v>1</v>
      </c>
    </row>
    <row r="260" spans="1:2">
      <c r="A260">
        <v>0</v>
      </c>
      <c r="B260">
        <v>0</v>
      </c>
    </row>
    <row r="261" spans="1:2">
      <c r="A261">
        <v>0</v>
      </c>
      <c r="B261">
        <v>0</v>
      </c>
    </row>
    <row r="262" spans="1:2">
      <c r="A262">
        <v>0</v>
      </c>
      <c r="B262">
        <v>0</v>
      </c>
    </row>
    <row r="263" spans="1:2">
      <c r="A263">
        <v>0</v>
      </c>
      <c r="B263">
        <v>0</v>
      </c>
    </row>
    <row r="264" spans="1:2">
      <c r="A264">
        <v>0</v>
      </c>
      <c r="B264">
        <v>0</v>
      </c>
    </row>
    <row r="265" spans="1:2">
      <c r="A265">
        <v>0</v>
      </c>
      <c r="B265">
        <v>0</v>
      </c>
    </row>
    <row r="266" spans="1:2">
      <c r="A266">
        <v>0</v>
      </c>
      <c r="B266">
        <v>0</v>
      </c>
    </row>
    <row r="267" spans="1:2">
      <c r="A267">
        <v>0</v>
      </c>
      <c r="B267">
        <v>0</v>
      </c>
    </row>
    <row r="268" spans="1:2">
      <c r="A268">
        <v>0</v>
      </c>
      <c r="B268">
        <v>0</v>
      </c>
    </row>
    <row r="269" spans="1:2">
      <c r="A269">
        <v>0</v>
      </c>
      <c r="B269">
        <v>0</v>
      </c>
    </row>
    <row r="270" spans="1:2">
      <c r="A270">
        <v>0</v>
      </c>
      <c r="B270">
        <v>0</v>
      </c>
    </row>
    <row r="271" spans="1:2">
      <c r="A271">
        <v>0</v>
      </c>
      <c r="B271">
        <v>0</v>
      </c>
    </row>
    <row r="272" spans="1:2">
      <c r="A272">
        <v>0</v>
      </c>
      <c r="B272">
        <v>0</v>
      </c>
    </row>
    <row r="273" spans="1:2">
      <c r="A273">
        <v>0</v>
      </c>
      <c r="B273">
        <v>0</v>
      </c>
    </row>
    <row r="274" spans="1:2">
      <c r="A274">
        <v>0</v>
      </c>
      <c r="B274">
        <v>0</v>
      </c>
    </row>
    <row r="275" spans="1:2">
      <c r="A275">
        <v>0</v>
      </c>
      <c r="B275">
        <v>0</v>
      </c>
    </row>
    <row r="276" spans="1:2">
      <c r="A276">
        <v>0</v>
      </c>
      <c r="B276">
        <v>0</v>
      </c>
    </row>
    <row r="277" spans="1:2">
      <c r="A277">
        <v>0</v>
      </c>
      <c r="B277">
        <v>0</v>
      </c>
    </row>
    <row r="278" spans="1:2">
      <c r="A278">
        <v>0</v>
      </c>
      <c r="B278">
        <v>0</v>
      </c>
    </row>
    <row r="279" spans="1:2">
      <c r="A279">
        <v>0</v>
      </c>
      <c r="B279">
        <v>0</v>
      </c>
    </row>
    <row r="280" spans="1:2">
      <c r="A280">
        <v>0</v>
      </c>
      <c r="B280">
        <v>0</v>
      </c>
    </row>
    <row r="281" spans="1:2">
      <c r="A281">
        <v>0</v>
      </c>
      <c r="B281">
        <v>0</v>
      </c>
    </row>
    <row r="282" spans="1:2">
      <c r="A282">
        <v>0</v>
      </c>
      <c r="B282">
        <v>0</v>
      </c>
    </row>
    <row r="283" spans="1:2">
      <c r="A283">
        <v>0</v>
      </c>
      <c r="B283">
        <v>0</v>
      </c>
    </row>
    <row r="284" spans="1:2">
      <c r="A284">
        <v>0</v>
      </c>
      <c r="B284">
        <v>0</v>
      </c>
    </row>
    <row r="285" spans="1:2">
      <c r="A285">
        <v>0</v>
      </c>
      <c r="B285">
        <v>0</v>
      </c>
    </row>
    <row r="286" spans="1:2">
      <c r="A286">
        <v>0</v>
      </c>
      <c r="B286">
        <v>0</v>
      </c>
    </row>
    <row r="287" spans="1:2">
      <c r="A287">
        <v>0</v>
      </c>
      <c r="B287">
        <v>0</v>
      </c>
    </row>
    <row r="288" spans="1:2">
      <c r="A288">
        <v>0</v>
      </c>
      <c r="B288">
        <v>0</v>
      </c>
    </row>
    <row r="289" spans="1:2">
      <c r="A289">
        <v>0</v>
      </c>
      <c r="B289">
        <v>0</v>
      </c>
    </row>
    <row r="290" spans="1:2">
      <c r="A290">
        <v>0</v>
      </c>
      <c r="B290">
        <v>0</v>
      </c>
    </row>
    <row r="291" spans="1:2">
      <c r="A291">
        <v>0</v>
      </c>
      <c r="B291">
        <v>0</v>
      </c>
    </row>
    <row r="292" spans="1:2">
      <c r="A292">
        <v>0</v>
      </c>
      <c r="B292">
        <v>0</v>
      </c>
    </row>
    <row r="293" spans="1:2">
      <c r="A293">
        <v>0</v>
      </c>
      <c r="B293">
        <v>0</v>
      </c>
    </row>
    <row r="294" spans="1:2">
      <c r="A294">
        <v>0</v>
      </c>
      <c r="B294">
        <v>0</v>
      </c>
    </row>
    <row r="295" spans="1:2">
      <c r="A295">
        <v>0</v>
      </c>
      <c r="B295">
        <v>0</v>
      </c>
    </row>
    <row r="296" spans="1:2">
      <c r="A296">
        <v>0</v>
      </c>
      <c r="B296">
        <v>0</v>
      </c>
    </row>
    <row r="297" spans="1:2">
      <c r="A297">
        <v>0</v>
      </c>
      <c r="B297">
        <v>0</v>
      </c>
    </row>
    <row r="298" spans="1:2">
      <c r="A298">
        <v>0</v>
      </c>
      <c r="B298">
        <v>0</v>
      </c>
    </row>
    <row r="299" spans="1:2">
      <c r="A299">
        <v>0</v>
      </c>
      <c r="B299">
        <v>0</v>
      </c>
    </row>
    <row r="300" spans="1:2">
      <c r="A300">
        <v>0</v>
      </c>
      <c r="B300">
        <v>0</v>
      </c>
    </row>
    <row r="301" spans="1:2">
      <c r="A301">
        <v>1</v>
      </c>
      <c r="B301">
        <v>0</v>
      </c>
    </row>
    <row r="302" spans="1:2">
      <c r="A302">
        <v>0</v>
      </c>
      <c r="B302">
        <v>0</v>
      </c>
    </row>
    <row r="303" spans="1:2">
      <c r="A303">
        <v>0</v>
      </c>
      <c r="B303">
        <v>0</v>
      </c>
    </row>
    <row r="304" spans="1:2">
      <c r="A304">
        <v>1</v>
      </c>
      <c r="B304">
        <v>1</v>
      </c>
    </row>
    <row r="305" spans="1:2">
      <c r="A305">
        <v>0</v>
      </c>
      <c r="B305">
        <v>0</v>
      </c>
    </row>
    <row r="306" spans="1:2">
      <c r="A306">
        <v>0</v>
      </c>
      <c r="B306">
        <v>0</v>
      </c>
    </row>
    <row r="307" spans="1:2">
      <c r="A307">
        <v>0</v>
      </c>
      <c r="B307">
        <v>0</v>
      </c>
    </row>
    <row r="308" spans="1:2">
      <c r="A308">
        <v>0</v>
      </c>
      <c r="B308">
        <v>1</v>
      </c>
    </row>
    <row r="309" spans="1:2">
      <c r="A309">
        <v>1</v>
      </c>
      <c r="B309">
        <v>0</v>
      </c>
    </row>
    <row r="310" spans="1:2">
      <c r="A310">
        <v>0</v>
      </c>
      <c r="B310">
        <v>0</v>
      </c>
    </row>
    <row r="311" spans="1:2">
      <c r="A311">
        <v>0</v>
      </c>
      <c r="B311">
        <v>0</v>
      </c>
    </row>
    <row r="312" spans="1:2">
      <c r="A312">
        <v>0</v>
      </c>
      <c r="B312">
        <v>0</v>
      </c>
    </row>
    <row r="313" spans="1:2">
      <c r="A313">
        <v>0</v>
      </c>
      <c r="B313">
        <v>0</v>
      </c>
    </row>
    <row r="314" spans="1:2">
      <c r="A314">
        <v>0</v>
      </c>
      <c r="B314">
        <v>0</v>
      </c>
    </row>
    <row r="315" spans="1:2">
      <c r="A315">
        <v>0</v>
      </c>
      <c r="B315">
        <v>0</v>
      </c>
    </row>
    <row r="316" spans="1:2">
      <c r="A316">
        <v>0</v>
      </c>
      <c r="B316">
        <v>0</v>
      </c>
    </row>
    <row r="317" spans="1:2">
      <c r="A317">
        <v>0</v>
      </c>
      <c r="B317">
        <v>0</v>
      </c>
    </row>
    <row r="318" spans="1:2">
      <c r="A318">
        <v>0</v>
      </c>
      <c r="B318">
        <v>0</v>
      </c>
    </row>
    <row r="319" spans="1:2">
      <c r="A319">
        <v>0</v>
      </c>
      <c r="B319">
        <v>0</v>
      </c>
    </row>
    <row r="320" spans="1:2">
      <c r="A320">
        <v>0</v>
      </c>
      <c r="B320">
        <v>0</v>
      </c>
    </row>
    <row r="321" spans="1:2">
      <c r="A321">
        <v>0</v>
      </c>
      <c r="B321">
        <v>0</v>
      </c>
    </row>
    <row r="322" spans="1:2">
      <c r="A322">
        <v>0</v>
      </c>
      <c r="B322">
        <v>0</v>
      </c>
    </row>
    <row r="323" spans="1:2">
      <c r="A323">
        <v>0</v>
      </c>
      <c r="B323">
        <v>1</v>
      </c>
    </row>
    <row r="324" spans="1:2">
      <c r="A324">
        <v>0</v>
      </c>
      <c r="B324">
        <v>0</v>
      </c>
    </row>
    <row r="325" spans="1:2">
      <c r="A325">
        <v>0</v>
      </c>
      <c r="B325">
        <v>0</v>
      </c>
    </row>
    <row r="326" spans="1:2">
      <c r="A326">
        <v>0</v>
      </c>
      <c r="B326">
        <v>0</v>
      </c>
    </row>
    <row r="327" spans="1:2">
      <c r="A327">
        <v>0</v>
      </c>
      <c r="B327">
        <v>0</v>
      </c>
    </row>
    <row r="328" spans="1:2">
      <c r="A328">
        <v>0</v>
      </c>
      <c r="B328">
        <v>0</v>
      </c>
    </row>
    <row r="329" spans="1:2">
      <c r="A329">
        <v>0</v>
      </c>
      <c r="B329">
        <v>0</v>
      </c>
    </row>
    <row r="330" spans="1:2">
      <c r="A330">
        <v>0</v>
      </c>
      <c r="B330">
        <v>0</v>
      </c>
    </row>
    <row r="331" spans="1:2">
      <c r="A331">
        <v>0</v>
      </c>
      <c r="B331">
        <v>0</v>
      </c>
    </row>
    <row r="332" spans="1:2">
      <c r="A332">
        <v>1</v>
      </c>
      <c r="B332">
        <v>0</v>
      </c>
    </row>
    <row r="333" spans="1:2">
      <c r="A333">
        <v>0</v>
      </c>
      <c r="B333">
        <v>0</v>
      </c>
    </row>
    <row r="334" spans="1:2">
      <c r="A334">
        <v>0</v>
      </c>
      <c r="B334">
        <v>0</v>
      </c>
    </row>
    <row r="335" spans="1:2">
      <c r="A335">
        <v>0</v>
      </c>
      <c r="B335">
        <v>0</v>
      </c>
    </row>
    <row r="336" spans="1:2">
      <c r="A336">
        <v>1</v>
      </c>
      <c r="B336">
        <v>1</v>
      </c>
    </row>
    <row r="337" spans="1:2">
      <c r="A337">
        <v>1</v>
      </c>
      <c r="B337">
        <v>0</v>
      </c>
    </row>
    <row r="338" spans="1:2">
      <c r="A338">
        <v>0</v>
      </c>
      <c r="B338">
        <v>0</v>
      </c>
    </row>
    <row r="339" spans="1:2">
      <c r="A339">
        <v>0</v>
      </c>
      <c r="B339">
        <v>0</v>
      </c>
    </row>
    <row r="340" spans="1:2">
      <c r="A340">
        <v>0</v>
      </c>
      <c r="B340">
        <v>0</v>
      </c>
    </row>
    <row r="341" spans="1:2">
      <c r="A341">
        <v>0</v>
      </c>
      <c r="B341">
        <v>0</v>
      </c>
    </row>
    <row r="342" spans="1:2">
      <c r="A342">
        <v>0</v>
      </c>
      <c r="B342">
        <v>0</v>
      </c>
    </row>
    <row r="343" spans="1:2">
      <c r="A343">
        <v>0</v>
      </c>
      <c r="B343">
        <v>0</v>
      </c>
    </row>
    <row r="344" spans="1:2">
      <c r="A344">
        <v>0</v>
      </c>
      <c r="B344">
        <v>0</v>
      </c>
    </row>
    <row r="345" spans="1:2">
      <c r="A345">
        <v>0</v>
      </c>
      <c r="B345">
        <v>0</v>
      </c>
    </row>
    <row r="346" spans="1:2">
      <c r="A346">
        <v>0</v>
      </c>
      <c r="B346">
        <v>0</v>
      </c>
    </row>
    <row r="347" spans="1:2">
      <c r="A347">
        <v>0</v>
      </c>
      <c r="B347">
        <v>0</v>
      </c>
    </row>
    <row r="348" spans="1:2">
      <c r="A348">
        <v>0</v>
      </c>
      <c r="B348">
        <v>0</v>
      </c>
    </row>
    <row r="349" spans="1:2">
      <c r="A349">
        <v>0</v>
      </c>
      <c r="B349">
        <v>0</v>
      </c>
    </row>
    <row r="350" spans="1:2">
      <c r="A350">
        <v>0</v>
      </c>
      <c r="B350">
        <v>0</v>
      </c>
    </row>
    <row r="351" spans="1:2">
      <c r="A351">
        <v>0</v>
      </c>
      <c r="B351">
        <v>0</v>
      </c>
    </row>
    <row r="352" spans="1:2">
      <c r="A352">
        <v>0</v>
      </c>
      <c r="B352">
        <v>0</v>
      </c>
    </row>
    <row r="353" spans="1:2">
      <c r="A353">
        <v>0</v>
      </c>
      <c r="B353">
        <v>0</v>
      </c>
    </row>
    <row r="354" spans="1:2">
      <c r="A354">
        <v>0</v>
      </c>
      <c r="B354">
        <v>0</v>
      </c>
    </row>
    <row r="355" spans="1:2">
      <c r="A355">
        <v>0</v>
      </c>
      <c r="B355">
        <v>0</v>
      </c>
    </row>
    <row r="356" spans="1:2">
      <c r="A356">
        <v>0</v>
      </c>
      <c r="B356">
        <v>0</v>
      </c>
    </row>
    <row r="357" spans="1:2">
      <c r="A357">
        <v>0</v>
      </c>
      <c r="B357">
        <v>0</v>
      </c>
    </row>
    <row r="358" spans="1:2">
      <c r="A358">
        <v>0</v>
      </c>
      <c r="B358">
        <v>0</v>
      </c>
    </row>
    <row r="359" spans="1:2">
      <c r="A359">
        <v>0</v>
      </c>
      <c r="B359">
        <v>0</v>
      </c>
    </row>
    <row r="360" spans="1:2">
      <c r="A360">
        <v>0</v>
      </c>
      <c r="B360">
        <v>0</v>
      </c>
    </row>
    <row r="361" spans="1:2">
      <c r="A361">
        <v>0</v>
      </c>
      <c r="B361">
        <v>0</v>
      </c>
    </row>
    <row r="362" spans="1:2">
      <c r="A362">
        <v>0</v>
      </c>
      <c r="B362">
        <v>0</v>
      </c>
    </row>
    <row r="363" spans="1:2">
      <c r="A363">
        <v>0</v>
      </c>
      <c r="B363">
        <v>0</v>
      </c>
    </row>
    <row r="364" spans="1:2">
      <c r="A364">
        <v>0</v>
      </c>
      <c r="B364">
        <v>1</v>
      </c>
    </row>
    <row r="365" spans="1:2">
      <c r="A365">
        <v>0</v>
      </c>
      <c r="B365">
        <v>0</v>
      </c>
    </row>
    <row r="366" spans="1:2">
      <c r="A366">
        <v>0</v>
      </c>
      <c r="B366">
        <v>0</v>
      </c>
    </row>
    <row r="367" spans="1:2">
      <c r="A367">
        <v>0</v>
      </c>
      <c r="B367">
        <v>0</v>
      </c>
    </row>
    <row r="368" spans="1:2">
      <c r="A368">
        <v>0</v>
      </c>
      <c r="B368">
        <v>0</v>
      </c>
    </row>
    <row r="369" spans="1:2">
      <c r="A369">
        <v>0</v>
      </c>
      <c r="B369">
        <v>0</v>
      </c>
    </row>
    <row r="370" spans="1:2">
      <c r="A370">
        <v>0</v>
      </c>
      <c r="B370">
        <v>0</v>
      </c>
    </row>
    <row r="371" spans="1:2">
      <c r="A371">
        <v>0</v>
      </c>
      <c r="B371">
        <v>0</v>
      </c>
    </row>
    <row r="372" spans="1:2">
      <c r="A372">
        <v>0</v>
      </c>
      <c r="B372">
        <v>0</v>
      </c>
    </row>
    <row r="373" spans="1:2">
      <c r="A373">
        <v>0</v>
      </c>
      <c r="B373">
        <v>1</v>
      </c>
    </row>
    <row r="374" spans="1:2">
      <c r="A374">
        <v>0</v>
      </c>
      <c r="B374">
        <v>0</v>
      </c>
    </row>
    <row r="375" spans="1:2">
      <c r="A375">
        <v>0</v>
      </c>
      <c r="B375">
        <v>0</v>
      </c>
    </row>
    <row r="376" spans="1:2">
      <c r="A376">
        <v>0</v>
      </c>
      <c r="B376">
        <v>0</v>
      </c>
    </row>
    <row r="377" spans="1:2">
      <c r="A377">
        <v>0</v>
      </c>
      <c r="B377">
        <v>0</v>
      </c>
    </row>
    <row r="378" spans="1:2">
      <c r="A378">
        <v>0</v>
      </c>
      <c r="B378">
        <v>0</v>
      </c>
    </row>
    <row r="379" spans="1:2">
      <c r="A379">
        <v>0</v>
      </c>
      <c r="B379">
        <v>0</v>
      </c>
    </row>
    <row r="380" spans="1:2">
      <c r="A380">
        <v>0</v>
      </c>
      <c r="B380">
        <v>0</v>
      </c>
    </row>
    <row r="381" spans="1:2">
      <c r="A381">
        <v>0</v>
      </c>
      <c r="B381">
        <v>0</v>
      </c>
    </row>
    <row r="382" spans="1:2">
      <c r="A382">
        <v>0</v>
      </c>
      <c r="B382">
        <v>0</v>
      </c>
    </row>
    <row r="383" spans="1:2">
      <c r="A383">
        <v>0</v>
      </c>
      <c r="B383">
        <v>0</v>
      </c>
    </row>
    <row r="384" spans="1:2">
      <c r="A384">
        <v>0</v>
      </c>
      <c r="B384">
        <v>0</v>
      </c>
    </row>
    <row r="385" spans="1:2">
      <c r="A385">
        <v>0</v>
      </c>
      <c r="B385">
        <v>1</v>
      </c>
    </row>
    <row r="386" spans="1:2">
      <c r="A386">
        <v>0</v>
      </c>
      <c r="B386">
        <v>0</v>
      </c>
    </row>
    <row r="387" spans="1:2">
      <c r="A387">
        <v>0</v>
      </c>
      <c r="B387">
        <v>0</v>
      </c>
    </row>
    <row r="388" spans="1:2">
      <c r="A388">
        <v>0</v>
      </c>
      <c r="B388">
        <v>1</v>
      </c>
    </row>
    <row r="389" spans="1:2">
      <c r="A389">
        <v>0</v>
      </c>
      <c r="B389">
        <v>1</v>
      </c>
    </row>
    <row r="390" spans="1:2">
      <c r="A390">
        <v>0</v>
      </c>
      <c r="B390">
        <v>0</v>
      </c>
    </row>
    <row r="391" spans="1:2">
      <c r="A391">
        <v>0</v>
      </c>
      <c r="B391">
        <v>0</v>
      </c>
    </row>
    <row r="392" spans="1:2">
      <c r="A392">
        <v>0</v>
      </c>
      <c r="B392">
        <v>0</v>
      </c>
    </row>
    <row r="393" spans="1:2">
      <c r="A393">
        <v>0</v>
      </c>
      <c r="B393">
        <v>0</v>
      </c>
    </row>
    <row r="394" spans="1:2">
      <c r="A394">
        <v>0</v>
      </c>
      <c r="B394">
        <v>0</v>
      </c>
    </row>
    <row r="395" spans="1:2">
      <c r="A395">
        <v>0</v>
      </c>
      <c r="B395">
        <v>0</v>
      </c>
    </row>
    <row r="396" spans="1:2">
      <c r="A396">
        <v>0</v>
      </c>
      <c r="B396">
        <v>0</v>
      </c>
    </row>
    <row r="397" spans="1:2">
      <c r="A397">
        <v>0</v>
      </c>
      <c r="B397">
        <v>0</v>
      </c>
    </row>
    <row r="398" spans="1:2">
      <c r="A398">
        <v>0</v>
      </c>
      <c r="B398">
        <v>0</v>
      </c>
    </row>
    <row r="399" spans="1:2">
      <c r="A399">
        <v>0</v>
      </c>
      <c r="B399">
        <v>0</v>
      </c>
    </row>
    <row r="400" spans="1:2">
      <c r="A400">
        <v>0</v>
      </c>
      <c r="B400">
        <v>0</v>
      </c>
    </row>
    <row r="401" spans="1:2">
      <c r="A401">
        <v>0</v>
      </c>
      <c r="B401">
        <v>0</v>
      </c>
    </row>
    <row r="402" spans="1:2">
      <c r="A402">
        <v>0</v>
      </c>
      <c r="B402">
        <v>0</v>
      </c>
    </row>
    <row r="403" spans="1:2">
      <c r="A403">
        <v>0</v>
      </c>
      <c r="B403">
        <v>0</v>
      </c>
    </row>
    <row r="404" spans="1:2">
      <c r="A404">
        <v>0</v>
      </c>
      <c r="B404">
        <v>0</v>
      </c>
    </row>
    <row r="405" spans="1:2">
      <c r="A405">
        <v>0</v>
      </c>
      <c r="B405">
        <v>0</v>
      </c>
    </row>
    <row r="406" spans="1:2">
      <c r="A406">
        <v>0</v>
      </c>
      <c r="B406">
        <v>0</v>
      </c>
    </row>
    <row r="407" spans="1:2">
      <c r="A407">
        <v>0</v>
      </c>
      <c r="B407">
        <v>0</v>
      </c>
    </row>
    <row r="408" spans="1:2">
      <c r="A408">
        <v>0</v>
      </c>
      <c r="B408">
        <v>0</v>
      </c>
    </row>
    <row r="409" spans="1:2">
      <c r="A409">
        <v>0</v>
      </c>
      <c r="B409">
        <v>0</v>
      </c>
    </row>
    <row r="410" spans="1:2">
      <c r="A410">
        <v>0</v>
      </c>
      <c r="B410">
        <v>0</v>
      </c>
    </row>
    <row r="411" spans="1:2">
      <c r="A411">
        <v>0</v>
      </c>
      <c r="B411">
        <v>0</v>
      </c>
    </row>
    <row r="412" spans="1:2">
      <c r="A412">
        <v>1</v>
      </c>
      <c r="B412">
        <v>0</v>
      </c>
    </row>
    <row r="413" spans="1:2">
      <c r="A413">
        <v>0</v>
      </c>
      <c r="B413">
        <v>0</v>
      </c>
    </row>
    <row r="414" spans="1:2">
      <c r="A414">
        <v>0</v>
      </c>
      <c r="B414">
        <v>0</v>
      </c>
    </row>
    <row r="415" spans="1:2">
      <c r="A415">
        <v>0</v>
      </c>
      <c r="B415">
        <v>0</v>
      </c>
    </row>
    <row r="416" spans="1:2">
      <c r="A416">
        <v>0</v>
      </c>
      <c r="B416">
        <v>0</v>
      </c>
    </row>
    <row r="417" spans="1:2">
      <c r="A417">
        <v>0</v>
      </c>
      <c r="B417">
        <v>0</v>
      </c>
    </row>
    <row r="418" spans="1:2">
      <c r="A418">
        <v>0</v>
      </c>
      <c r="B418">
        <v>0</v>
      </c>
    </row>
    <row r="419" spans="1:2">
      <c r="A419">
        <v>0</v>
      </c>
      <c r="B419">
        <v>0</v>
      </c>
    </row>
    <row r="420" spans="1:2">
      <c r="A420">
        <v>0</v>
      </c>
      <c r="B420">
        <v>0</v>
      </c>
    </row>
    <row r="421" spans="1:2">
      <c r="A421">
        <v>0</v>
      </c>
      <c r="B421">
        <v>0</v>
      </c>
    </row>
    <row r="422" spans="1:2">
      <c r="A422">
        <v>0</v>
      </c>
      <c r="B422">
        <v>0</v>
      </c>
    </row>
    <row r="423" spans="1:2">
      <c r="A423">
        <v>0</v>
      </c>
      <c r="B423">
        <v>0</v>
      </c>
    </row>
    <row r="424" spans="1:2">
      <c r="A424">
        <v>0</v>
      </c>
      <c r="B424">
        <v>0</v>
      </c>
    </row>
    <row r="425" spans="1:2">
      <c r="A425">
        <v>0</v>
      </c>
      <c r="B425">
        <v>1</v>
      </c>
    </row>
    <row r="426" spans="1:2">
      <c r="A426">
        <v>0</v>
      </c>
      <c r="B426">
        <v>0</v>
      </c>
    </row>
    <row r="427" spans="1:2">
      <c r="A427">
        <v>0</v>
      </c>
      <c r="B427">
        <v>0</v>
      </c>
    </row>
    <row r="428" spans="1:2">
      <c r="A428">
        <v>0</v>
      </c>
      <c r="B428">
        <v>0</v>
      </c>
    </row>
    <row r="429" spans="1:2">
      <c r="A429">
        <v>0</v>
      </c>
      <c r="B429">
        <v>0</v>
      </c>
    </row>
    <row r="430" spans="1:2">
      <c r="A430">
        <v>0</v>
      </c>
      <c r="B430">
        <v>0</v>
      </c>
    </row>
    <row r="431" spans="1:2">
      <c r="A431">
        <v>0</v>
      </c>
      <c r="B431">
        <v>0</v>
      </c>
    </row>
    <row r="432" spans="1:2">
      <c r="A432">
        <v>0</v>
      </c>
      <c r="B432">
        <v>0</v>
      </c>
    </row>
    <row r="433" spans="1:2">
      <c r="A433">
        <v>0</v>
      </c>
      <c r="B433">
        <v>0</v>
      </c>
    </row>
    <row r="434" spans="1:2">
      <c r="A434">
        <v>0</v>
      </c>
      <c r="B434">
        <v>0</v>
      </c>
    </row>
    <row r="435" spans="1:2">
      <c r="A435">
        <v>0</v>
      </c>
      <c r="B435">
        <v>0</v>
      </c>
    </row>
    <row r="436" spans="1:2">
      <c r="A436">
        <v>0</v>
      </c>
      <c r="B436">
        <v>0</v>
      </c>
    </row>
    <row r="437" spans="1:2">
      <c r="A437">
        <v>0</v>
      </c>
      <c r="B437">
        <v>0</v>
      </c>
    </row>
    <row r="438" spans="1:2">
      <c r="A438">
        <v>0</v>
      </c>
      <c r="B438">
        <v>0</v>
      </c>
    </row>
    <row r="439" spans="1:2">
      <c r="A439">
        <v>0</v>
      </c>
      <c r="B439">
        <v>0</v>
      </c>
    </row>
    <row r="440" spans="1:2">
      <c r="A440">
        <v>0</v>
      </c>
      <c r="B440">
        <v>0</v>
      </c>
    </row>
    <row r="441" spans="1:2">
      <c r="A441">
        <v>1</v>
      </c>
      <c r="B441">
        <v>0</v>
      </c>
    </row>
    <row r="442" spans="1:2">
      <c r="A442">
        <v>0</v>
      </c>
      <c r="B442">
        <v>0</v>
      </c>
    </row>
    <row r="443" spans="1:2">
      <c r="A443">
        <v>0</v>
      </c>
      <c r="B443">
        <v>0</v>
      </c>
    </row>
    <row r="444" spans="1:2">
      <c r="A444">
        <v>0</v>
      </c>
      <c r="B444">
        <v>0</v>
      </c>
    </row>
    <row r="445" spans="1:2">
      <c r="A445">
        <v>0</v>
      </c>
      <c r="B445">
        <v>0</v>
      </c>
    </row>
    <row r="446" spans="1:2">
      <c r="A446">
        <v>0</v>
      </c>
      <c r="B446">
        <v>0</v>
      </c>
    </row>
    <row r="447" spans="1:2">
      <c r="A447">
        <v>0</v>
      </c>
      <c r="B447">
        <v>0</v>
      </c>
    </row>
    <row r="448" spans="1:2">
      <c r="A448">
        <v>0</v>
      </c>
      <c r="B448">
        <v>0</v>
      </c>
    </row>
    <row r="449" spans="1:2">
      <c r="A449">
        <v>0</v>
      </c>
      <c r="B449">
        <v>0</v>
      </c>
    </row>
    <row r="450" spans="1:2">
      <c r="A450">
        <v>0</v>
      </c>
      <c r="B450">
        <v>0</v>
      </c>
    </row>
    <row r="451" spans="1:2">
      <c r="A451">
        <v>0</v>
      </c>
      <c r="B451">
        <v>0</v>
      </c>
    </row>
    <row r="452" spans="1:2">
      <c r="A452">
        <v>0</v>
      </c>
      <c r="B452">
        <v>0</v>
      </c>
    </row>
    <row r="453" spans="1:2">
      <c r="A453">
        <v>0</v>
      </c>
      <c r="B453">
        <v>1</v>
      </c>
    </row>
    <row r="454" spans="1:2">
      <c r="A454">
        <v>0</v>
      </c>
      <c r="B454">
        <v>0</v>
      </c>
    </row>
    <row r="455" spans="1:2">
      <c r="A455">
        <v>0</v>
      </c>
      <c r="B455">
        <v>0</v>
      </c>
    </row>
    <row r="456" spans="1:2">
      <c r="A456">
        <v>0</v>
      </c>
      <c r="B456">
        <v>1</v>
      </c>
    </row>
    <row r="457" spans="1:2">
      <c r="A457">
        <v>0</v>
      </c>
      <c r="B457">
        <v>0</v>
      </c>
    </row>
    <row r="458" spans="1:2">
      <c r="A458">
        <v>0</v>
      </c>
      <c r="B458">
        <v>1</v>
      </c>
    </row>
    <row r="459" spans="1:2">
      <c r="A459">
        <v>0</v>
      </c>
      <c r="B459">
        <v>0</v>
      </c>
    </row>
    <row r="460" spans="1:2">
      <c r="A460">
        <v>0</v>
      </c>
      <c r="B460">
        <v>0</v>
      </c>
    </row>
    <row r="461" spans="1:2">
      <c r="A461">
        <v>0</v>
      </c>
      <c r="B461">
        <v>0</v>
      </c>
    </row>
    <row r="462" spans="1:2">
      <c r="A462">
        <v>0</v>
      </c>
      <c r="B462">
        <v>0</v>
      </c>
    </row>
    <row r="463" spans="1:2">
      <c r="A463">
        <v>0</v>
      </c>
      <c r="B463">
        <v>0</v>
      </c>
    </row>
    <row r="464" spans="1:2">
      <c r="A464">
        <v>0</v>
      </c>
      <c r="B464">
        <v>0</v>
      </c>
    </row>
    <row r="465" spans="1:2">
      <c r="A465">
        <v>0</v>
      </c>
      <c r="B465">
        <v>0</v>
      </c>
    </row>
    <row r="466" spans="1:2">
      <c r="A466">
        <v>0</v>
      </c>
      <c r="B466">
        <v>0</v>
      </c>
    </row>
    <row r="467" spans="1:2">
      <c r="A467">
        <v>0</v>
      </c>
      <c r="B467">
        <v>0</v>
      </c>
    </row>
    <row r="468" spans="1:2">
      <c r="A468">
        <v>0</v>
      </c>
      <c r="B468">
        <v>0</v>
      </c>
    </row>
    <row r="469" spans="1:2">
      <c r="A469">
        <v>0</v>
      </c>
      <c r="B469">
        <v>0</v>
      </c>
    </row>
    <row r="470" spans="1:2">
      <c r="A470">
        <v>0</v>
      </c>
      <c r="B470">
        <v>0</v>
      </c>
    </row>
    <row r="471" spans="1:2">
      <c r="A471">
        <v>0</v>
      </c>
      <c r="B471">
        <v>0</v>
      </c>
    </row>
    <row r="472" spans="1:2">
      <c r="A472">
        <v>0</v>
      </c>
      <c r="B472">
        <v>0</v>
      </c>
    </row>
    <row r="473" spans="1:2">
      <c r="A473">
        <v>0</v>
      </c>
      <c r="B473">
        <v>0</v>
      </c>
    </row>
    <row r="474" spans="1:2">
      <c r="A474">
        <v>0</v>
      </c>
      <c r="B474">
        <v>0</v>
      </c>
    </row>
    <row r="475" spans="1:2">
      <c r="A475">
        <v>0</v>
      </c>
      <c r="B475">
        <v>0</v>
      </c>
    </row>
    <row r="476" spans="1:2">
      <c r="A476">
        <v>0</v>
      </c>
      <c r="B476">
        <v>0</v>
      </c>
    </row>
    <row r="477" spans="1:2">
      <c r="A477">
        <v>0</v>
      </c>
      <c r="B477">
        <v>0</v>
      </c>
    </row>
    <row r="478" spans="1:2">
      <c r="A478">
        <v>0</v>
      </c>
      <c r="B478">
        <v>0</v>
      </c>
    </row>
    <row r="479" spans="1:2">
      <c r="A479">
        <v>0</v>
      </c>
      <c r="B479">
        <v>1</v>
      </c>
    </row>
    <row r="480" spans="1:2">
      <c r="A480">
        <v>0</v>
      </c>
      <c r="B480">
        <v>0</v>
      </c>
    </row>
    <row r="481" spans="1:2">
      <c r="A481">
        <v>0</v>
      </c>
      <c r="B481">
        <v>0</v>
      </c>
    </row>
    <row r="482" spans="1:2">
      <c r="A482">
        <v>0</v>
      </c>
      <c r="B482">
        <v>0</v>
      </c>
    </row>
    <row r="483" spans="1:2">
      <c r="A483">
        <v>0</v>
      </c>
      <c r="B483">
        <v>0</v>
      </c>
    </row>
    <row r="484" spans="1:2">
      <c r="A484">
        <v>0</v>
      </c>
      <c r="B484">
        <v>0</v>
      </c>
    </row>
    <row r="485" spans="1:2">
      <c r="A485">
        <v>0</v>
      </c>
      <c r="B485">
        <v>0</v>
      </c>
    </row>
    <row r="486" spans="1:2">
      <c r="A486">
        <v>0</v>
      </c>
      <c r="B486">
        <v>0</v>
      </c>
    </row>
    <row r="487" spans="1:2">
      <c r="A487">
        <v>0</v>
      </c>
      <c r="B487">
        <v>0</v>
      </c>
    </row>
    <row r="488" spans="1:2">
      <c r="A488">
        <v>0</v>
      </c>
      <c r="B488">
        <v>0</v>
      </c>
    </row>
    <row r="489" spans="1:2">
      <c r="A489">
        <v>0</v>
      </c>
      <c r="B489">
        <v>0</v>
      </c>
    </row>
    <row r="490" spans="1:2">
      <c r="A490">
        <v>0</v>
      </c>
      <c r="B490">
        <v>1</v>
      </c>
    </row>
    <row r="491" spans="1:2">
      <c r="A491">
        <v>0</v>
      </c>
      <c r="B491">
        <v>0</v>
      </c>
    </row>
    <row r="492" spans="1:2">
      <c r="A492">
        <v>0</v>
      </c>
      <c r="B492">
        <v>0</v>
      </c>
    </row>
    <row r="493" spans="1:2">
      <c r="A493">
        <v>0</v>
      </c>
      <c r="B493">
        <v>0</v>
      </c>
    </row>
    <row r="494" spans="1:2">
      <c r="A494">
        <v>0</v>
      </c>
      <c r="B494">
        <v>0</v>
      </c>
    </row>
    <row r="495" spans="1:2">
      <c r="A495">
        <v>0</v>
      </c>
      <c r="B495">
        <v>0</v>
      </c>
    </row>
    <row r="496" spans="1:2">
      <c r="A496">
        <v>0</v>
      </c>
      <c r="B496">
        <v>0</v>
      </c>
    </row>
    <row r="497" spans="1:2">
      <c r="A497">
        <v>0</v>
      </c>
      <c r="B497">
        <v>0</v>
      </c>
    </row>
    <row r="498" spans="1:2">
      <c r="A498">
        <v>0</v>
      </c>
      <c r="B498">
        <v>0</v>
      </c>
    </row>
    <row r="499" spans="1:2">
      <c r="A499">
        <v>0</v>
      </c>
      <c r="B499">
        <v>0</v>
      </c>
    </row>
    <row r="500" spans="1:2">
      <c r="A500">
        <v>0</v>
      </c>
      <c r="B500">
        <v>0</v>
      </c>
    </row>
    <row r="501" spans="1:2">
      <c r="A501">
        <v>0</v>
      </c>
      <c r="B501">
        <v>0</v>
      </c>
    </row>
    <row r="502" spans="1:2">
      <c r="A502">
        <v>1</v>
      </c>
      <c r="B502">
        <v>0</v>
      </c>
    </row>
    <row r="503" spans="1:2">
      <c r="A503">
        <v>0</v>
      </c>
      <c r="B503">
        <v>0</v>
      </c>
    </row>
    <row r="504" spans="1:2">
      <c r="A504">
        <v>0</v>
      </c>
      <c r="B504">
        <v>0</v>
      </c>
    </row>
    <row r="505" spans="1:2">
      <c r="A505">
        <v>0</v>
      </c>
      <c r="B505">
        <v>0</v>
      </c>
    </row>
    <row r="506" spans="1:2">
      <c r="A506">
        <v>0</v>
      </c>
      <c r="B506">
        <v>0</v>
      </c>
    </row>
    <row r="507" spans="1:2">
      <c r="A507">
        <v>0</v>
      </c>
      <c r="B507">
        <v>0</v>
      </c>
    </row>
    <row r="508" spans="1:2">
      <c r="A508">
        <v>0</v>
      </c>
      <c r="B508">
        <v>0</v>
      </c>
    </row>
    <row r="509" spans="1:2">
      <c r="A509">
        <v>0</v>
      </c>
      <c r="B509">
        <v>0</v>
      </c>
    </row>
    <row r="510" spans="1:2">
      <c r="A510">
        <v>0</v>
      </c>
      <c r="B510">
        <v>0</v>
      </c>
    </row>
    <row r="511" spans="1:2">
      <c r="A511">
        <v>0</v>
      </c>
      <c r="B511">
        <v>0</v>
      </c>
    </row>
    <row r="512" spans="1:2">
      <c r="A512">
        <v>0</v>
      </c>
      <c r="B512">
        <v>0</v>
      </c>
    </row>
    <row r="513" spans="1:2">
      <c r="A513">
        <v>0</v>
      </c>
      <c r="B513">
        <v>0</v>
      </c>
    </row>
    <row r="514" spans="1:2">
      <c r="A514">
        <v>0</v>
      </c>
      <c r="B514">
        <v>0</v>
      </c>
    </row>
    <row r="515" spans="1:2">
      <c r="A515">
        <v>0</v>
      </c>
      <c r="B515">
        <v>0</v>
      </c>
    </row>
    <row r="516" spans="1:2">
      <c r="A516">
        <v>0</v>
      </c>
      <c r="B516">
        <v>0</v>
      </c>
    </row>
    <row r="517" spans="1:2">
      <c r="A517">
        <v>0</v>
      </c>
      <c r="B517">
        <v>0</v>
      </c>
    </row>
    <row r="518" spans="1:2">
      <c r="A518">
        <v>0</v>
      </c>
      <c r="B518">
        <v>0</v>
      </c>
    </row>
    <row r="519" spans="1:2">
      <c r="A519">
        <v>0</v>
      </c>
      <c r="B519">
        <v>0</v>
      </c>
    </row>
    <row r="520" spans="1:2">
      <c r="A520">
        <v>0</v>
      </c>
      <c r="B520">
        <v>0</v>
      </c>
    </row>
    <row r="521" spans="1:2">
      <c r="A521">
        <v>0</v>
      </c>
      <c r="B521">
        <v>0</v>
      </c>
    </row>
    <row r="522" spans="1:2">
      <c r="A522">
        <v>0</v>
      </c>
      <c r="B522">
        <v>0</v>
      </c>
    </row>
    <row r="523" spans="1:2">
      <c r="A523">
        <v>0</v>
      </c>
      <c r="B523">
        <v>0</v>
      </c>
    </row>
    <row r="524" spans="1:2">
      <c r="A524">
        <v>0</v>
      </c>
      <c r="B524">
        <v>0</v>
      </c>
    </row>
    <row r="525" spans="1:2">
      <c r="A525">
        <v>0</v>
      </c>
      <c r="B525">
        <v>0</v>
      </c>
    </row>
    <row r="526" spans="1:2">
      <c r="A526">
        <v>0</v>
      </c>
      <c r="B526">
        <v>0</v>
      </c>
    </row>
    <row r="527" spans="1:2">
      <c r="A527">
        <v>0</v>
      </c>
      <c r="B527">
        <v>0</v>
      </c>
    </row>
    <row r="528" spans="1:2">
      <c r="A528">
        <v>0</v>
      </c>
      <c r="B528">
        <v>0</v>
      </c>
    </row>
    <row r="529" spans="1:2">
      <c r="A529">
        <v>0</v>
      </c>
      <c r="B529">
        <v>0</v>
      </c>
    </row>
    <row r="530" spans="1:2">
      <c r="A530">
        <v>0</v>
      </c>
      <c r="B530">
        <v>0</v>
      </c>
    </row>
    <row r="531" spans="1:2">
      <c r="A531">
        <v>0</v>
      </c>
      <c r="B531">
        <v>0</v>
      </c>
    </row>
    <row r="532" spans="1:2">
      <c r="A532">
        <v>0</v>
      </c>
      <c r="B532">
        <v>1</v>
      </c>
    </row>
    <row r="533" spans="1:2">
      <c r="A533">
        <v>0</v>
      </c>
      <c r="B533">
        <v>1</v>
      </c>
    </row>
    <row r="534" spans="1:2">
      <c r="A534">
        <v>0</v>
      </c>
      <c r="B534">
        <v>0</v>
      </c>
    </row>
    <row r="535" spans="1:2">
      <c r="A535">
        <v>0</v>
      </c>
      <c r="B535">
        <v>0</v>
      </c>
    </row>
    <row r="536" spans="1:2">
      <c r="A536">
        <v>0</v>
      </c>
      <c r="B536">
        <v>0</v>
      </c>
    </row>
    <row r="537" spans="1:2">
      <c r="A537">
        <v>0</v>
      </c>
      <c r="B537">
        <v>1</v>
      </c>
    </row>
    <row r="538" spans="1:2">
      <c r="A538">
        <v>0</v>
      </c>
      <c r="B538">
        <v>0</v>
      </c>
    </row>
    <row r="539" spans="1:2">
      <c r="A539">
        <v>0</v>
      </c>
      <c r="B539">
        <v>0</v>
      </c>
    </row>
    <row r="540" spans="1:2">
      <c r="A540">
        <v>0</v>
      </c>
      <c r="B540">
        <v>0</v>
      </c>
    </row>
    <row r="541" spans="1:2">
      <c r="A541">
        <v>0</v>
      </c>
      <c r="B541">
        <v>0</v>
      </c>
    </row>
    <row r="542" spans="1:2">
      <c r="A542">
        <v>0</v>
      </c>
      <c r="B542">
        <v>0</v>
      </c>
    </row>
    <row r="543" spans="1:2">
      <c r="A543">
        <v>0</v>
      </c>
      <c r="B543">
        <v>0</v>
      </c>
    </row>
    <row r="544" spans="1:2">
      <c r="A544">
        <v>0</v>
      </c>
      <c r="B544">
        <v>0</v>
      </c>
    </row>
    <row r="545" spans="1:2">
      <c r="A545">
        <v>0</v>
      </c>
      <c r="B545">
        <v>0</v>
      </c>
    </row>
    <row r="546" spans="1:2">
      <c r="A546">
        <v>0</v>
      </c>
      <c r="B546">
        <v>0</v>
      </c>
    </row>
    <row r="547" spans="1:2">
      <c r="A547">
        <v>0</v>
      </c>
      <c r="B547">
        <v>0</v>
      </c>
    </row>
    <row r="548" spans="1:2">
      <c r="A548">
        <v>0</v>
      </c>
      <c r="B548">
        <v>1</v>
      </c>
    </row>
    <row r="549" spans="1:2">
      <c r="A549">
        <v>0</v>
      </c>
      <c r="B549">
        <v>0</v>
      </c>
    </row>
    <row r="550" spans="1:2">
      <c r="A550">
        <v>0</v>
      </c>
      <c r="B550">
        <v>0</v>
      </c>
    </row>
    <row r="551" spans="1:2">
      <c r="A551">
        <v>0</v>
      </c>
      <c r="B551">
        <v>0</v>
      </c>
    </row>
    <row r="552" spans="1:2">
      <c r="A552">
        <v>0</v>
      </c>
      <c r="B552">
        <v>0</v>
      </c>
    </row>
    <row r="553" spans="1:2">
      <c r="A553">
        <v>0</v>
      </c>
      <c r="B553">
        <v>0</v>
      </c>
    </row>
    <row r="554" spans="1:2">
      <c r="A554">
        <v>0</v>
      </c>
      <c r="B554">
        <v>0</v>
      </c>
    </row>
    <row r="555" spans="1:2">
      <c r="A555">
        <v>0</v>
      </c>
      <c r="B555">
        <v>0</v>
      </c>
    </row>
    <row r="556" spans="1:2">
      <c r="A556">
        <v>0</v>
      </c>
      <c r="B556">
        <v>0</v>
      </c>
    </row>
    <row r="557" spans="1:2">
      <c r="A557">
        <v>0</v>
      </c>
      <c r="B557">
        <v>0</v>
      </c>
    </row>
    <row r="558" spans="1:2">
      <c r="A558">
        <v>0</v>
      </c>
      <c r="B558">
        <v>0</v>
      </c>
    </row>
    <row r="559" spans="1:2">
      <c r="A559">
        <v>0</v>
      </c>
      <c r="B559">
        <v>0</v>
      </c>
    </row>
    <row r="560" spans="1:2">
      <c r="A560">
        <v>0</v>
      </c>
      <c r="B560">
        <v>0</v>
      </c>
    </row>
    <row r="561" spans="1:2">
      <c r="A561">
        <v>0</v>
      </c>
      <c r="B561">
        <v>0</v>
      </c>
    </row>
    <row r="562" spans="1:2">
      <c r="A562">
        <v>0</v>
      </c>
      <c r="B562">
        <v>1</v>
      </c>
    </row>
    <row r="563" spans="1:2">
      <c r="A563">
        <v>0</v>
      </c>
      <c r="B563">
        <v>0</v>
      </c>
    </row>
    <row r="564" spans="1:2">
      <c r="A564">
        <v>0</v>
      </c>
      <c r="B564">
        <v>0</v>
      </c>
    </row>
    <row r="565" spans="1:2">
      <c r="A565">
        <v>0</v>
      </c>
      <c r="B565">
        <v>0</v>
      </c>
    </row>
    <row r="566" spans="1:2">
      <c r="A566">
        <v>0</v>
      </c>
      <c r="B566">
        <v>0</v>
      </c>
    </row>
    <row r="567" spans="1:2">
      <c r="A567">
        <v>0</v>
      </c>
      <c r="B567">
        <v>1</v>
      </c>
    </row>
    <row r="568" spans="1:2">
      <c r="A568">
        <v>0</v>
      </c>
      <c r="B568">
        <v>0</v>
      </c>
    </row>
    <row r="569" spans="1:2">
      <c r="A569">
        <v>0</v>
      </c>
      <c r="B569">
        <v>0</v>
      </c>
    </row>
    <row r="570" spans="1:2">
      <c r="A570">
        <v>0</v>
      </c>
      <c r="B570">
        <v>0</v>
      </c>
    </row>
    <row r="571" spans="1:2">
      <c r="A571">
        <v>0</v>
      </c>
      <c r="B571">
        <v>0</v>
      </c>
    </row>
    <row r="572" spans="1:2">
      <c r="A572">
        <v>0</v>
      </c>
      <c r="B572">
        <v>0</v>
      </c>
    </row>
    <row r="573" spans="1:2">
      <c r="A573">
        <v>0</v>
      </c>
      <c r="B573">
        <v>0</v>
      </c>
    </row>
    <row r="574" spans="1:2">
      <c r="A574">
        <v>0</v>
      </c>
      <c r="B574">
        <v>0</v>
      </c>
    </row>
    <row r="575" spans="1:2">
      <c r="A575">
        <v>0</v>
      </c>
      <c r="B575">
        <v>0</v>
      </c>
    </row>
    <row r="576" spans="1:2">
      <c r="A576">
        <v>0</v>
      </c>
      <c r="B576">
        <v>0</v>
      </c>
    </row>
    <row r="577" spans="1:2">
      <c r="A577">
        <v>0</v>
      </c>
      <c r="B577">
        <v>0</v>
      </c>
    </row>
    <row r="578" spans="1:2">
      <c r="A578">
        <v>0</v>
      </c>
      <c r="B578">
        <v>0</v>
      </c>
    </row>
    <row r="579" spans="1:2">
      <c r="A579">
        <v>0</v>
      </c>
      <c r="B579">
        <v>0</v>
      </c>
    </row>
    <row r="580" spans="1:2">
      <c r="A580">
        <v>0</v>
      </c>
      <c r="B580">
        <v>0</v>
      </c>
    </row>
    <row r="581" spans="1:2">
      <c r="A581">
        <v>0</v>
      </c>
      <c r="B581">
        <v>0</v>
      </c>
    </row>
    <row r="582" spans="1:2">
      <c r="A582">
        <v>0</v>
      </c>
      <c r="B582">
        <v>0</v>
      </c>
    </row>
    <row r="583" spans="1:2">
      <c r="A583">
        <v>0</v>
      </c>
      <c r="B583">
        <v>0</v>
      </c>
    </row>
    <row r="584" spans="1:2">
      <c r="A584">
        <v>0</v>
      </c>
      <c r="B584">
        <v>0</v>
      </c>
    </row>
    <row r="585" spans="1:2">
      <c r="A585">
        <v>0</v>
      </c>
      <c r="B585">
        <v>0</v>
      </c>
    </row>
    <row r="586" spans="1:2">
      <c r="A586">
        <v>0</v>
      </c>
      <c r="B586">
        <v>0</v>
      </c>
    </row>
    <row r="587" spans="1:2">
      <c r="A587">
        <v>0</v>
      </c>
      <c r="B587">
        <v>0</v>
      </c>
    </row>
    <row r="588" spans="1:2">
      <c r="A588">
        <v>0</v>
      </c>
      <c r="B588">
        <v>0</v>
      </c>
    </row>
    <row r="589" spans="1:2">
      <c r="A589">
        <v>0</v>
      </c>
      <c r="B589">
        <v>0</v>
      </c>
    </row>
    <row r="590" spans="1:2">
      <c r="A590">
        <v>0</v>
      </c>
      <c r="B590">
        <v>0</v>
      </c>
    </row>
    <row r="591" spans="1:2">
      <c r="A591">
        <v>0</v>
      </c>
      <c r="B591">
        <v>0</v>
      </c>
    </row>
    <row r="592" spans="1:2">
      <c r="A592">
        <v>0</v>
      </c>
      <c r="B592">
        <v>0</v>
      </c>
    </row>
    <row r="593" spans="1:2">
      <c r="A593">
        <v>0</v>
      </c>
      <c r="B593">
        <v>0</v>
      </c>
    </row>
    <row r="594" spans="1:2">
      <c r="A594">
        <v>0</v>
      </c>
      <c r="B594">
        <v>0</v>
      </c>
    </row>
    <row r="595" spans="1:2">
      <c r="A595">
        <v>1</v>
      </c>
      <c r="B595">
        <v>0</v>
      </c>
    </row>
    <row r="596" spans="1:2">
      <c r="A596">
        <v>0</v>
      </c>
      <c r="B596">
        <v>0</v>
      </c>
    </row>
    <row r="597" spans="1:2">
      <c r="A597">
        <v>0</v>
      </c>
      <c r="B597">
        <v>0</v>
      </c>
    </row>
    <row r="598" spans="1:2">
      <c r="A598">
        <v>0</v>
      </c>
      <c r="B598">
        <v>0</v>
      </c>
    </row>
    <row r="599" spans="1:2">
      <c r="A599">
        <v>0</v>
      </c>
      <c r="B599">
        <v>0</v>
      </c>
    </row>
    <row r="600" spans="1:2">
      <c r="A600">
        <v>0</v>
      </c>
      <c r="B600">
        <v>0</v>
      </c>
    </row>
    <row r="601" spans="1:2">
      <c r="A601">
        <v>0</v>
      </c>
      <c r="B601">
        <v>0</v>
      </c>
    </row>
    <row r="602" spans="1:2">
      <c r="A602">
        <v>0</v>
      </c>
      <c r="B602">
        <v>0</v>
      </c>
    </row>
    <row r="603" spans="1:2">
      <c r="A603">
        <v>0</v>
      </c>
      <c r="B603">
        <v>0</v>
      </c>
    </row>
    <row r="604" spans="1:2">
      <c r="A604">
        <v>0</v>
      </c>
      <c r="B604">
        <v>0</v>
      </c>
    </row>
    <row r="605" spans="1:2">
      <c r="A605">
        <v>0</v>
      </c>
      <c r="B605">
        <v>0</v>
      </c>
    </row>
    <row r="606" spans="1:2">
      <c r="A606">
        <v>0</v>
      </c>
      <c r="B606">
        <v>0</v>
      </c>
    </row>
    <row r="607" spans="1:2">
      <c r="A607">
        <v>0</v>
      </c>
      <c r="B607">
        <v>0</v>
      </c>
    </row>
    <row r="608" spans="1:2">
      <c r="A608">
        <v>0</v>
      </c>
      <c r="B608">
        <v>1</v>
      </c>
    </row>
    <row r="609" spans="1:2">
      <c r="A609">
        <v>0</v>
      </c>
      <c r="B609">
        <v>0</v>
      </c>
    </row>
    <row r="610" spans="1:2">
      <c r="A610">
        <v>0</v>
      </c>
      <c r="B610">
        <v>0</v>
      </c>
    </row>
    <row r="611" spans="1:2">
      <c r="A611">
        <v>0</v>
      </c>
      <c r="B611">
        <v>0</v>
      </c>
    </row>
    <row r="612" spans="1:2">
      <c r="A612">
        <v>0</v>
      </c>
      <c r="B612">
        <v>0</v>
      </c>
    </row>
    <row r="613" spans="1:2">
      <c r="A613">
        <v>0</v>
      </c>
      <c r="B613">
        <v>0</v>
      </c>
    </row>
    <row r="614" spans="1:2">
      <c r="A614">
        <v>0</v>
      </c>
      <c r="B614">
        <v>0</v>
      </c>
    </row>
    <row r="615" spans="1:2">
      <c r="A615">
        <v>0</v>
      </c>
      <c r="B615">
        <v>0</v>
      </c>
    </row>
    <row r="616" spans="1:2">
      <c r="A616">
        <v>0</v>
      </c>
      <c r="B616">
        <v>0</v>
      </c>
    </row>
    <row r="617" spans="1:2">
      <c r="A617">
        <v>0</v>
      </c>
      <c r="B617">
        <v>0</v>
      </c>
    </row>
    <row r="618" spans="1:2">
      <c r="A618">
        <v>0</v>
      </c>
      <c r="B618">
        <v>0</v>
      </c>
    </row>
    <row r="619" spans="1:2">
      <c r="A619">
        <v>0</v>
      </c>
      <c r="B619">
        <v>0</v>
      </c>
    </row>
    <row r="620" spans="1:2">
      <c r="A620">
        <v>0</v>
      </c>
      <c r="B620">
        <v>0</v>
      </c>
    </row>
    <row r="621" spans="1:2">
      <c r="A621">
        <v>0</v>
      </c>
      <c r="B621">
        <v>0</v>
      </c>
    </row>
    <row r="622" spans="1:2">
      <c r="A622">
        <v>0</v>
      </c>
      <c r="B622">
        <v>1</v>
      </c>
    </row>
    <row r="623" spans="1:2">
      <c r="A623">
        <v>0</v>
      </c>
      <c r="B623">
        <v>0</v>
      </c>
    </row>
    <row r="624" spans="1:2">
      <c r="A624">
        <v>0</v>
      </c>
      <c r="B624">
        <v>0</v>
      </c>
    </row>
    <row r="625" spans="1:2">
      <c r="A625">
        <v>0</v>
      </c>
      <c r="B625">
        <v>0</v>
      </c>
    </row>
    <row r="626" spans="1:2">
      <c r="A626">
        <v>0</v>
      </c>
      <c r="B626">
        <v>0</v>
      </c>
    </row>
    <row r="627" spans="1:2">
      <c r="A627">
        <v>0</v>
      </c>
      <c r="B627">
        <v>0</v>
      </c>
    </row>
    <row r="628" spans="1:2">
      <c r="A628">
        <v>0</v>
      </c>
      <c r="B628">
        <v>0</v>
      </c>
    </row>
    <row r="629" spans="1:2">
      <c r="A629">
        <v>0</v>
      </c>
      <c r="B629">
        <v>0</v>
      </c>
    </row>
    <row r="630" spans="1:2">
      <c r="A630">
        <v>0</v>
      </c>
      <c r="B630">
        <v>1</v>
      </c>
    </row>
    <row r="631" spans="1:2">
      <c r="A631">
        <v>0</v>
      </c>
      <c r="B631">
        <v>0</v>
      </c>
    </row>
    <row r="632" spans="1:2">
      <c r="A632">
        <v>0</v>
      </c>
      <c r="B632">
        <v>0</v>
      </c>
    </row>
    <row r="633" spans="1:2">
      <c r="A633">
        <v>0</v>
      </c>
      <c r="B633">
        <v>1</v>
      </c>
    </row>
    <row r="634" spans="1:2">
      <c r="A634">
        <v>0</v>
      </c>
      <c r="B634">
        <v>0</v>
      </c>
    </row>
    <row r="635" spans="1:2">
      <c r="A635">
        <v>0</v>
      </c>
      <c r="B635">
        <v>0</v>
      </c>
    </row>
    <row r="636" spans="1:2">
      <c r="A636">
        <v>0</v>
      </c>
      <c r="B636">
        <v>0</v>
      </c>
    </row>
    <row r="637" spans="1:2">
      <c r="A637">
        <v>0</v>
      </c>
      <c r="B637">
        <v>0</v>
      </c>
    </row>
    <row r="638" spans="1:2">
      <c r="A638">
        <v>0</v>
      </c>
      <c r="B638">
        <v>0</v>
      </c>
    </row>
    <row r="639" spans="1:2">
      <c r="A639">
        <v>0</v>
      </c>
      <c r="B639">
        <v>0</v>
      </c>
    </row>
    <row r="640" spans="1:2">
      <c r="A640">
        <v>0</v>
      </c>
      <c r="B640">
        <v>0</v>
      </c>
    </row>
    <row r="641" spans="1:2">
      <c r="A641">
        <v>0</v>
      </c>
      <c r="B641">
        <v>0</v>
      </c>
    </row>
    <row r="642" spans="1:2">
      <c r="A642">
        <v>0</v>
      </c>
      <c r="B642">
        <v>0</v>
      </c>
    </row>
    <row r="643" spans="1:2">
      <c r="A643">
        <v>0</v>
      </c>
      <c r="B643">
        <v>0</v>
      </c>
    </row>
    <row r="644" spans="1:2">
      <c r="A644">
        <v>0</v>
      </c>
      <c r="B644">
        <v>0</v>
      </c>
    </row>
    <row r="645" spans="1:2">
      <c r="A645">
        <v>0</v>
      </c>
      <c r="B645">
        <v>0</v>
      </c>
    </row>
    <row r="646" spans="1:2">
      <c r="A646">
        <v>0</v>
      </c>
      <c r="B646">
        <v>0</v>
      </c>
    </row>
    <row r="647" spans="1:2">
      <c r="A647">
        <v>0</v>
      </c>
      <c r="B647">
        <v>0</v>
      </c>
    </row>
    <row r="648" spans="1:2">
      <c r="A648">
        <v>0</v>
      </c>
      <c r="B648">
        <v>0</v>
      </c>
    </row>
    <row r="649" spans="1:2">
      <c r="A649">
        <v>0</v>
      </c>
      <c r="B649">
        <v>0</v>
      </c>
    </row>
    <row r="650" spans="1:2">
      <c r="A650">
        <v>0</v>
      </c>
      <c r="B650">
        <v>0</v>
      </c>
    </row>
    <row r="651" spans="1:2">
      <c r="A651">
        <v>0</v>
      </c>
      <c r="B651">
        <v>0</v>
      </c>
    </row>
    <row r="652" spans="1:2">
      <c r="A652">
        <v>0</v>
      </c>
      <c r="B652">
        <v>0</v>
      </c>
    </row>
    <row r="653" spans="1:2">
      <c r="A653">
        <v>0</v>
      </c>
      <c r="B653">
        <v>0</v>
      </c>
    </row>
    <row r="654" spans="1:2">
      <c r="A654">
        <v>0</v>
      </c>
      <c r="B654">
        <v>0</v>
      </c>
    </row>
    <row r="655" spans="1:2">
      <c r="A655">
        <v>0</v>
      </c>
      <c r="B655">
        <v>0</v>
      </c>
    </row>
    <row r="656" spans="1:2">
      <c r="A656">
        <v>0</v>
      </c>
      <c r="B656">
        <v>0</v>
      </c>
    </row>
    <row r="657" spans="1:2">
      <c r="A657">
        <v>0</v>
      </c>
      <c r="B657">
        <v>0</v>
      </c>
    </row>
    <row r="658" spans="1:2">
      <c r="A658">
        <v>0</v>
      </c>
      <c r="B658">
        <v>0</v>
      </c>
    </row>
    <row r="659" spans="1:2">
      <c r="A659">
        <v>0</v>
      </c>
      <c r="B659">
        <v>0</v>
      </c>
    </row>
    <row r="660" spans="1:2">
      <c r="A660">
        <v>0</v>
      </c>
      <c r="B660">
        <v>0</v>
      </c>
    </row>
    <row r="661" spans="1:2">
      <c r="A661">
        <v>1</v>
      </c>
      <c r="B661">
        <v>1</v>
      </c>
    </row>
    <row r="662" spans="1:2">
      <c r="A662">
        <v>0</v>
      </c>
      <c r="B662">
        <v>0</v>
      </c>
    </row>
    <row r="663" spans="1:2">
      <c r="A663">
        <v>0</v>
      </c>
      <c r="B663">
        <v>0</v>
      </c>
    </row>
    <row r="664" spans="1:2">
      <c r="A664">
        <v>0</v>
      </c>
      <c r="B664">
        <v>0</v>
      </c>
    </row>
    <row r="665" spans="1:2">
      <c r="A665">
        <v>0</v>
      </c>
      <c r="B665">
        <v>0</v>
      </c>
    </row>
    <row r="666" spans="1:2">
      <c r="A666">
        <v>0</v>
      </c>
      <c r="B666">
        <v>0</v>
      </c>
    </row>
    <row r="667" spans="1:2">
      <c r="A667">
        <v>0</v>
      </c>
      <c r="B667">
        <v>0</v>
      </c>
    </row>
    <row r="668" spans="1:2">
      <c r="A668">
        <v>0</v>
      </c>
      <c r="B668">
        <v>0</v>
      </c>
    </row>
    <row r="669" spans="1:2">
      <c r="A669">
        <v>0</v>
      </c>
      <c r="B669">
        <v>0</v>
      </c>
    </row>
    <row r="670" spans="1:2">
      <c r="A670">
        <v>0</v>
      </c>
      <c r="B670">
        <v>0</v>
      </c>
    </row>
    <row r="671" spans="1:2">
      <c r="A671">
        <v>0</v>
      </c>
      <c r="B671">
        <v>0</v>
      </c>
    </row>
    <row r="672" spans="1:2">
      <c r="A672">
        <v>0</v>
      </c>
      <c r="B672">
        <v>0</v>
      </c>
    </row>
    <row r="673" spans="1:2">
      <c r="A673">
        <v>0</v>
      </c>
      <c r="B673">
        <v>0</v>
      </c>
    </row>
    <row r="674" spans="1:2">
      <c r="A674">
        <v>0</v>
      </c>
      <c r="B674">
        <v>0</v>
      </c>
    </row>
    <row r="675" spans="1:2">
      <c r="A675">
        <v>0</v>
      </c>
      <c r="B675">
        <v>0</v>
      </c>
    </row>
    <row r="676" spans="1:2">
      <c r="A676">
        <v>0</v>
      </c>
      <c r="B676">
        <v>0</v>
      </c>
    </row>
    <row r="677" spans="1:2">
      <c r="A677">
        <v>0</v>
      </c>
      <c r="B677">
        <v>0</v>
      </c>
    </row>
    <row r="678" spans="1:2">
      <c r="A678">
        <v>0</v>
      </c>
      <c r="B678">
        <v>0</v>
      </c>
    </row>
    <row r="679" spans="1:2">
      <c r="A679">
        <v>0</v>
      </c>
      <c r="B679">
        <v>0</v>
      </c>
    </row>
    <row r="680" spans="1:2">
      <c r="A680">
        <v>0</v>
      </c>
      <c r="B680">
        <v>0</v>
      </c>
    </row>
    <row r="681" spans="1:2">
      <c r="A681">
        <v>0</v>
      </c>
      <c r="B681">
        <v>0</v>
      </c>
    </row>
    <row r="682" spans="1:2">
      <c r="A682">
        <v>0</v>
      </c>
      <c r="B682">
        <v>0</v>
      </c>
    </row>
    <row r="683" spans="1:2">
      <c r="A683">
        <v>0</v>
      </c>
      <c r="B683">
        <v>0</v>
      </c>
    </row>
    <row r="684" spans="1:2">
      <c r="A684">
        <v>0</v>
      </c>
      <c r="B684">
        <v>0</v>
      </c>
    </row>
    <row r="685" spans="1:2">
      <c r="A685">
        <v>0</v>
      </c>
      <c r="B685">
        <v>0</v>
      </c>
    </row>
    <row r="686" spans="1:2">
      <c r="A686">
        <v>0</v>
      </c>
      <c r="B686">
        <v>0</v>
      </c>
    </row>
    <row r="687" spans="1:2">
      <c r="A687">
        <v>0</v>
      </c>
      <c r="B687">
        <v>0</v>
      </c>
    </row>
    <row r="688" spans="1:2">
      <c r="A688">
        <v>0</v>
      </c>
      <c r="B688">
        <v>0</v>
      </c>
    </row>
    <row r="689" spans="1:2">
      <c r="A689">
        <v>0</v>
      </c>
      <c r="B689">
        <v>0</v>
      </c>
    </row>
    <row r="690" spans="1:2">
      <c r="A690">
        <v>0</v>
      </c>
      <c r="B690">
        <v>1</v>
      </c>
    </row>
    <row r="691" spans="1:2">
      <c r="A691">
        <v>0</v>
      </c>
      <c r="B691">
        <v>0</v>
      </c>
    </row>
    <row r="692" spans="1:2">
      <c r="A692">
        <v>0</v>
      </c>
      <c r="B692">
        <v>0</v>
      </c>
    </row>
    <row r="693" spans="1:2">
      <c r="A693">
        <v>0</v>
      </c>
      <c r="B693">
        <v>0</v>
      </c>
    </row>
    <row r="694" spans="1:2">
      <c r="A694">
        <v>0</v>
      </c>
      <c r="B694">
        <v>0</v>
      </c>
    </row>
    <row r="695" spans="1:2">
      <c r="B695">
        <v>0</v>
      </c>
    </row>
    <row r="696" spans="1:2">
      <c r="B696">
        <v>0</v>
      </c>
    </row>
    <row r="697" spans="1:2">
      <c r="B697">
        <v>0</v>
      </c>
    </row>
    <row r="698" spans="1:2">
      <c r="B698">
        <v>0</v>
      </c>
    </row>
    <row r="699" spans="1:2">
      <c r="B699">
        <v>0</v>
      </c>
    </row>
    <row r="700" spans="1:2">
      <c r="B700">
        <v>0</v>
      </c>
    </row>
    <row r="701" spans="1:2">
      <c r="B701">
        <v>0</v>
      </c>
    </row>
    <row r="702" spans="1:2">
      <c r="B702">
        <v>0</v>
      </c>
    </row>
    <row r="703" spans="1:2">
      <c r="B703">
        <v>0</v>
      </c>
    </row>
    <row r="704" spans="1:2">
      <c r="B704">
        <v>0</v>
      </c>
    </row>
    <row r="705" spans="2:2">
      <c r="B705">
        <v>0</v>
      </c>
    </row>
    <row r="706" spans="2:2">
      <c r="B706">
        <v>0</v>
      </c>
    </row>
    <row r="707" spans="2:2">
      <c r="B707">
        <v>1</v>
      </c>
    </row>
    <row r="708" spans="2:2">
      <c r="B708">
        <v>0</v>
      </c>
    </row>
    <row r="709" spans="2:2">
      <c r="B709">
        <v>0</v>
      </c>
    </row>
    <row r="710" spans="2:2">
      <c r="B710">
        <v>0</v>
      </c>
    </row>
    <row r="711" spans="2:2">
      <c r="B711">
        <v>0</v>
      </c>
    </row>
    <row r="712" spans="2:2">
      <c r="B712">
        <v>0</v>
      </c>
    </row>
    <row r="713" spans="2:2">
      <c r="B713">
        <v>0</v>
      </c>
    </row>
    <row r="714" spans="2:2">
      <c r="B714">
        <v>0</v>
      </c>
    </row>
    <row r="715" spans="2:2">
      <c r="B715">
        <v>0</v>
      </c>
    </row>
    <row r="716" spans="2:2">
      <c r="B716">
        <v>0</v>
      </c>
    </row>
  </sheetData>
  <mergeCells count="1">
    <mergeCell ref="E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09"/>
  <sheetViews>
    <sheetView topLeftCell="L1" workbookViewId="0">
      <selection activeCell="X24" sqref="X24"/>
    </sheetView>
  </sheetViews>
  <sheetFormatPr defaultRowHeight="13.8"/>
  <cols>
    <col min="1" max="16" width="16" customWidth="1"/>
    <col min="24" max="24" width="21.19921875" bestFit="1" customWidth="1"/>
    <col min="25" max="25" width="12.296875" bestFit="1" customWidth="1"/>
  </cols>
  <sheetData>
    <row r="1" spans="1:25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1452</v>
      </c>
      <c r="R1" s="1" t="s">
        <v>1453</v>
      </c>
      <c r="S1" s="7" t="s">
        <v>1462</v>
      </c>
      <c r="T1" s="7"/>
      <c r="U1" s="7"/>
      <c r="V1" s="7"/>
      <c r="W1" s="7"/>
    </row>
    <row r="2" spans="1:25">
      <c r="A2" t="s">
        <v>16</v>
      </c>
      <c r="B2" s="2">
        <v>45732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P2">
        <v>45.7</v>
      </c>
      <c r="Q2">
        <f>COUNTBLANK(A2:A1409)</f>
        <v>0</v>
      </c>
      <c r="R2" t="str">
        <f>IF(COUNTIF($A:$A,A2)&gt;1,"Duplicate","Unique")</f>
        <v>Unique</v>
      </c>
      <c r="S2" t="str">
        <f>IF(OR(H2=0,H2=1),"Valid","Invalid")</f>
        <v>Valid</v>
      </c>
      <c r="T2" t="str">
        <f>IF(OR(I2=0,I2=1),"Valid","Invalid")</f>
        <v>Valid</v>
      </c>
      <c r="U2" t="str">
        <f>IF(OR(J2=0,J2=1),"Valid","Invalid")</f>
        <v>Valid</v>
      </c>
      <c r="V2" t="str">
        <f>IF(OR(K2=0,K2=1),"Valid","Invalid")</f>
        <v>Valid</v>
      </c>
      <c r="W2" t="str">
        <f>IF(OR(N2=0,N2=1),"Valid","Invalid")</f>
        <v>Valid</v>
      </c>
      <c r="X2" t="s">
        <v>1454</v>
      </c>
      <c r="Y2">
        <f>COUNTIF(R2:R1409, "Duplicate")</f>
        <v>16</v>
      </c>
    </row>
    <row r="3" spans="1:25">
      <c r="A3" t="s">
        <v>22</v>
      </c>
      <c r="B3" s="2">
        <v>45724</v>
      </c>
      <c r="C3" t="s">
        <v>17</v>
      </c>
      <c r="D3" t="s">
        <v>23</v>
      </c>
      <c r="E3" t="s">
        <v>24</v>
      </c>
      <c r="F3" t="s">
        <v>25</v>
      </c>
      <c r="G3" t="s">
        <v>26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P3">
        <v>48.6</v>
      </c>
      <c r="Q3">
        <f>COUNTBLANK(B2:B1409)</f>
        <v>0</v>
      </c>
      <c r="R3" t="str">
        <f t="shared" ref="R3:R66" si="0">IF(COUNTIF($A:$A,A3)&gt;1,"Duplicate","Unique")</f>
        <v>Unique</v>
      </c>
      <c r="S3" t="str">
        <f t="shared" ref="S3:S66" si="1">IF(OR(H3=0,H3=1),"Valid","Invalid")</f>
        <v>Valid</v>
      </c>
      <c r="T3" t="str">
        <f t="shared" ref="T3:T66" si="2">IF(OR(I3=0,I3=1),"Valid","Invalid")</f>
        <v>Valid</v>
      </c>
      <c r="U3" t="str">
        <f t="shared" ref="U3:U66" si="3">IF(OR(J3=0,J3=1),"Valid","Invalid")</f>
        <v>Valid</v>
      </c>
      <c r="V3" t="str">
        <f t="shared" ref="V3:V66" si="4">IF(OR(K3=0,K3=1),"Valid","Invalid")</f>
        <v>Valid</v>
      </c>
      <c r="W3" t="str">
        <f t="shared" ref="W3:W66" si="5">IF(OR(N3=0,N3=1),"Valid","Invalid")</f>
        <v>Valid</v>
      </c>
    </row>
    <row r="4" spans="1:25">
      <c r="A4" t="s">
        <v>27</v>
      </c>
      <c r="B4" s="2">
        <v>45771</v>
      </c>
      <c r="C4" t="s">
        <v>17</v>
      </c>
      <c r="D4" t="s">
        <v>28</v>
      </c>
      <c r="E4" t="s">
        <v>24</v>
      </c>
      <c r="F4" t="s">
        <v>29</v>
      </c>
      <c r="G4" t="s">
        <v>30</v>
      </c>
      <c r="H4">
        <v>1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P4">
        <v>35.4</v>
      </c>
      <c r="Q4">
        <f>COUNTBLANK(C2:C1409)</f>
        <v>0</v>
      </c>
      <c r="R4" t="str">
        <f t="shared" si="0"/>
        <v>Unique</v>
      </c>
      <c r="S4" t="str">
        <f t="shared" si="1"/>
        <v>Valid</v>
      </c>
      <c r="T4" t="str">
        <f t="shared" si="2"/>
        <v>Valid</v>
      </c>
      <c r="U4" t="str">
        <f t="shared" si="3"/>
        <v>Valid</v>
      </c>
      <c r="V4" t="str">
        <f t="shared" si="4"/>
        <v>Valid</v>
      </c>
      <c r="W4" t="str">
        <f t="shared" si="5"/>
        <v>Valid</v>
      </c>
      <c r="X4" t="s">
        <v>1458</v>
      </c>
    </row>
    <row r="5" spans="1:25">
      <c r="A5" t="s">
        <v>31</v>
      </c>
      <c r="B5" s="2">
        <v>45781</v>
      </c>
      <c r="C5" t="s">
        <v>17</v>
      </c>
      <c r="D5" t="s">
        <v>32</v>
      </c>
      <c r="E5" t="s">
        <v>24</v>
      </c>
      <c r="F5" t="s">
        <v>20</v>
      </c>
      <c r="G5" t="s">
        <v>21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P5">
        <v>64.599999999999994</v>
      </c>
      <c r="Q5">
        <f>COUNTBLANK(D2:D1409)</f>
        <v>0</v>
      </c>
      <c r="R5" t="str">
        <f t="shared" si="0"/>
        <v>Unique</v>
      </c>
      <c r="S5" t="str">
        <f t="shared" si="1"/>
        <v>Valid</v>
      </c>
      <c r="T5" t="str">
        <f t="shared" si="2"/>
        <v>Valid</v>
      </c>
      <c r="U5" t="str">
        <f t="shared" si="3"/>
        <v>Valid</v>
      </c>
      <c r="V5" t="str">
        <f t="shared" si="4"/>
        <v>Valid</v>
      </c>
      <c r="W5" t="str">
        <f t="shared" si="5"/>
        <v>Valid</v>
      </c>
      <c r="X5" t="s">
        <v>1460</v>
      </c>
      <c r="Y5" t="s">
        <v>1461</v>
      </c>
    </row>
    <row r="6" spans="1:25">
      <c r="A6" t="s">
        <v>33</v>
      </c>
      <c r="B6" s="2">
        <v>45700</v>
      </c>
      <c r="C6" t="s">
        <v>17</v>
      </c>
      <c r="D6" t="s">
        <v>18</v>
      </c>
      <c r="E6" t="s">
        <v>34</v>
      </c>
      <c r="F6" t="s">
        <v>25</v>
      </c>
      <c r="G6" t="s">
        <v>26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P6">
        <v>66.599999999999994</v>
      </c>
      <c r="Q6">
        <f>COUNTBLANK(E2:E1409)</f>
        <v>0</v>
      </c>
      <c r="R6" t="str">
        <f t="shared" si="0"/>
        <v>Unique</v>
      </c>
      <c r="S6" t="str">
        <f t="shared" si="1"/>
        <v>Valid</v>
      </c>
      <c r="T6" t="str">
        <f t="shared" si="2"/>
        <v>Valid</v>
      </c>
      <c r="U6" t="str">
        <f t="shared" si="3"/>
        <v>Valid</v>
      </c>
      <c r="V6" t="str">
        <f t="shared" si="4"/>
        <v>Valid</v>
      </c>
      <c r="W6" t="str">
        <f t="shared" si="5"/>
        <v>Valid</v>
      </c>
      <c r="X6" t="s">
        <v>1459</v>
      </c>
      <c r="Y6">
        <f>COUNTIF(S:S,"Invalid")</f>
        <v>0</v>
      </c>
    </row>
    <row r="7" spans="1:25">
      <c r="A7" t="s">
        <v>35</v>
      </c>
      <c r="B7" s="2">
        <v>45685</v>
      </c>
      <c r="C7" t="s">
        <v>17</v>
      </c>
      <c r="D7" t="s">
        <v>28</v>
      </c>
      <c r="E7" t="s">
        <v>24</v>
      </c>
      <c r="F7" t="s">
        <v>25</v>
      </c>
      <c r="G7" t="s">
        <v>30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P7">
        <v>40.799999999999997</v>
      </c>
      <c r="Q7">
        <f>COUNTBLANK(F2:F1409)</f>
        <v>0</v>
      </c>
      <c r="R7" t="str">
        <f t="shared" si="0"/>
        <v>Unique</v>
      </c>
      <c r="S7" t="str">
        <f t="shared" si="1"/>
        <v>Valid</v>
      </c>
      <c r="T7" t="str">
        <f t="shared" si="2"/>
        <v>Valid</v>
      </c>
      <c r="U7" t="str">
        <f t="shared" si="3"/>
        <v>Valid</v>
      </c>
      <c r="V7" t="str">
        <f t="shared" si="4"/>
        <v>Valid</v>
      </c>
      <c r="W7" t="str">
        <f t="shared" si="5"/>
        <v>Valid</v>
      </c>
      <c r="X7" t="s">
        <v>8</v>
      </c>
      <c r="Y7">
        <f>COUNTIF(T:T,"Invalid")</f>
        <v>0</v>
      </c>
    </row>
    <row r="8" spans="1:25">
      <c r="A8" t="s">
        <v>36</v>
      </c>
      <c r="B8" s="2">
        <v>45755</v>
      </c>
      <c r="C8" t="s">
        <v>17</v>
      </c>
      <c r="D8" t="s">
        <v>28</v>
      </c>
      <c r="E8" t="s">
        <v>24</v>
      </c>
      <c r="F8" t="s">
        <v>29</v>
      </c>
      <c r="G8" t="s">
        <v>21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P8">
        <v>57.1</v>
      </c>
      <c r="Q8">
        <f>COUNTBLANK(G2:G1409)</f>
        <v>0</v>
      </c>
      <c r="R8" t="str">
        <f t="shared" si="0"/>
        <v>Unique</v>
      </c>
      <c r="S8" t="str">
        <f t="shared" si="1"/>
        <v>Valid</v>
      </c>
      <c r="T8" t="str">
        <f t="shared" si="2"/>
        <v>Valid</v>
      </c>
      <c r="U8" t="str">
        <f t="shared" si="3"/>
        <v>Valid</v>
      </c>
      <c r="V8" t="str">
        <f t="shared" si="4"/>
        <v>Valid</v>
      </c>
      <c r="W8" t="str">
        <f t="shared" si="5"/>
        <v>Valid</v>
      </c>
      <c r="X8" t="s">
        <v>9</v>
      </c>
      <c r="Y8">
        <f>COUNTIF(U:U,"Invalid")</f>
        <v>0</v>
      </c>
    </row>
    <row r="9" spans="1:25">
      <c r="A9" t="s">
        <v>37</v>
      </c>
      <c r="B9" s="2">
        <v>45794</v>
      </c>
      <c r="C9" t="s">
        <v>17</v>
      </c>
      <c r="D9" t="s">
        <v>32</v>
      </c>
      <c r="E9" t="s">
        <v>24</v>
      </c>
      <c r="F9" t="s">
        <v>29</v>
      </c>
      <c r="G9" t="s">
        <v>26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P9">
        <v>36.4</v>
      </c>
      <c r="Q9">
        <f>COUNTBLANK(H2:H1409)</f>
        <v>0</v>
      </c>
      <c r="R9" t="str">
        <f t="shared" si="0"/>
        <v>Unique</v>
      </c>
      <c r="S9" t="str">
        <f t="shared" si="1"/>
        <v>Valid</v>
      </c>
      <c r="T9" t="str">
        <f t="shared" si="2"/>
        <v>Valid</v>
      </c>
      <c r="U9" t="str">
        <f t="shared" si="3"/>
        <v>Valid</v>
      </c>
      <c r="V9" t="str">
        <f t="shared" si="4"/>
        <v>Valid</v>
      </c>
      <c r="W9" t="str">
        <f t="shared" si="5"/>
        <v>Valid</v>
      </c>
      <c r="X9" t="s">
        <v>10</v>
      </c>
      <c r="Y9">
        <f>COUNTIF(V:V,"Invalid")</f>
        <v>0</v>
      </c>
    </row>
    <row r="10" spans="1:25">
      <c r="A10" t="s">
        <v>38</v>
      </c>
      <c r="B10" s="2">
        <v>45711</v>
      </c>
      <c r="C10" t="s">
        <v>17</v>
      </c>
      <c r="D10" t="s">
        <v>32</v>
      </c>
      <c r="E10" t="s">
        <v>34</v>
      </c>
      <c r="F10" t="s">
        <v>39</v>
      </c>
      <c r="G10" t="s">
        <v>21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P10">
        <v>55.4</v>
      </c>
      <c r="Q10">
        <f>COUNTBLANK(I2:I1409)</f>
        <v>0</v>
      </c>
      <c r="R10" t="str">
        <f t="shared" si="0"/>
        <v>Unique</v>
      </c>
      <c r="S10" t="str">
        <f t="shared" si="1"/>
        <v>Valid</v>
      </c>
      <c r="T10" t="str">
        <f t="shared" si="2"/>
        <v>Valid</v>
      </c>
      <c r="U10" t="str">
        <f t="shared" si="3"/>
        <v>Valid</v>
      </c>
      <c r="V10" t="str">
        <f t="shared" si="4"/>
        <v>Valid</v>
      </c>
      <c r="W10" t="str">
        <f t="shared" si="5"/>
        <v>Valid</v>
      </c>
      <c r="X10" t="s">
        <v>13</v>
      </c>
      <c r="Y10">
        <f>COUNTIF(W:W,"Invalid")</f>
        <v>0</v>
      </c>
    </row>
    <row r="11" spans="1:25">
      <c r="A11" t="s">
        <v>40</v>
      </c>
      <c r="B11" s="2">
        <v>45806</v>
      </c>
      <c r="C11" t="s">
        <v>17</v>
      </c>
      <c r="D11" t="s">
        <v>23</v>
      </c>
      <c r="E11" t="s">
        <v>19</v>
      </c>
      <c r="F11" t="s">
        <v>41</v>
      </c>
      <c r="G11" t="s">
        <v>26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57.3</v>
      </c>
      <c r="Q11">
        <f>COUNTBLANK(J2:J1409)</f>
        <v>0</v>
      </c>
      <c r="R11" t="str">
        <f t="shared" si="0"/>
        <v>Unique</v>
      </c>
      <c r="S11" t="str">
        <f t="shared" si="1"/>
        <v>Valid</v>
      </c>
      <c r="T11" t="str">
        <f t="shared" si="2"/>
        <v>Valid</v>
      </c>
      <c r="U11" t="str">
        <f t="shared" si="3"/>
        <v>Valid</v>
      </c>
      <c r="V11" t="str">
        <f t="shared" si="4"/>
        <v>Valid</v>
      </c>
      <c r="W11" t="str">
        <f t="shared" si="5"/>
        <v>Valid</v>
      </c>
    </row>
    <row r="12" spans="1:25">
      <c r="A12" t="s">
        <v>42</v>
      </c>
      <c r="B12" s="2">
        <v>45777</v>
      </c>
      <c r="C12" t="s">
        <v>17</v>
      </c>
      <c r="D12" t="s">
        <v>28</v>
      </c>
      <c r="E12" t="s">
        <v>24</v>
      </c>
      <c r="F12" t="s">
        <v>29</v>
      </c>
      <c r="G12" t="s">
        <v>21</v>
      </c>
      <c r="H12">
        <v>1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P12">
        <v>63.6</v>
      </c>
      <c r="Q12">
        <f>COUNTBLANK(K2:K1409)</f>
        <v>0</v>
      </c>
      <c r="R12" t="str">
        <f t="shared" si="0"/>
        <v>Unique</v>
      </c>
      <c r="S12" t="str">
        <f t="shared" si="1"/>
        <v>Valid</v>
      </c>
      <c r="T12" t="str">
        <f t="shared" si="2"/>
        <v>Valid</v>
      </c>
      <c r="U12" t="str">
        <f t="shared" si="3"/>
        <v>Valid</v>
      </c>
      <c r="V12" t="str">
        <f t="shared" si="4"/>
        <v>Valid</v>
      </c>
      <c r="W12" t="str">
        <f t="shared" si="5"/>
        <v>Valid</v>
      </c>
      <c r="X12" t="s">
        <v>1463</v>
      </c>
    </row>
    <row r="13" spans="1:25">
      <c r="A13" t="s">
        <v>43</v>
      </c>
      <c r="B13" s="2">
        <v>45732</v>
      </c>
      <c r="C13" t="s">
        <v>17</v>
      </c>
      <c r="D13" t="s">
        <v>28</v>
      </c>
      <c r="E13" t="s">
        <v>24</v>
      </c>
      <c r="F13" t="s">
        <v>41</v>
      </c>
      <c r="G13" t="s">
        <v>30</v>
      </c>
      <c r="H13">
        <v>1</v>
      </c>
      <c r="I13">
        <v>1</v>
      </c>
      <c r="J13">
        <v>1</v>
      </c>
      <c r="K13">
        <v>0</v>
      </c>
      <c r="L13">
        <v>0</v>
      </c>
      <c r="M13">
        <v>1</v>
      </c>
      <c r="N13">
        <v>0</v>
      </c>
      <c r="P13">
        <v>80.400000000000006</v>
      </c>
      <c r="Q13">
        <f>COUNTBLANK(L2:L1409)</f>
        <v>0</v>
      </c>
      <c r="R13" t="str">
        <f t="shared" si="0"/>
        <v>Unique</v>
      </c>
      <c r="S13" t="str">
        <f t="shared" si="1"/>
        <v>Valid</v>
      </c>
      <c r="T13" t="str">
        <f t="shared" si="2"/>
        <v>Valid</v>
      </c>
      <c r="U13" t="str">
        <f t="shared" si="3"/>
        <v>Valid</v>
      </c>
      <c r="V13" t="str">
        <f t="shared" si="4"/>
        <v>Valid</v>
      </c>
      <c r="W13" t="str">
        <f t="shared" si="5"/>
        <v>Valid</v>
      </c>
      <c r="X13" t="s">
        <v>1464</v>
      </c>
      <c r="Y13">
        <f>_xlfn.QUARTILE.INC(L2:L1409,1)</f>
        <v>0</v>
      </c>
    </row>
    <row r="14" spans="1:25">
      <c r="A14" t="s">
        <v>44</v>
      </c>
      <c r="B14" s="2">
        <v>45695</v>
      </c>
      <c r="C14" t="s">
        <v>17</v>
      </c>
      <c r="D14" t="s">
        <v>32</v>
      </c>
      <c r="E14" t="s">
        <v>19</v>
      </c>
      <c r="F14" t="s">
        <v>20</v>
      </c>
      <c r="G14" t="s">
        <v>21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P14">
        <v>62.4</v>
      </c>
      <c r="Q14">
        <f>COUNTBLANK(M2:M1409)</f>
        <v>0</v>
      </c>
      <c r="R14" t="str">
        <f t="shared" si="0"/>
        <v>Unique</v>
      </c>
      <c r="S14" t="str">
        <f t="shared" si="1"/>
        <v>Valid</v>
      </c>
      <c r="T14" t="str">
        <f t="shared" si="2"/>
        <v>Valid</v>
      </c>
      <c r="U14" t="str">
        <f t="shared" si="3"/>
        <v>Valid</v>
      </c>
      <c r="V14" t="str">
        <f t="shared" si="4"/>
        <v>Valid</v>
      </c>
      <c r="W14" t="str">
        <f t="shared" si="5"/>
        <v>Valid</v>
      </c>
      <c r="X14" t="s">
        <v>1465</v>
      </c>
      <c r="Y14">
        <f>_xlfn.QUARTILE.INC(L2:L1409,3)</f>
        <v>0</v>
      </c>
    </row>
    <row r="15" spans="1:25">
      <c r="A15" t="s">
        <v>45</v>
      </c>
      <c r="B15" s="2">
        <v>45718</v>
      </c>
      <c r="C15" t="s">
        <v>17</v>
      </c>
      <c r="D15" t="s">
        <v>23</v>
      </c>
      <c r="E15" t="s">
        <v>24</v>
      </c>
      <c r="F15" t="s">
        <v>41</v>
      </c>
      <c r="G15" t="s">
        <v>21</v>
      </c>
      <c r="H15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P15">
        <v>82.4</v>
      </c>
      <c r="Q15">
        <f>COUNTBLANK(N2:N1409)</f>
        <v>0</v>
      </c>
      <c r="R15" t="str">
        <f t="shared" si="0"/>
        <v>Unique</v>
      </c>
      <c r="S15" t="str">
        <f t="shared" si="1"/>
        <v>Valid</v>
      </c>
      <c r="T15" t="str">
        <f t="shared" si="2"/>
        <v>Valid</v>
      </c>
      <c r="U15" t="str">
        <f t="shared" si="3"/>
        <v>Valid</v>
      </c>
      <c r="V15" t="str">
        <f t="shared" si="4"/>
        <v>Valid</v>
      </c>
      <c r="W15" t="str">
        <f t="shared" si="5"/>
        <v>Valid</v>
      </c>
      <c r="X15" t="s">
        <v>1466</v>
      </c>
      <c r="Y15">
        <f>Y14-Y13</f>
        <v>0</v>
      </c>
    </row>
    <row r="16" spans="1:25">
      <c r="A16" t="s">
        <v>46</v>
      </c>
      <c r="B16" s="2">
        <v>45807</v>
      </c>
      <c r="C16" t="s">
        <v>17</v>
      </c>
      <c r="D16" t="s">
        <v>32</v>
      </c>
      <c r="E16" t="s">
        <v>24</v>
      </c>
      <c r="F16" t="s">
        <v>25</v>
      </c>
      <c r="G16" t="s">
        <v>21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P16">
        <v>61.2</v>
      </c>
      <c r="Q16">
        <f>COUNTBLANK(O2:O1409)</f>
        <v>1336</v>
      </c>
      <c r="R16" t="str">
        <f t="shared" si="0"/>
        <v>Unique</v>
      </c>
      <c r="S16" t="str">
        <f t="shared" si="1"/>
        <v>Valid</v>
      </c>
      <c r="T16" t="str">
        <f t="shared" si="2"/>
        <v>Valid</v>
      </c>
      <c r="U16" t="str">
        <f t="shared" si="3"/>
        <v>Valid</v>
      </c>
      <c r="V16" t="str">
        <f t="shared" si="4"/>
        <v>Valid</v>
      </c>
      <c r="W16" t="str">
        <f t="shared" si="5"/>
        <v>Valid</v>
      </c>
      <c r="X16" t="s">
        <v>1467</v>
      </c>
      <c r="Y16">
        <f>COUNTIF(L2:L1409,0)</f>
        <v>1336</v>
      </c>
    </row>
    <row r="17" spans="1:25">
      <c r="A17" t="s">
        <v>47</v>
      </c>
      <c r="B17" s="2">
        <v>45741</v>
      </c>
      <c r="C17" t="s">
        <v>17</v>
      </c>
      <c r="D17" t="s">
        <v>32</v>
      </c>
      <c r="E17" t="s">
        <v>24</v>
      </c>
      <c r="F17" t="s">
        <v>41</v>
      </c>
      <c r="G17" t="s">
        <v>21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P17">
        <v>68.900000000000006</v>
      </c>
      <c r="Q17">
        <f>COUNTBLANK(P2:P1409)</f>
        <v>0</v>
      </c>
      <c r="R17" t="str">
        <f t="shared" si="0"/>
        <v>Unique</v>
      </c>
      <c r="S17" t="str">
        <f t="shared" si="1"/>
        <v>Valid</v>
      </c>
      <c r="T17" t="str">
        <f t="shared" si="2"/>
        <v>Valid</v>
      </c>
      <c r="U17" t="str">
        <f t="shared" si="3"/>
        <v>Valid</v>
      </c>
      <c r="V17" t="str">
        <f t="shared" si="4"/>
        <v>Valid</v>
      </c>
      <c r="W17" t="str">
        <f t="shared" si="5"/>
        <v>Valid</v>
      </c>
      <c r="X17" t="s">
        <v>1469</v>
      </c>
      <c r="Y17">
        <f>COUNTIF(L2:L1409,"&gt;0")</f>
        <v>72</v>
      </c>
    </row>
    <row r="18" spans="1:25">
      <c r="A18" t="s">
        <v>48</v>
      </c>
      <c r="B18" s="2">
        <v>45743</v>
      </c>
      <c r="C18" t="s">
        <v>17</v>
      </c>
      <c r="D18" t="s">
        <v>28</v>
      </c>
      <c r="E18" t="s">
        <v>19</v>
      </c>
      <c r="F18" t="s">
        <v>29</v>
      </c>
      <c r="G18" t="s">
        <v>26</v>
      </c>
      <c r="H18">
        <v>1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P18">
        <v>71.900000000000006</v>
      </c>
      <c r="R18" t="str">
        <f t="shared" si="0"/>
        <v>Unique</v>
      </c>
      <c r="S18" t="str">
        <f t="shared" si="1"/>
        <v>Valid</v>
      </c>
      <c r="T18" t="str">
        <f t="shared" si="2"/>
        <v>Valid</v>
      </c>
      <c r="U18" t="str">
        <f t="shared" si="3"/>
        <v>Valid</v>
      </c>
      <c r="V18" t="str">
        <f t="shared" si="4"/>
        <v>Valid</v>
      </c>
      <c r="W18" t="str">
        <f t="shared" si="5"/>
        <v>Valid</v>
      </c>
      <c r="X18" t="s">
        <v>1470</v>
      </c>
      <c r="Y18">
        <f>MAX(L2:L1409)</f>
        <v>8610.7199999999993</v>
      </c>
    </row>
    <row r="19" spans="1:25">
      <c r="A19" t="s">
        <v>49</v>
      </c>
      <c r="B19" s="2">
        <v>45805</v>
      </c>
      <c r="C19" t="s">
        <v>17</v>
      </c>
      <c r="D19" t="s">
        <v>32</v>
      </c>
      <c r="E19" t="s">
        <v>19</v>
      </c>
      <c r="F19" t="s">
        <v>29</v>
      </c>
      <c r="G19" t="s">
        <v>26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P19">
        <v>50.5</v>
      </c>
      <c r="Q19">
        <f>AVERAGE(P2:P1409)</f>
        <v>60.021434659090907</v>
      </c>
      <c r="R19" t="str">
        <f t="shared" si="0"/>
        <v>Unique</v>
      </c>
      <c r="S19" t="str">
        <f t="shared" si="1"/>
        <v>Valid</v>
      </c>
      <c r="T19" t="str">
        <f t="shared" si="2"/>
        <v>Valid</v>
      </c>
      <c r="U19" t="str">
        <f t="shared" si="3"/>
        <v>Valid</v>
      </c>
      <c r="V19" t="str">
        <f t="shared" si="4"/>
        <v>Valid</v>
      </c>
      <c r="W19" t="str">
        <f t="shared" si="5"/>
        <v>Valid</v>
      </c>
      <c r="X19" t="s">
        <v>1468</v>
      </c>
      <c r="Y19">
        <f>COUNTA(L2:L1409)</f>
        <v>1408</v>
      </c>
    </row>
    <row r="20" spans="1:25">
      <c r="A20" t="s">
        <v>50</v>
      </c>
      <c r="B20" s="2">
        <v>45703</v>
      </c>
      <c r="C20" t="s">
        <v>17</v>
      </c>
      <c r="D20" t="s">
        <v>18</v>
      </c>
      <c r="E20" t="s">
        <v>19</v>
      </c>
      <c r="F20" t="s">
        <v>29</v>
      </c>
      <c r="G20" t="s">
        <v>21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49.3</v>
      </c>
      <c r="R20" t="str">
        <f t="shared" si="0"/>
        <v>Unique</v>
      </c>
      <c r="S20" t="str">
        <f t="shared" si="1"/>
        <v>Valid</v>
      </c>
      <c r="T20" t="str">
        <f t="shared" si="2"/>
        <v>Valid</v>
      </c>
      <c r="U20" t="str">
        <f t="shared" si="3"/>
        <v>Valid</v>
      </c>
      <c r="V20" t="str">
        <f t="shared" si="4"/>
        <v>Valid</v>
      </c>
      <c r="W20" t="str">
        <f t="shared" si="5"/>
        <v>Valid</v>
      </c>
      <c r="X20" s="8"/>
      <c r="Y20" s="8"/>
    </row>
    <row r="21" spans="1:25">
      <c r="A21" t="s">
        <v>51</v>
      </c>
      <c r="B21" s="2">
        <v>45782</v>
      </c>
      <c r="C21" t="s">
        <v>17</v>
      </c>
      <c r="D21" t="s">
        <v>23</v>
      </c>
      <c r="E21" t="s">
        <v>19</v>
      </c>
      <c r="F21" t="s">
        <v>25</v>
      </c>
      <c r="G21" t="s">
        <v>21</v>
      </c>
      <c r="H21">
        <v>0</v>
      </c>
      <c r="I21">
        <v>0</v>
      </c>
      <c r="J21">
        <v>0</v>
      </c>
      <c r="K21">
        <v>0</v>
      </c>
      <c r="L21">
        <v>0</v>
      </c>
      <c r="M21">
        <v>2</v>
      </c>
      <c r="N21">
        <v>0</v>
      </c>
      <c r="P21">
        <v>60.9</v>
      </c>
      <c r="R21" t="str">
        <f t="shared" si="0"/>
        <v>Unique</v>
      </c>
      <c r="S21" t="str">
        <f t="shared" si="1"/>
        <v>Valid</v>
      </c>
      <c r="T21" t="str">
        <f t="shared" si="2"/>
        <v>Valid</v>
      </c>
      <c r="U21" t="str">
        <f t="shared" si="3"/>
        <v>Valid</v>
      </c>
      <c r="V21" t="str">
        <f t="shared" si="4"/>
        <v>Valid</v>
      </c>
      <c r="W21" t="str">
        <f t="shared" si="5"/>
        <v>Valid</v>
      </c>
    </row>
    <row r="22" spans="1:25">
      <c r="A22" t="s">
        <v>52</v>
      </c>
      <c r="B22" s="2">
        <v>45760</v>
      </c>
      <c r="C22" t="s">
        <v>17</v>
      </c>
      <c r="D22" t="s">
        <v>28</v>
      </c>
      <c r="E22" t="s">
        <v>24</v>
      </c>
      <c r="F22" t="s">
        <v>41</v>
      </c>
      <c r="G22" t="s">
        <v>26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P22">
        <v>62.7</v>
      </c>
      <c r="R22" t="str">
        <f t="shared" si="0"/>
        <v>Unique</v>
      </c>
      <c r="S22" t="str">
        <f t="shared" si="1"/>
        <v>Valid</v>
      </c>
      <c r="T22" t="str">
        <f t="shared" si="2"/>
        <v>Valid</v>
      </c>
      <c r="U22" t="str">
        <f t="shared" si="3"/>
        <v>Valid</v>
      </c>
      <c r="V22" t="str">
        <f t="shared" si="4"/>
        <v>Valid</v>
      </c>
      <c r="W22" t="str">
        <f t="shared" si="5"/>
        <v>Valid</v>
      </c>
      <c r="X22">
        <f>COUNTIF(C2:C1409, "Control")</f>
        <v>693</v>
      </c>
    </row>
    <row r="23" spans="1:25">
      <c r="A23" t="s">
        <v>53</v>
      </c>
      <c r="B23" s="2">
        <v>45784</v>
      </c>
      <c r="C23" t="s">
        <v>17</v>
      </c>
      <c r="D23" t="s">
        <v>18</v>
      </c>
      <c r="E23" t="s">
        <v>19</v>
      </c>
      <c r="F23" t="s">
        <v>29</v>
      </c>
      <c r="G23" t="s">
        <v>26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P23">
        <v>52.7</v>
      </c>
      <c r="R23" t="str">
        <f t="shared" si="0"/>
        <v>Unique</v>
      </c>
      <c r="S23" t="str">
        <f t="shared" si="1"/>
        <v>Valid</v>
      </c>
      <c r="T23" t="str">
        <f t="shared" si="2"/>
        <v>Valid</v>
      </c>
      <c r="U23" t="str">
        <f t="shared" si="3"/>
        <v>Valid</v>
      </c>
      <c r="V23" t="str">
        <f t="shared" si="4"/>
        <v>Valid</v>
      </c>
      <c r="W23" t="str">
        <f t="shared" si="5"/>
        <v>Valid</v>
      </c>
      <c r="X23">
        <f>COUNTIF(C2:C1409, "Treatment")</f>
        <v>715</v>
      </c>
    </row>
    <row r="24" spans="1:25">
      <c r="A24" t="s">
        <v>54</v>
      </c>
      <c r="B24" s="2">
        <v>45802</v>
      </c>
      <c r="C24" t="s">
        <v>17</v>
      </c>
      <c r="D24" t="s">
        <v>18</v>
      </c>
      <c r="E24" t="s">
        <v>19</v>
      </c>
      <c r="F24" t="s">
        <v>25</v>
      </c>
      <c r="G24" t="s">
        <v>26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P24">
        <v>54</v>
      </c>
      <c r="R24" t="str">
        <f t="shared" si="0"/>
        <v>Unique</v>
      </c>
      <c r="S24" t="str">
        <f t="shared" si="1"/>
        <v>Valid</v>
      </c>
      <c r="T24" t="str">
        <f t="shared" si="2"/>
        <v>Valid</v>
      </c>
      <c r="U24" t="str">
        <f t="shared" si="3"/>
        <v>Valid</v>
      </c>
      <c r="V24" t="str">
        <f t="shared" si="4"/>
        <v>Valid</v>
      </c>
      <c r="W24" t="str">
        <f t="shared" si="5"/>
        <v>Valid</v>
      </c>
    </row>
    <row r="25" spans="1:25">
      <c r="A25" t="s">
        <v>55</v>
      </c>
      <c r="B25" s="2">
        <v>45748</v>
      </c>
      <c r="C25" t="s">
        <v>17</v>
      </c>
      <c r="D25" t="s">
        <v>28</v>
      </c>
      <c r="E25" t="s">
        <v>24</v>
      </c>
      <c r="F25" t="s">
        <v>29</v>
      </c>
      <c r="G25" t="s">
        <v>30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P25">
        <v>51.6</v>
      </c>
      <c r="R25" t="str">
        <f t="shared" si="0"/>
        <v>Unique</v>
      </c>
      <c r="S25" t="str">
        <f t="shared" si="1"/>
        <v>Valid</v>
      </c>
      <c r="T25" t="str">
        <f t="shared" si="2"/>
        <v>Valid</v>
      </c>
      <c r="U25" t="str">
        <f t="shared" si="3"/>
        <v>Valid</v>
      </c>
      <c r="V25" t="str">
        <f t="shared" si="4"/>
        <v>Valid</v>
      </c>
      <c r="W25" t="str">
        <f t="shared" si="5"/>
        <v>Valid</v>
      </c>
    </row>
    <row r="26" spans="1:25">
      <c r="A26" t="s">
        <v>56</v>
      </c>
      <c r="B26" s="2">
        <v>45710</v>
      </c>
      <c r="C26" t="s">
        <v>17</v>
      </c>
      <c r="D26" t="s">
        <v>18</v>
      </c>
      <c r="E26" t="s">
        <v>24</v>
      </c>
      <c r="F26" t="s">
        <v>29</v>
      </c>
      <c r="G26" t="s">
        <v>30</v>
      </c>
      <c r="H26">
        <v>0</v>
      </c>
      <c r="I26">
        <v>0</v>
      </c>
      <c r="J26">
        <v>0</v>
      </c>
      <c r="K26">
        <v>0</v>
      </c>
      <c r="L26">
        <v>0</v>
      </c>
      <c r="M26">
        <v>2</v>
      </c>
      <c r="N26">
        <v>0</v>
      </c>
      <c r="P26">
        <v>66.900000000000006</v>
      </c>
      <c r="R26" t="str">
        <f t="shared" si="0"/>
        <v>Unique</v>
      </c>
      <c r="S26" t="str">
        <f t="shared" si="1"/>
        <v>Valid</v>
      </c>
      <c r="T26" t="str">
        <f t="shared" si="2"/>
        <v>Valid</v>
      </c>
      <c r="U26" t="str">
        <f t="shared" si="3"/>
        <v>Valid</v>
      </c>
      <c r="V26" t="str">
        <f t="shared" si="4"/>
        <v>Valid</v>
      </c>
      <c r="W26" t="str">
        <f t="shared" si="5"/>
        <v>Valid</v>
      </c>
    </row>
    <row r="27" spans="1:25">
      <c r="A27" t="s">
        <v>57</v>
      </c>
      <c r="B27" s="2">
        <v>45740</v>
      </c>
      <c r="C27" t="s">
        <v>17</v>
      </c>
      <c r="D27" t="s">
        <v>28</v>
      </c>
      <c r="E27" t="s">
        <v>24</v>
      </c>
      <c r="F27" t="s">
        <v>25</v>
      </c>
      <c r="G27" t="s">
        <v>21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P27">
        <v>67.400000000000006</v>
      </c>
      <c r="R27" t="str">
        <f t="shared" si="0"/>
        <v>Unique</v>
      </c>
      <c r="S27" t="str">
        <f t="shared" si="1"/>
        <v>Valid</v>
      </c>
      <c r="T27" t="str">
        <f t="shared" si="2"/>
        <v>Valid</v>
      </c>
      <c r="U27" t="str">
        <f t="shared" si="3"/>
        <v>Valid</v>
      </c>
      <c r="V27" t="str">
        <f t="shared" si="4"/>
        <v>Valid</v>
      </c>
      <c r="W27" t="str">
        <f t="shared" si="5"/>
        <v>Valid</v>
      </c>
    </row>
    <row r="28" spans="1:25">
      <c r="A28" t="s">
        <v>58</v>
      </c>
      <c r="B28" s="2">
        <v>45701</v>
      </c>
      <c r="C28" t="s">
        <v>17</v>
      </c>
      <c r="D28" t="s">
        <v>18</v>
      </c>
      <c r="E28" t="s">
        <v>24</v>
      </c>
      <c r="F28" t="s">
        <v>25</v>
      </c>
      <c r="G28" t="s">
        <v>26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P28">
        <v>58.8</v>
      </c>
      <c r="R28" t="str">
        <f t="shared" si="0"/>
        <v>Unique</v>
      </c>
      <c r="S28" t="str">
        <f t="shared" si="1"/>
        <v>Valid</v>
      </c>
      <c r="T28" t="str">
        <f t="shared" si="2"/>
        <v>Valid</v>
      </c>
      <c r="U28" t="str">
        <f t="shared" si="3"/>
        <v>Valid</v>
      </c>
      <c r="V28" t="str">
        <f t="shared" si="4"/>
        <v>Valid</v>
      </c>
      <c r="W28" t="str">
        <f t="shared" si="5"/>
        <v>Valid</v>
      </c>
    </row>
    <row r="29" spans="1:25">
      <c r="A29" t="s">
        <v>59</v>
      </c>
      <c r="B29" s="2">
        <v>45807</v>
      </c>
      <c r="C29" t="s">
        <v>17</v>
      </c>
      <c r="D29" t="s">
        <v>32</v>
      </c>
      <c r="E29" t="s">
        <v>24</v>
      </c>
      <c r="F29" t="s">
        <v>25</v>
      </c>
      <c r="G29" t="s">
        <v>26</v>
      </c>
      <c r="H29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P29">
        <v>73.8</v>
      </c>
      <c r="R29" t="str">
        <f t="shared" si="0"/>
        <v>Unique</v>
      </c>
      <c r="S29" t="str">
        <f t="shared" si="1"/>
        <v>Valid</v>
      </c>
      <c r="T29" t="str">
        <f t="shared" si="2"/>
        <v>Valid</v>
      </c>
      <c r="U29" t="str">
        <f t="shared" si="3"/>
        <v>Valid</v>
      </c>
      <c r="V29" t="str">
        <f t="shared" si="4"/>
        <v>Valid</v>
      </c>
      <c r="W29" t="str">
        <f t="shared" si="5"/>
        <v>Valid</v>
      </c>
    </row>
    <row r="30" spans="1:25">
      <c r="A30" t="s">
        <v>60</v>
      </c>
      <c r="B30" s="2">
        <v>45677</v>
      </c>
      <c r="C30" t="s">
        <v>17</v>
      </c>
      <c r="D30" t="s">
        <v>28</v>
      </c>
      <c r="E30" t="s">
        <v>34</v>
      </c>
      <c r="F30" t="s">
        <v>25</v>
      </c>
      <c r="G30" t="s">
        <v>21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P30">
        <v>60.1</v>
      </c>
      <c r="R30" t="str">
        <f t="shared" si="0"/>
        <v>Unique</v>
      </c>
      <c r="S30" t="str">
        <f t="shared" si="1"/>
        <v>Valid</v>
      </c>
      <c r="T30" t="str">
        <f t="shared" si="2"/>
        <v>Valid</v>
      </c>
      <c r="U30" t="str">
        <f t="shared" si="3"/>
        <v>Valid</v>
      </c>
      <c r="V30" t="str">
        <f t="shared" si="4"/>
        <v>Valid</v>
      </c>
      <c r="W30" t="str">
        <f t="shared" si="5"/>
        <v>Valid</v>
      </c>
    </row>
    <row r="31" spans="1:25">
      <c r="A31" t="s">
        <v>61</v>
      </c>
      <c r="B31" s="2">
        <v>45796</v>
      </c>
      <c r="C31" t="s">
        <v>17</v>
      </c>
      <c r="D31" t="s">
        <v>28</v>
      </c>
      <c r="E31" t="s">
        <v>24</v>
      </c>
      <c r="F31" t="s">
        <v>41</v>
      </c>
      <c r="G31" t="s">
        <v>21</v>
      </c>
      <c r="H31">
        <v>1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P31">
        <v>41</v>
      </c>
      <c r="R31" t="str">
        <f t="shared" si="0"/>
        <v>Unique</v>
      </c>
      <c r="S31" t="str">
        <f t="shared" si="1"/>
        <v>Valid</v>
      </c>
      <c r="T31" t="str">
        <f t="shared" si="2"/>
        <v>Valid</v>
      </c>
      <c r="U31" t="str">
        <f t="shared" si="3"/>
        <v>Valid</v>
      </c>
      <c r="V31" t="str">
        <f t="shared" si="4"/>
        <v>Valid</v>
      </c>
      <c r="W31" t="str">
        <f t="shared" si="5"/>
        <v>Valid</v>
      </c>
    </row>
    <row r="32" spans="1:25">
      <c r="A32" t="s">
        <v>62</v>
      </c>
      <c r="B32" s="2">
        <v>45706</v>
      </c>
      <c r="C32" t="s">
        <v>17</v>
      </c>
      <c r="D32" t="s">
        <v>32</v>
      </c>
      <c r="E32" t="s">
        <v>24</v>
      </c>
      <c r="F32" t="s">
        <v>25</v>
      </c>
      <c r="G32" t="s">
        <v>21</v>
      </c>
      <c r="H32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P32">
        <v>80.3</v>
      </c>
      <c r="R32" t="str">
        <f t="shared" si="0"/>
        <v>Unique</v>
      </c>
      <c r="S32" t="str">
        <f t="shared" si="1"/>
        <v>Valid</v>
      </c>
      <c r="T32" t="str">
        <f t="shared" si="2"/>
        <v>Valid</v>
      </c>
      <c r="U32" t="str">
        <f t="shared" si="3"/>
        <v>Valid</v>
      </c>
      <c r="V32" t="str">
        <f t="shared" si="4"/>
        <v>Valid</v>
      </c>
      <c r="W32" t="str">
        <f t="shared" si="5"/>
        <v>Valid</v>
      </c>
    </row>
    <row r="33" spans="1:23">
      <c r="A33" t="s">
        <v>63</v>
      </c>
      <c r="B33" s="2">
        <v>45701</v>
      </c>
      <c r="C33" t="s">
        <v>17</v>
      </c>
      <c r="D33" t="s">
        <v>28</v>
      </c>
      <c r="E33" t="s">
        <v>24</v>
      </c>
      <c r="F33" t="s">
        <v>25</v>
      </c>
      <c r="G33" t="s">
        <v>26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P33">
        <v>67.599999999999994</v>
      </c>
      <c r="R33" t="str">
        <f t="shared" si="0"/>
        <v>Unique</v>
      </c>
      <c r="S33" t="str">
        <f t="shared" si="1"/>
        <v>Valid</v>
      </c>
      <c r="T33" t="str">
        <f t="shared" si="2"/>
        <v>Valid</v>
      </c>
      <c r="U33" t="str">
        <f t="shared" si="3"/>
        <v>Valid</v>
      </c>
      <c r="V33" t="str">
        <f t="shared" si="4"/>
        <v>Valid</v>
      </c>
      <c r="W33" t="str">
        <f t="shared" si="5"/>
        <v>Valid</v>
      </c>
    </row>
    <row r="34" spans="1:23">
      <c r="A34" t="s">
        <v>64</v>
      </c>
      <c r="B34" s="2">
        <v>45724</v>
      </c>
      <c r="C34" t="s">
        <v>17</v>
      </c>
      <c r="D34" t="s">
        <v>28</v>
      </c>
      <c r="E34" t="s">
        <v>19</v>
      </c>
      <c r="F34" t="s">
        <v>39</v>
      </c>
      <c r="G34" t="s">
        <v>30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P34">
        <v>64</v>
      </c>
      <c r="R34" t="str">
        <f t="shared" si="0"/>
        <v>Unique</v>
      </c>
      <c r="S34" t="str">
        <f t="shared" si="1"/>
        <v>Valid</v>
      </c>
      <c r="T34" t="str">
        <f t="shared" si="2"/>
        <v>Valid</v>
      </c>
      <c r="U34" t="str">
        <f t="shared" si="3"/>
        <v>Valid</v>
      </c>
      <c r="V34" t="str">
        <f t="shared" si="4"/>
        <v>Valid</v>
      </c>
      <c r="W34" t="str">
        <f t="shared" si="5"/>
        <v>Valid</v>
      </c>
    </row>
    <row r="35" spans="1:23">
      <c r="A35" t="s">
        <v>65</v>
      </c>
      <c r="B35" s="2">
        <v>45668</v>
      </c>
      <c r="C35" t="s">
        <v>17</v>
      </c>
      <c r="D35" t="s">
        <v>18</v>
      </c>
      <c r="E35" t="s">
        <v>24</v>
      </c>
      <c r="F35" t="s">
        <v>29</v>
      </c>
      <c r="G35" t="s">
        <v>26</v>
      </c>
      <c r="H35">
        <v>1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P35">
        <v>27.2</v>
      </c>
      <c r="R35" t="str">
        <f t="shared" si="0"/>
        <v>Unique</v>
      </c>
      <c r="S35" t="str">
        <f t="shared" si="1"/>
        <v>Valid</v>
      </c>
      <c r="T35" t="str">
        <f t="shared" si="2"/>
        <v>Valid</v>
      </c>
      <c r="U35" t="str">
        <f t="shared" si="3"/>
        <v>Valid</v>
      </c>
      <c r="V35" t="str">
        <f t="shared" si="4"/>
        <v>Valid</v>
      </c>
      <c r="W35" t="str">
        <f t="shared" si="5"/>
        <v>Valid</v>
      </c>
    </row>
    <row r="36" spans="1:23">
      <c r="A36" t="s">
        <v>66</v>
      </c>
      <c r="B36" s="2">
        <v>45700</v>
      </c>
      <c r="C36" t="s">
        <v>17</v>
      </c>
      <c r="D36" t="s">
        <v>18</v>
      </c>
      <c r="E36" t="s">
        <v>19</v>
      </c>
      <c r="F36" t="s">
        <v>25</v>
      </c>
      <c r="G36" t="s">
        <v>26</v>
      </c>
      <c r="H36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P36">
        <v>85.4</v>
      </c>
      <c r="R36" t="str">
        <f t="shared" si="0"/>
        <v>Unique</v>
      </c>
      <c r="S36" t="str">
        <f t="shared" si="1"/>
        <v>Valid</v>
      </c>
      <c r="T36" t="str">
        <f t="shared" si="2"/>
        <v>Valid</v>
      </c>
      <c r="U36" t="str">
        <f t="shared" si="3"/>
        <v>Valid</v>
      </c>
      <c r="V36" t="str">
        <f t="shared" si="4"/>
        <v>Valid</v>
      </c>
      <c r="W36" t="str">
        <f t="shared" si="5"/>
        <v>Valid</v>
      </c>
    </row>
    <row r="37" spans="1:23">
      <c r="A37" t="s">
        <v>67</v>
      </c>
      <c r="B37" s="2">
        <v>45760</v>
      </c>
      <c r="C37" t="s">
        <v>17</v>
      </c>
      <c r="D37" t="s">
        <v>28</v>
      </c>
      <c r="E37" t="s">
        <v>19</v>
      </c>
      <c r="F37" t="s">
        <v>25</v>
      </c>
      <c r="G37" t="s">
        <v>21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P37">
        <v>75.900000000000006</v>
      </c>
      <c r="R37" t="str">
        <f t="shared" si="0"/>
        <v>Unique</v>
      </c>
      <c r="S37" t="str">
        <f t="shared" si="1"/>
        <v>Valid</v>
      </c>
      <c r="T37" t="str">
        <f t="shared" si="2"/>
        <v>Valid</v>
      </c>
      <c r="U37" t="str">
        <f t="shared" si="3"/>
        <v>Valid</v>
      </c>
      <c r="V37" t="str">
        <f t="shared" si="4"/>
        <v>Valid</v>
      </c>
      <c r="W37" t="str">
        <f t="shared" si="5"/>
        <v>Valid</v>
      </c>
    </row>
    <row r="38" spans="1:23">
      <c r="A38" t="s">
        <v>68</v>
      </c>
      <c r="B38" s="2">
        <v>45786</v>
      </c>
      <c r="C38" t="s">
        <v>17</v>
      </c>
      <c r="D38" t="s">
        <v>28</v>
      </c>
      <c r="E38" t="s">
        <v>24</v>
      </c>
      <c r="F38" t="s">
        <v>25</v>
      </c>
      <c r="G38" t="s">
        <v>30</v>
      </c>
      <c r="H38">
        <v>1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P38">
        <v>34.799999999999997</v>
      </c>
      <c r="R38" t="str">
        <f t="shared" si="0"/>
        <v>Unique</v>
      </c>
      <c r="S38" t="str">
        <f t="shared" si="1"/>
        <v>Valid</v>
      </c>
      <c r="T38" t="str">
        <f t="shared" si="2"/>
        <v>Valid</v>
      </c>
      <c r="U38" t="str">
        <f t="shared" si="3"/>
        <v>Valid</v>
      </c>
      <c r="V38" t="str">
        <f t="shared" si="4"/>
        <v>Valid</v>
      </c>
      <c r="W38" t="str">
        <f t="shared" si="5"/>
        <v>Valid</v>
      </c>
    </row>
    <row r="39" spans="1:23">
      <c r="A39" t="s">
        <v>69</v>
      </c>
      <c r="B39" s="2">
        <v>45677</v>
      </c>
      <c r="C39" t="s">
        <v>17</v>
      </c>
      <c r="D39" t="s">
        <v>28</v>
      </c>
      <c r="E39" t="s">
        <v>24</v>
      </c>
      <c r="F39" t="s">
        <v>25</v>
      </c>
      <c r="G39" t="s">
        <v>26</v>
      </c>
      <c r="H39">
        <v>1</v>
      </c>
      <c r="I39">
        <v>1</v>
      </c>
      <c r="J39">
        <v>1</v>
      </c>
      <c r="K39">
        <v>0</v>
      </c>
      <c r="L39">
        <v>0</v>
      </c>
      <c r="M39">
        <v>3</v>
      </c>
      <c r="N39">
        <v>0</v>
      </c>
      <c r="P39">
        <v>48.9</v>
      </c>
      <c r="R39" t="str">
        <f t="shared" si="0"/>
        <v>Unique</v>
      </c>
      <c r="S39" t="str">
        <f t="shared" si="1"/>
        <v>Valid</v>
      </c>
      <c r="T39" t="str">
        <f t="shared" si="2"/>
        <v>Valid</v>
      </c>
      <c r="U39" t="str">
        <f t="shared" si="3"/>
        <v>Valid</v>
      </c>
      <c r="V39" t="str">
        <f t="shared" si="4"/>
        <v>Valid</v>
      </c>
      <c r="W39" t="str">
        <f t="shared" si="5"/>
        <v>Valid</v>
      </c>
    </row>
    <row r="40" spans="1:23">
      <c r="A40" t="s">
        <v>70</v>
      </c>
      <c r="B40" s="2">
        <v>45790</v>
      </c>
      <c r="C40" t="s">
        <v>17</v>
      </c>
      <c r="D40" t="s">
        <v>28</v>
      </c>
      <c r="E40" t="s">
        <v>24</v>
      </c>
      <c r="F40" t="s">
        <v>20</v>
      </c>
      <c r="G40" t="s">
        <v>30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P40">
        <v>41.5</v>
      </c>
      <c r="R40" t="str">
        <f t="shared" si="0"/>
        <v>Unique</v>
      </c>
      <c r="S40" t="str">
        <f t="shared" si="1"/>
        <v>Valid</v>
      </c>
      <c r="T40" t="str">
        <f t="shared" si="2"/>
        <v>Valid</v>
      </c>
      <c r="U40" t="str">
        <f t="shared" si="3"/>
        <v>Valid</v>
      </c>
      <c r="V40" t="str">
        <f t="shared" si="4"/>
        <v>Valid</v>
      </c>
      <c r="W40" t="str">
        <f t="shared" si="5"/>
        <v>Valid</v>
      </c>
    </row>
    <row r="41" spans="1:23">
      <c r="A41" t="s">
        <v>71</v>
      </c>
      <c r="B41" s="2">
        <v>45754</v>
      </c>
      <c r="C41" t="s">
        <v>17</v>
      </c>
      <c r="D41" t="s">
        <v>18</v>
      </c>
      <c r="E41" t="s">
        <v>19</v>
      </c>
      <c r="F41" t="s">
        <v>25</v>
      </c>
      <c r="G41" t="s">
        <v>21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P41">
        <v>51.5</v>
      </c>
      <c r="R41" t="str">
        <f t="shared" si="0"/>
        <v>Unique</v>
      </c>
      <c r="S41" t="str">
        <f t="shared" si="1"/>
        <v>Valid</v>
      </c>
      <c r="T41" t="str">
        <f t="shared" si="2"/>
        <v>Valid</v>
      </c>
      <c r="U41" t="str">
        <f t="shared" si="3"/>
        <v>Valid</v>
      </c>
      <c r="V41" t="str">
        <f t="shared" si="4"/>
        <v>Valid</v>
      </c>
      <c r="W41" t="str">
        <f t="shared" si="5"/>
        <v>Valid</v>
      </c>
    </row>
    <row r="42" spans="1:23">
      <c r="A42" t="s">
        <v>72</v>
      </c>
      <c r="B42" s="2">
        <v>45747</v>
      </c>
      <c r="C42" t="s">
        <v>17</v>
      </c>
      <c r="D42" t="s">
        <v>18</v>
      </c>
      <c r="E42" t="s">
        <v>19</v>
      </c>
      <c r="F42" t="s">
        <v>25</v>
      </c>
      <c r="G42" t="s">
        <v>26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P42">
        <v>53.2</v>
      </c>
      <c r="R42" t="str">
        <f t="shared" si="0"/>
        <v>Unique</v>
      </c>
      <c r="S42" t="str">
        <f t="shared" si="1"/>
        <v>Valid</v>
      </c>
      <c r="T42" t="str">
        <f t="shared" si="2"/>
        <v>Valid</v>
      </c>
      <c r="U42" t="str">
        <f t="shared" si="3"/>
        <v>Valid</v>
      </c>
      <c r="V42" t="str">
        <f t="shared" si="4"/>
        <v>Valid</v>
      </c>
      <c r="W42" t="str">
        <f t="shared" si="5"/>
        <v>Valid</v>
      </c>
    </row>
    <row r="43" spans="1:23">
      <c r="A43" t="s">
        <v>73</v>
      </c>
      <c r="B43" s="2">
        <v>45682</v>
      </c>
      <c r="C43" t="s">
        <v>17</v>
      </c>
      <c r="D43" t="s">
        <v>28</v>
      </c>
      <c r="E43" t="s">
        <v>24</v>
      </c>
      <c r="F43" t="s">
        <v>20</v>
      </c>
      <c r="G43" t="s">
        <v>30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P43">
        <v>55.6</v>
      </c>
      <c r="R43" t="str">
        <f t="shared" si="0"/>
        <v>Unique</v>
      </c>
      <c r="S43" t="str">
        <f t="shared" si="1"/>
        <v>Valid</v>
      </c>
      <c r="T43" t="str">
        <f t="shared" si="2"/>
        <v>Valid</v>
      </c>
      <c r="U43" t="str">
        <f t="shared" si="3"/>
        <v>Valid</v>
      </c>
      <c r="V43" t="str">
        <f t="shared" si="4"/>
        <v>Valid</v>
      </c>
      <c r="W43" t="str">
        <f t="shared" si="5"/>
        <v>Valid</v>
      </c>
    </row>
    <row r="44" spans="1:23">
      <c r="A44" t="s">
        <v>74</v>
      </c>
      <c r="B44" s="2">
        <v>45702</v>
      </c>
      <c r="C44" t="s">
        <v>17</v>
      </c>
      <c r="D44" t="s">
        <v>32</v>
      </c>
      <c r="E44" t="s">
        <v>19</v>
      </c>
      <c r="F44" t="s">
        <v>25</v>
      </c>
      <c r="G44" t="s">
        <v>26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P44">
        <v>73</v>
      </c>
      <c r="R44" t="str">
        <f t="shared" si="0"/>
        <v>Unique</v>
      </c>
      <c r="S44" t="str">
        <f t="shared" si="1"/>
        <v>Valid</v>
      </c>
      <c r="T44" t="str">
        <f t="shared" si="2"/>
        <v>Valid</v>
      </c>
      <c r="U44" t="str">
        <f t="shared" si="3"/>
        <v>Valid</v>
      </c>
      <c r="V44" t="str">
        <f t="shared" si="4"/>
        <v>Valid</v>
      </c>
      <c r="W44" t="str">
        <f t="shared" si="5"/>
        <v>Valid</v>
      </c>
    </row>
    <row r="45" spans="1:23">
      <c r="A45" t="s">
        <v>75</v>
      </c>
      <c r="B45" s="2">
        <v>45715</v>
      </c>
      <c r="C45" t="s">
        <v>17</v>
      </c>
      <c r="D45" t="s">
        <v>28</v>
      </c>
      <c r="E45" t="s">
        <v>24</v>
      </c>
      <c r="F45" t="s">
        <v>20</v>
      </c>
      <c r="G45" t="s">
        <v>26</v>
      </c>
      <c r="H45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P45">
        <v>65</v>
      </c>
      <c r="R45" t="str">
        <f t="shared" si="0"/>
        <v>Unique</v>
      </c>
      <c r="S45" t="str">
        <f t="shared" si="1"/>
        <v>Valid</v>
      </c>
      <c r="T45" t="str">
        <f t="shared" si="2"/>
        <v>Valid</v>
      </c>
      <c r="U45" t="str">
        <f t="shared" si="3"/>
        <v>Valid</v>
      </c>
      <c r="V45" t="str">
        <f t="shared" si="4"/>
        <v>Valid</v>
      </c>
      <c r="W45" t="str">
        <f t="shared" si="5"/>
        <v>Valid</v>
      </c>
    </row>
    <row r="46" spans="1:23">
      <c r="A46" t="s">
        <v>76</v>
      </c>
      <c r="B46" s="2">
        <v>45744</v>
      </c>
      <c r="C46" t="s">
        <v>17</v>
      </c>
      <c r="D46" t="s">
        <v>28</v>
      </c>
      <c r="E46" t="s">
        <v>24</v>
      </c>
      <c r="F46" t="s">
        <v>41</v>
      </c>
      <c r="G46" t="s">
        <v>26</v>
      </c>
      <c r="H46">
        <v>1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P46">
        <v>56.3</v>
      </c>
      <c r="R46" t="str">
        <f t="shared" si="0"/>
        <v>Unique</v>
      </c>
      <c r="S46" t="str">
        <f t="shared" si="1"/>
        <v>Valid</v>
      </c>
      <c r="T46" t="str">
        <f t="shared" si="2"/>
        <v>Valid</v>
      </c>
      <c r="U46" t="str">
        <f t="shared" si="3"/>
        <v>Valid</v>
      </c>
      <c r="V46" t="str">
        <f t="shared" si="4"/>
        <v>Valid</v>
      </c>
      <c r="W46" t="str">
        <f t="shared" si="5"/>
        <v>Valid</v>
      </c>
    </row>
    <row r="47" spans="1:23">
      <c r="A47" t="s">
        <v>77</v>
      </c>
      <c r="B47" s="2">
        <v>45802</v>
      </c>
      <c r="C47" t="s">
        <v>17</v>
      </c>
      <c r="D47" t="s">
        <v>28</v>
      </c>
      <c r="E47" t="s">
        <v>24</v>
      </c>
      <c r="F47" t="s">
        <v>39</v>
      </c>
      <c r="G47" t="s">
        <v>30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P47">
        <v>62.4</v>
      </c>
      <c r="R47" t="str">
        <f t="shared" si="0"/>
        <v>Unique</v>
      </c>
      <c r="S47" t="str">
        <f t="shared" si="1"/>
        <v>Valid</v>
      </c>
      <c r="T47" t="str">
        <f t="shared" si="2"/>
        <v>Valid</v>
      </c>
      <c r="U47" t="str">
        <f t="shared" si="3"/>
        <v>Valid</v>
      </c>
      <c r="V47" t="str">
        <f t="shared" si="4"/>
        <v>Valid</v>
      </c>
      <c r="W47" t="str">
        <f t="shared" si="5"/>
        <v>Valid</v>
      </c>
    </row>
    <row r="48" spans="1:23">
      <c r="A48" t="s">
        <v>78</v>
      </c>
      <c r="B48" s="2">
        <v>45782</v>
      </c>
      <c r="C48" t="s">
        <v>17</v>
      </c>
      <c r="D48" t="s">
        <v>23</v>
      </c>
      <c r="E48" t="s">
        <v>19</v>
      </c>
      <c r="F48" t="s">
        <v>25</v>
      </c>
      <c r="G48" t="s">
        <v>26</v>
      </c>
      <c r="H48">
        <v>1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P48">
        <v>58.1</v>
      </c>
      <c r="R48" t="str">
        <f t="shared" si="0"/>
        <v>Unique</v>
      </c>
      <c r="S48" t="str">
        <f t="shared" si="1"/>
        <v>Valid</v>
      </c>
      <c r="T48" t="str">
        <f t="shared" si="2"/>
        <v>Valid</v>
      </c>
      <c r="U48" t="str">
        <f t="shared" si="3"/>
        <v>Valid</v>
      </c>
      <c r="V48" t="str">
        <f t="shared" si="4"/>
        <v>Valid</v>
      </c>
      <c r="W48" t="str">
        <f t="shared" si="5"/>
        <v>Valid</v>
      </c>
    </row>
    <row r="49" spans="1:23">
      <c r="A49" t="s">
        <v>79</v>
      </c>
      <c r="B49" s="2">
        <v>45793</v>
      </c>
      <c r="C49" t="s">
        <v>17</v>
      </c>
      <c r="D49" t="s">
        <v>18</v>
      </c>
      <c r="E49" t="s">
        <v>24</v>
      </c>
      <c r="F49" t="s">
        <v>25</v>
      </c>
      <c r="G49" t="s">
        <v>26</v>
      </c>
      <c r="H49">
        <v>1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P49">
        <v>80.8</v>
      </c>
      <c r="R49" t="str">
        <f t="shared" si="0"/>
        <v>Unique</v>
      </c>
      <c r="S49" t="str">
        <f t="shared" si="1"/>
        <v>Valid</v>
      </c>
      <c r="T49" t="str">
        <f t="shared" si="2"/>
        <v>Valid</v>
      </c>
      <c r="U49" t="str">
        <f t="shared" si="3"/>
        <v>Valid</v>
      </c>
      <c r="V49" t="str">
        <f t="shared" si="4"/>
        <v>Valid</v>
      </c>
      <c r="W49" t="str">
        <f t="shared" si="5"/>
        <v>Valid</v>
      </c>
    </row>
    <row r="50" spans="1:23">
      <c r="A50" t="s">
        <v>80</v>
      </c>
      <c r="B50" s="2">
        <v>45665</v>
      </c>
      <c r="C50" t="s">
        <v>17</v>
      </c>
      <c r="D50" t="s">
        <v>18</v>
      </c>
      <c r="E50" t="s">
        <v>24</v>
      </c>
      <c r="F50" t="s">
        <v>41</v>
      </c>
      <c r="G50" t="s">
        <v>26</v>
      </c>
      <c r="H50">
        <v>1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P50">
        <v>42.9</v>
      </c>
      <c r="R50" t="str">
        <f t="shared" si="0"/>
        <v>Unique</v>
      </c>
      <c r="S50" t="str">
        <f t="shared" si="1"/>
        <v>Valid</v>
      </c>
      <c r="T50" t="str">
        <f t="shared" si="2"/>
        <v>Valid</v>
      </c>
      <c r="U50" t="str">
        <f t="shared" si="3"/>
        <v>Valid</v>
      </c>
      <c r="V50" t="str">
        <f t="shared" si="4"/>
        <v>Valid</v>
      </c>
      <c r="W50" t="str">
        <f t="shared" si="5"/>
        <v>Valid</v>
      </c>
    </row>
    <row r="51" spans="1:23">
      <c r="A51" t="s">
        <v>81</v>
      </c>
      <c r="B51" s="2">
        <v>45663</v>
      </c>
      <c r="C51" t="s">
        <v>17</v>
      </c>
      <c r="D51" t="s">
        <v>23</v>
      </c>
      <c r="E51" t="s">
        <v>19</v>
      </c>
      <c r="F51" t="s">
        <v>29</v>
      </c>
      <c r="G51" t="s">
        <v>26</v>
      </c>
      <c r="H51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P51">
        <v>52.7</v>
      </c>
      <c r="R51" t="str">
        <f t="shared" si="0"/>
        <v>Unique</v>
      </c>
      <c r="S51" t="str">
        <f t="shared" si="1"/>
        <v>Valid</v>
      </c>
      <c r="T51" t="str">
        <f t="shared" si="2"/>
        <v>Valid</v>
      </c>
      <c r="U51" t="str">
        <f t="shared" si="3"/>
        <v>Valid</v>
      </c>
      <c r="V51" t="str">
        <f t="shared" si="4"/>
        <v>Valid</v>
      </c>
      <c r="W51" t="str">
        <f t="shared" si="5"/>
        <v>Valid</v>
      </c>
    </row>
    <row r="52" spans="1:23">
      <c r="A52" t="s">
        <v>82</v>
      </c>
      <c r="B52" s="2">
        <v>45669</v>
      </c>
      <c r="C52" t="s">
        <v>17</v>
      </c>
      <c r="D52" t="s">
        <v>18</v>
      </c>
      <c r="E52" t="s">
        <v>24</v>
      </c>
      <c r="F52" t="s">
        <v>41</v>
      </c>
      <c r="G52" t="s">
        <v>21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P52">
        <v>46.9</v>
      </c>
      <c r="R52" t="str">
        <f t="shared" si="0"/>
        <v>Unique</v>
      </c>
      <c r="S52" t="str">
        <f t="shared" si="1"/>
        <v>Valid</v>
      </c>
      <c r="T52" t="str">
        <f t="shared" si="2"/>
        <v>Valid</v>
      </c>
      <c r="U52" t="str">
        <f t="shared" si="3"/>
        <v>Valid</v>
      </c>
      <c r="V52" t="str">
        <f t="shared" si="4"/>
        <v>Valid</v>
      </c>
      <c r="W52" t="str">
        <f t="shared" si="5"/>
        <v>Valid</v>
      </c>
    </row>
    <row r="53" spans="1:23">
      <c r="A53" t="s">
        <v>83</v>
      </c>
      <c r="B53" s="2">
        <v>45702</v>
      </c>
      <c r="C53" t="s">
        <v>17</v>
      </c>
      <c r="D53" t="s">
        <v>28</v>
      </c>
      <c r="E53" t="s">
        <v>19</v>
      </c>
      <c r="F53" t="s">
        <v>20</v>
      </c>
      <c r="G53" t="s">
        <v>30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P53">
        <v>63</v>
      </c>
      <c r="R53" t="str">
        <f t="shared" si="0"/>
        <v>Unique</v>
      </c>
      <c r="S53" t="str">
        <f t="shared" si="1"/>
        <v>Valid</v>
      </c>
      <c r="T53" t="str">
        <f t="shared" si="2"/>
        <v>Valid</v>
      </c>
      <c r="U53" t="str">
        <f t="shared" si="3"/>
        <v>Valid</v>
      </c>
      <c r="V53" t="str">
        <f t="shared" si="4"/>
        <v>Valid</v>
      </c>
      <c r="W53" t="str">
        <f t="shared" si="5"/>
        <v>Valid</v>
      </c>
    </row>
    <row r="54" spans="1:23">
      <c r="A54" t="s">
        <v>84</v>
      </c>
      <c r="B54" s="2">
        <v>45726</v>
      </c>
      <c r="C54" t="s">
        <v>17</v>
      </c>
      <c r="D54" t="s">
        <v>32</v>
      </c>
      <c r="E54" t="s">
        <v>34</v>
      </c>
      <c r="F54" t="s">
        <v>25</v>
      </c>
      <c r="G54" t="s">
        <v>26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P54">
        <v>53.6</v>
      </c>
      <c r="R54" t="str">
        <f t="shared" si="0"/>
        <v>Unique</v>
      </c>
      <c r="S54" t="str">
        <f t="shared" si="1"/>
        <v>Valid</v>
      </c>
      <c r="T54" t="str">
        <f t="shared" si="2"/>
        <v>Valid</v>
      </c>
      <c r="U54" t="str">
        <f t="shared" si="3"/>
        <v>Valid</v>
      </c>
      <c r="V54" t="str">
        <f t="shared" si="4"/>
        <v>Valid</v>
      </c>
      <c r="W54" t="str">
        <f t="shared" si="5"/>
        <v>Valid</v>
      </c>
    </row>
    <row r="55" spans="1:23">
      <c r="A55" t="s">
        <v>85</v>
      </c>
      <c r="B55" s="2">
        <v>45767</v>
      </c>
      <c r="C55" t="s">
        <v>17</v>
      </c>
      <c r="D55" t="s">
        <v>23</v>
      </c>
      <c r="E55" t="s">
        <v>19</v>
      </c>
      <c r="F55" t="s">
        <v>25</v>
      </c>
      <c r="G55" t="s">
        <v>21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P55">
        <v>49.6</v>
      </c>
      <c r="R55" t="str">
        <f t="shared" si="0"/>
        <v>Unique</v>
      </c>
      <c r="S55" t="str">
        <f t="shared" si="1"/>
        <v>Valid</v>
      </c>
      <c r="T55" t="str">
        <f t="shared" si="2"/>
        <v>Valid</v>
      </c>
      <c r="U55" t="str">
        <f t="shared" si="3"/>
        <v>Valid</v>
      </c>
      <c r="V55" t="str">
        <f t="shared" si="4"/>
        <v>Valid</v>
      </c>
      <c r="W55" t="str">
        <f t="shared" si="5"/>
        <v>Valid</v>
      </c>
    </row>
    <row r="56" spans="1:23">
      <c r="A56" t="s">
        <v>86</v>
      </c>
      <c r="B56" s="2">
        <v>45707</v>
      </c>
      <c r="C56" t="s">
        <v>17</v>
      </c>
      <c r="D56" t="s">
        <v>32</v>
      </c>
      <c r="E56" t="s">
        <v>24</v>
      </c>
      <c r="F56" t="s">
        <v>25</v>
      </c>
      <c r="G56" t="s">
        <v>26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P56">
        <v>54</v>
      </c>
      <c r="R56" t="str">
        <f t="shared" si="0"/>
        <v>Unique</v>
      </c>
      <c r="S56" t="str">
        <f t="shared" si="1"/>
        <v>Valid</v>
      </c>
      <c r="T56" t="str">
        <f t="shared" si="2"/>
        <v>Valid</v>
      </c>
      <c r="U56" t="str">
        <f t="shared" si="3"/>
        <v>Valid</v>
      </c>
      <c r="V56" t="str">
        <f t="shared" si="4"/>
        <v>Valid</v>
      </c>
      <c r="W56" t="str">
        <f t="shared" si="5"/>
        <v>Valid</v>
      </c>
    </row>
    <row r="57" spans="1:23">
      <c r="A57" t="s">
        <v>87</v>
      </c>
      <c r="B57" s="2">
        <v>45794</v>
      </c>
      <c r="C57" t="s">
        <v>17</v>
      </c>
      <c r="D57" t="s">
        <v>32</v>
      </c>
      <c r="E57" t="s">
        <v>24</v>
      </c>
      <c r="F57" t="s">
        <v>41</v>
      </c>
      <c r="G57" t="s">
        <v>21</v>
      </c>
      <c r="H57">
        <v>1</v>
      </c>
      <c r="I57">
        <v>0</v>
      </c>
      <c r="J57">
        <v>0</v>
      </c>
      <c r="K57">
        <v>0</v>
      </c>
      <c r="L57">
        <v>0</v>
      </c>
      <c r="M57">
        <v>2</v>
      </c>
      <c r="N57">
        <v>0</v>
      </c>
      <c r="P57">
        <v>50</v>
      </c>
      <c r="R57" t="str">
        <f t="shared" si="0"/>
        <v>Unique</v>
      </c>
      <c r="S57" t="str">
        <f t="shared" si="1"/>
        <v>Valid</v>
      </c>
      <c r="T57" t="str">
        <f t="shared" si="2"/>
        <v>Valid</v>
      </c>
      <c r="U57" t="str">
        <f t="shared" si="3"/>
        <v>Valid</v>
      </c>
      <c r="V57" t="str">
        <f t="shared" si="4"/>
        <v>Valid</v>
      </c>
      <c r="W57" t="str">
        <f t="shared" si="5"/>
        <v>Valid</v>
      </c>
    </row>
    <row r="58" spans="1:23">
      <c r="A58" t="s">
        <v>88</v>
      </c>
      <c r="B58" s="2">
        <v>45748</v>
      </c>
      <c r="C58" t="s">
        <v>17</v>
      </c>
      <c r="D58" t="s">
        <v>28</v>
      </c>
      <c r="E58" t="s">
        <v>24</v>
      </c>
      <c r="F58" t="s">
        <v>41</v>
      </c>
      <c r="G58" t="s">
        <v>21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P58">
        <v>48.1</v>
      </c>
      <c r="R58" t="str">
        <f t="shared" si="0"/>
        <v>Unique</v>
      </c>
      <c r="S58" t="str">
        <f t="shared" si="1"/>
        <v>Valid</v>
      </c>
      <c r="T58" t="str">
        <f t="shared" si="2"/>
        <v>Valid</v>
      </c>
      <c r="U58" t="str">
        <f t="shared" si="3"/>
        <v>Valid</v>
      </c>
      <c r="V58" t="str">
        <f t="shared" si="4"/>
        <v>Valid</v>
      </c>
      <c r="W58" t="str">
        <f t="shared" si="5"/>
        <v>Valid</v>
      </c>
    </row>
    <row r="59" spans="1:23">
      <c r="A59" t="s">
        <v>89</v>
      </c>
      <c r="B59" s="2">
        <v>45692</v>
      </c>
      <c r="C59" t="s">
        <v>17</v>
      </c>
      <c r="D59" t="s">
        <v>18</v>
      </c>
      <c r="E59" t="s">
        <v>19</v>
      </c>
      <c r="F59" t="s">
        <v>25</v>
      </c>
      <c r="G59" t="s">
        <v>26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P59">
        <v>49.6</v>
      </c>
      <c r="R59" t="str">
        <f t="shared" si="0"/>
        <v>Unique</v>
      </c>
      <c r="S59" t="str">
        <f t="shared" si="1"/>
        <v>Valid</v>
      </c>
      <c r="T59" t="str">
        <f t="shared" si="2"/>
        <v>Valid</v>
      </c>
      <c r="U59" t="str">
        <f t="shared" si="3"/>
        <v>Valid</v>
      </c>
      <c r="V59" t="str">
        <f t="shared" si="4"/>
        <v>Valid</v>
      </c>
      <c r="W59" t="str">
        <f t="shared" si="5"/>
        <v>Valid</v>
      </c>
    </row>
    <row r="60" spans="1:23">
      <c r="A60" t="s">
        <v>90</v>
      </c>
      <c r="B60" s="2">
        <v>45761</v>
      </c>
      <c r="C60" t="s">
        <v>17</v>
      </c>
      <c r="D60" t="s">
        <v>18</v>
      </c>
      <c r="E60" t="s">
        <v>24</v>
      </c>
      <c r="F60" t="s">
        <v>41</v>
      </c>
      <c r="G60" t="s">
        <v>26</v>
      </c>
      <c r="H60">
        <v>0</v>
      </c>
      <c r="I60">
        <v>0</v>
      </c>
      <c r="J60">
        <v>0</v>
      </c>
      <c r="K60">
        <v>0</v>
      </c>
      <c r="L60">
        <v>0</v>
      </c>
      <c r="M60">
        <v>2</v>
      </c>
      <c r="N60">
        <v>0</v>
      </c>
      <c r="P60">
        <v>48.9</v>
      </c>
      <c r="R60" t="str">
        <f t="shared" si="0"/>
        <v>Unique</v>
      </c>
      <c r="S60" t="str">
        <f t="shared" si="1"/>
        <v>Valid</v>
      </c>
      <c r="T60" t="str">
        <f t="shared" si="2"/>
        <v>Valid</v>
      </c>
      <c r="U60" t="str">
        <f t="shared" si="3"/>
        <v>Valid</v>
      </c>
      <c r="V60" t="str">
        <f t="shared" si="4"/>
        <v>Valid</v>
      </c>
      <c r="W60" t="str">
        <f t="shared" si="5"/>
        <v>Valid</v>
      </c>
    </row>
    <row r="61" spans="1:23">
      <c r="A61" t="s">
        <v>91</v>
      </c>
      <c r="B61" s="2">
        <v>45658</v>
      </c>
      <c r="C61" t="s">
        <v>17</v>
      </c>
      <c r="D61" t="s">
        <v>23</v>
      </c>
      <c r="E61" t="s">
        <v>24</v>
      </c>
      <c r="F61" t="s">
        <v>41</v>
      </c>
      <c r="G61" t="s">
        <v>26</v>
      </c>
      <c r="H61">
        <v>1</v>
      </c>
      <c r="I61">
        <v>1</v>
      </c>
      <c r="J61">
        <v>1</v>
      </c>
      <c r="K61">
        <v>1</v>
      </c>
      <c r="L61">
        <v>240.42</v>
      </c>
      <c r="M61">
        <v>0</v>
      </c>
      <c r="N61">
        <v>0</v>
      </c>
      <c r="O61">
        <v>16</v>
      </c>
      <c r="P61">
        <v>56.5</v>
      </c>
      <c r="R61" t="str">
        <f t="shared" si="0"/>
        <v>Unique</v>
      </c>
      <c r="S61" t="str">
        <f t="shared" si="1"/>
        <v>Valid</v>
      </c>
      <c r="T61" t="str">
        <f t="shared" si="2"/>
        <v>Valid</v>
      </c>
      <c r="U61" t="str">
        <f t="shared" si="3"/>
        <v>Valid</v>
      </c>
      <c r="V61" t="str">
        <f t="shared" si="4"/>
        <v>Valid</v>
      </c>
      <c r="W61" t="str">
        <f t="shared" si="5"/>
        <v>Valid</v>
      </c>
    </row>
    <row r="62" spans="1:23">
      <c r="A62" t="s">
        <v>92</v>
      </c>
      <c r="B62" s="2">
        <v>45749</v>
      </c>
      <c r="C62" t="s">
        <v>17</v>
      </c>
      <c r="D62" t="s">
        <v>32</v>
      </c>
      <c r="E62" t="s">
        <v>24</v>
      </c>
      <c r="F62" t="s">
        <v>39</v>
      </c>
      <c r="G62" t="s">
        <v>26</v>
      </c>
      <c r="H62">
        <v>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P62">
        <v>53.7</v>
      </c>
      <c r="R62" t="str">
        <f t="shared" si="0"/>
        <v>Unique</v>
      </c>
      <c r="S62" t="str">
        <f t="shared" si="1"/>
        <v>Valid</v>
      </c>
      <c r="T62" t="str">
        <f t="shared" si="2"/>
        <v>Valid</v>
      </c>
      <c r="U62" t="str">
        <f t="shared" si="3"/>
        <v>Valid</v>
      </c>
      <c r="V62" t="str">
        <f t="shared" si="4"/>
        <v>Valid</v>
      </c>
      <c r="W62" t="str">
        <f t="shared" si="5"/>
        <v>Valid</v>
      </c>
    </row>
    <row r="63" spans="1:23">
      <c r="A63" t="s">
        <v>93</v>
      </c>
      <c r="B63" s="2">
        <v>45745</v>
      </c>
      <c r="C63" t="s">
        <v>17</v>
      </c>
      <c r="D63" t="s">
        <v>18</v>
      </c>
      <c r="E63" t="s">
        <v>24</v>
      </c>
      <c r="F63" t="s">
        <v>41</v>
      </c>
      <c r="G63" t="s">
        <v>30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P63">
        <v>62.2</v>
      </c>
      <c r="R63" t="str">
        <f t="shared" si="0"/>
        <v>Unique</v>
      </c>
      <c r="S63" t="str">
        <f t="shared" si="1"/>
        <v>Valid</v>
      </c>
      <c r="T63" t="str">
        <f t="shared" si="2"/>
        <v>Valid</v>
      </c>
      <c r="U63" t="str">
        <f t="shared" si="3"/>
        <v>Valid</v>
      </c>
      <c r="V63" t="str">
        <f t="shared" si="4"/>
        <v>Valid</v>
      </c>
      <c r="W63" t="str">
        <f t="shared" si="5"/>
        <v>Valid</v>
      </c>
    </row>
    <row r="64" spans="1:23">
      <c r="A64" t="s">
        <v>94</v>
      </c>
      <c r="B64" s="2">
        <v>45792</v>
      </c>
      <c r="C64" t="s">
        <v>17</v>
      </c>
      <c r="D64" t="s">
        <v>32</v>
      </c>
      <c r="E64" t="s">
        <v>19</v>
      </c>
      <c r="F64" t="s">
        <v>25</v>
      </c>
      <c r="G64" t="s">
        <v>26</v>
      </c>
      <c r="H64">
        <v>1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P64">
        <v>50.2</v>
      </c>
      <c r="R64" t="str">
        <f t="shared" si="0"/>
        <v>Unique</v>
      </c>
      <c r="S64" t="str">
        <f t="shared" si="1"/>
        <v>Valid</v>
      </c>
      <c r="T64" t="str">
        <f t="shared" si="2"/>
        <v>Valid</v>
      </c>
      <c r="U64" t="str">
        <f t="shared" si="3"/>
        <v>Valid</v>
      </c>
      <c r="V64" t="str">
        <f t="shared" si="4"/>
        <v>Valid</v>
      </c>
      <c r="W64" t="str">
        <f t="shared" si="5"/>
        <v>Valid</v>
      </c>
    </row>
    <row r="65" spans="1:23">
      <c r="A65" t="s">
        <v>95</v>
      </c>
      <c r="B65" s="2">
        <v>45758</v>
      </c>
      <c r="C65" t="s">
        <v>17</v>
      </c>
      <c r="D65" t="s">
        <v>18</v>
      </c>
      <c r="E65" t="s">
        <v>24</v>
      </c>
      <c r="F65" t="s">
        <v>25</v>
      </c>
      <c r="G65" t="s">
        <v>21</v>
      </c>
      <c r="H65">
        <v>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P65">
        <v>74.3</v>
      </c>
      <c r="R65" t="str">
        <f t="shared" si="0"/>
        <v>Unique</v>
      </c>
      <c r="S65" t="str">
        <f t="shared" si="1"/>
        <v>Valid</v>
      </c>
      <c r="T65" t="str">
        <f t="shared" si="2"/>
        <v>Valid</v>
      </c>
      <c r="U65" t="str">
        <f t="shared" si="3"/>
        <v>Valid</v>
      </c>
      <c r="V65" t="str">
        <f t="shared" si="4"/>
        <v>Valid</v>
      </c>
      <c r="W65" t="str">
        <f t="shared" si="5"/>
        <v>Valid</v>
      </c>
    </row>
    <row r="66" spans="1:23">
      <c r="A66" t="s">
        <v>96</v>
      </c>
      <c r="B66" s="2">
        <v>45723</v>
      </c>
      <c r="C66" t="s">
        <v>17</v>
      </c>
      <c r="D66" t="s">
        <v>32</v>
      </c>
      <c r="E66" t="s">
        <v>19</v>
      </c>
      <c r="F66" t="s">
        <v>29</v>
      </c>
      <c r="G66" t="s">
        <v>26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P66">
        <v>58</v>
      </c>
      <c r="R66" t="str">
        <f t="shared" si="0"/>
        <v>Unique</v>
      </c>
      <c r="S66" t="str">
        <f t="shared" si="1"/>
        <v>Valid</v>
      </c>
      <c r="T66" t="str">
        <f t="shared" si="2"/>
        <v>Valid</v>
      </c>
      <c r="U66" t="str">
        <f t="shared" si="3"/>
        <v>Valid</v>
      </c>
      <c r="V66" t="str">
        <f t="shared" si="4"/>
        <v>Valid</v>
      </c>
      <c r="W66" t="str">
        <f t="shared" si="5"/>
        <v>Valid</v>
      </c>
    </row>
    <row r="67" spans="1:23">
      <c r="A67" t="s">
        <v>97</v>
      </c>
      <c r="B67" s="2">
        <v>45807</v>
      </c>
      <c r="C67" t="s">
        <v>17</v>
      </c>
      <c r="D67" t="s">
        <v>32</v>
      </c>
      <c r="E67" t="s">
        <v>24</v>
      </c>
      <c r="F67" t="s">
        <v>25</v>
      </c>
      <c r="G67" t="s">
        <v>26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P67">
        <v>46.7</v>
      </c>
      <c r="R67" t="str">
        <f t="shared" ref="R67:R130" si="6">IF(COUNTIF($A:$A,A67)&gt;1,"Duplicate","Unique")</f>
        <v>Unique</v>
      </c>
      <c r="S67" t="str">
        <f t="shared" ref="S67:S130" si="7">IF(OR(H67=0,H67=1),"Valid","Invalid")</f>
        <v>Valid</v>
      </c>
      <c r="T67" t="str">
        <f t="shared" ref="T67:T130" si="8">IF(OR(I67=0,I67=1),"Valid","Invalid")</f>
        <v>Valid</v>
      </c>
      <c r="U67" t="str">
        <f t="shared" ref="U67:U130" si="9">IF(OR(J67=0,J67=1),"Valid","Invalid")</f>
        <v>Valid</v>
      </c>
      <c r="V67" t="str">
        <f t="shared" ref="V67:V130" si="10">IF(OR(K67=0,K67=1),"Valid","Invalid")</f>
        <v>Valid</v>
      </c>
      <c r="W67" t="str">
        <f t="shared" ref="W67:W130" si="11">IF(OR(N67=0,N67=1),"Valid","Invalid")</f>
        <v>Valid</v>
      </c>
    </row>
    <row r="68" spans="1:23">
      <c r="A68" t="s">
        <v>98</v>
      </c>
      <c r="B68" s="2">
        <v>45664</v>
      </c>
      <c r="C68" t="s">
        <v>17</v>
      </c>
      <c r="D68" t="s">
        <v>32</v>
      </c>
      <c r="E68" t="s">
        <v>19</v>
      </c>
      <c r="F68" t="s">
        <v>25</v>
      </c>
      <c r="G68" t="s">
        <v>30</v>
      </c>
      <c r="H68">
        <v>1</v>
      </c>
      <c r="I68">
        <v>0</v>
      </c>
      <c r="J68">
        <v>0</v>
      </c>
      <c r="K68">
        <v>0</v>
      </c>
      <c r="L68">
        <v>0</v>
      </c>
      <c r="M68">
        <v>1</v>
      </c>
      <c r="N68">
        <v>0</v>
      </c>
      <c r="P68">
        <v>49.6</v>
      </c>
      <c r="R68" t="str">
        <f t="shared" si="6"/>
        <v>Unique</v>
      </c>
      <c r="S68" t="str">
        <f t="shared" si="7"/>
        <v>Valid</v>
      </c>
      <c r="T68" t="str">
        <f t="shared" si="8"/>
        <v>Valid</v>
      </c>
      <c r="U68" t="str">
        <f t="shared" si="9"/>
        <v>Valid</v>
      </c>
      <c r="V68" t="str">
        <f t="shared" si="10"/>
        <v>Valid</v>
      </c>
      <c r="W68" t="str">
        <f t="shared" si="11"/>
        <v>Valid</v>
      </c>
    </row>
    <row r="69" spans="1:23">
      <c r="A69" t="s">
        <v>99</v>
      </c>
      <c r="B69" s="2">
        <v>45785</v>
      </c>
      <c r="C69" t="s">
        <v>17</v>
      </c>
      <c r="D69" t="s">
        <v>23</v>
      </c>
      <c r="E69" t="s">
        <v>24</v>
      </c>
      <c r="F69" t="s">
        <v>41</v>
      </c>
      <c r="G69" t="s">
        <v>26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P69">
        <v>60.4</v>
      </c>
      <c r="R69" t="str">
        <f t="shared" si="6"/>
        <v>Unique</v>
      </c>
      <c r="S69" t="str">
        <f t="shared" si="7"/>
        <v>Valid</v>
      </c>
      <c r="T69" t="str">
        <f t="shared" si="8"/>
        <v>Valid</v>
      </c>
      <c r="U69" t="str">
        <f t="shared" si="9"/>
        <v>Valid</v>
      </c>
      <c r="V69" t="str">
        <f t="shared" si="10"/>
        <v>Valid</v>
      </c>
      <c r="W69" t="str">
        <f t="shared" si="11"/>
        <v>Valid</v>
      </c>
    </row>
    <row r="70" spans="1:23">
      <c r="A70" t="s">
        <v>100</v>
      </c>
      <c r="B70" s="2">
        <v>45735</v>
      </c>
      <c r="C70" t="s">
        <v>17</v>
      </c>
      <c r="D70" t="s">
        <v>28</v>
      </c>
      <c r="E70" t="s">
        <v>19</v>
      </c>
      <c r="F70" t="s">
        <v>20</v>
      </c>
      <c r="G70" t="s">
        <v>26</v>
      </c>
      <c r="H70">
        <v>1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P70">
        <v>55.3</v>
      </c>
      <c r="R70" t="str">
        <f t="shared" si="6"/>
        <v>Unique</v>
      </c>
      <c r="S70" t="str">
        <f t="shared" si="7"/>
        <v>Valid</v>
      </c>
      <c r="T70" t="str">
        <f t="shared" si="8"/>
        <v>Valid</v>
      </c>
      <c r="U70" t="str">
        <f t="shared" si="9"/>
        <v>Valid</v>
      </c>
      <c r="V70" t="str">
        <f t="shared" si="10"/>
        <v>Valid</v>
      </c>
      <c r="W70" t="str">
        <f t="shared" si="11"/>
        <v>Valid</v>
      </c>
    </row>
    <row r="71" spans="1:23">
      <c r="A71" t="s">
        <v>101</v>
      </c>
      <c r="B71" s="2">
        <v>45793</v>
      </c>
      <c r="C71" t="s">
        <v>17</v>
      </c>
      <c r="D71" t="s">
        <v>18</v>
      </c>
      <c r="E71" t="s">
        <v>19</v>
      </c>
      <c r="F71" t="s">
        <v>25</v>
      </c>
      <c r="G71" t="s">
        <v>26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P71">
        <v>56.2</v>
      </c>
      <c r="R71" t="str">
        <f t="shared" si="6"/>
        <v>Unique</v>
      </c>
      <c r="S71" t="str">
        <f t="shared" si="7"/>
        <v>Valid</v>
      </c>
      <c r="T71" t="str">
        <f t="shared" si="8"/>
        <v>Valid</v>
      </c>
      <c r="U71" t="str">
        <f t="shared" si="9"/>
        <v>Valid</v>
      </c>
      <c r="V71" t="str">
        <f t="shared" si="10"/>
        <v>Valid</v>
      </c>
      <c r="W71" t="str">
        <f t="shared" si="11"/>
        <v>Valid</v>
      </c>
    </row>
    <row r="72" spans="1:23">
      <c r="A72" t="s">
        <v>102</v>
      </c>
      <c r="B72" s="2">
        <v>45724</v>
      </c>
      <c r="C72" t="s">
        <v>17</v>
      </c>
      <c r="D72" t="s">
        <v>23</v>
      </c>
      <c r="E72" t="s">
        <v>24</v>
      </c>
      <c r="F72" t="s">
        <v>20</v>
      </c>
      <c r="G72" t="s">
        <v>26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P72">
        <v>29.4</v>
      </c>
      <c r="R72" t="str">
        <f t="shared" si="6"/>
        <v>Unique</v>
      </c>
      <c r="S72" t="str">
        <f t="shared" si="7"/>
        <v>Valid</v>
      </c>
      <c r="T72" t="str">
        <f t="shared" si="8"/>
        <v>Valid</v>
      </c>
      <c r="U72" t="str">
        <f t="shared" si="9"/>
        <v>Valid</v>
      </c>
      <c r="V72" t="str">
        <f t="shared" si="10"/>
        <v>Valid</v>
      </c>
      <c r="W72" t="str">
        <f t="shared" si="11"/>
        <v>Valid</v>
      </c>
    </row>
    <row r="73" spans="1:23">
      <c r="A73" t="s">
        <v>103</v>
      </c>
      <c r="B73" s="2">
        <v>45724</v>
      </c>
      <c r="C73" t="s">
        <v>17</v>
      </c>
      <c r="D73" t="s">
        <v>28</v>
      </c>
      <c r="E73" t="s">
        <v>24</v>
      </c>
      <c r="F73" t="s">
        <v>20</v>
      </c>
      <c r="G73" t="s">
        <v>26</v>
      </c>
      <c r="H73">
        <v>1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P73">
        <v>54.2</v>
      </c>
      <c r="R73" t="str">
        <f t="shared" si="6"/>
        <v>Unique</v>
      </c>
      <c r="S73" t="str">
        <f t="shared" si="7"/>
        <v>Valid</v>
      </c>
      <c r="T73" t="str">
        <f t="shared" si="8"/>
        <v>Valid</v>
      </c>
      <c r="U73" t="str">
        <f t="shared" si="9"/>
        <v>Valid</v>
      </c>
      <c r="V73" t="str">
        <f t="shared" si="10"/>
        <v>Valid</v>
      </c>
      <c r="W73" t="str">
        <f t="shared" si="11"/>
        <v>Valid</v>
      </c>
    </row>
    <row r="74" spans="1:23">
      <c r="A74" t="s">
        <v>104</v>
      </c>
      <c r="B74" s="2">
        <v>45671</v>
      </c>
      <c r="C74" t="s">
        <v>17</v>
      </c>
      <c r="D74" t="s">
        <v>28</v>
      </c>
      <c r="E74" t="s">
        <v>19</v>
      </c>
      <c r="F74" t="s">
        <v>29</v>
      </c>
      <c r="G74" t="s">
        <v>21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P74">
        <v>46.4</v>
      </c>
      <c r="R74" t="str">
        <f t="shared" si="6"/>
        <v>Unique</v>
      </c>
      <c r="S74" t="str">
        <f t="shared" si="7"/>
        <v>Valid</v>
      </c>
      <c r="T74" t="str">
        <f t="shared" si="8"/>
        <v>Valid</v>
      </c>
      <c r="U74" t="str">
        <f t="shared" si="9"/>
        <v>Valid</v>
      </c>
      <c r="V74" t="str">
        <f t="shared" si="10"/>
        <v>Valid</v>
      </c>
      <c r="W74" t="str">
        <f t="shared" si="11"/>
        <v>Valid</v>
      </c>
    </row>
    <row r="75" spans="1:23">
      <c r="A75" t="s">
        <v>105</v>
      </c>
      <c r="B75" s="2">
        <v>45698</v>
      </c>
      <c r="C75" t="s">
        <v>17</v>
      </c>
      <c r="D75" t="s">
        <v>32</v>
      </c>
      <c r="E75" t="s">
        <v>24</v>
      </c>
      <c r="F75" t="s">
        <v>29</v>
      </c>
      <c r="G75" t="s">
        <v>21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P75">
        <v>54.5</v>
      </c>
      <c r="R75" t="str">
        <f t="shared" si="6"/>
        <v>Unique</v>
      </c>
      <c r="S75" t="str">
        <f t="shared" si="7"/>
        <v>Valid</v>
      </c>
      <c r="T75" t="str">
        <f t="shared" si="8"/>
        <v>Valid</v>
      </c>
      <c r="U75" t="str">
        <f t="shared" si="9"/>
        <v>Valid</v>
      </c>
      <c r="V75" t="str">
        <f t="shared" si="10"/>
        <v>Valid</v>
      </c>
      <c r="W75" t="str">
        <f t="shared" si="11"/>
        <v>Valid</v>
      </c>
    </row>
    <row r="76" spans="1:23">
      <c r="A76" t="s">
        <v>106</v>
      </c>
      <c r="B76" s="2">
        <v>45733</v>
      </c>
      <c r="C76" t="s">
        <v>17</v>
      </c>
      <c r="D76" t="s">
        <v>18</v>
      </c>
      <c r="E76" t="s">
        <v>24</v>
      </c>
      <c r="F76" t="s">
        <v>25</v>
      </c>
      <c r="G76" t="s">
        <v>26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P76">
        <v>58.5</v>
      </c>
      <c r="R76" t="str">
        <f t="shared" si="6"/>
        <v>Unique</v>
      </c>
      <c r="S76" t="str">
        <f t="shared" si="7"/>
        <v>Valid</v>
      </c>
      <c r="T76" t="str">
        <f t="shared" si="8"/>
        <v>Valid</v>
      </c>
      <c r="U76" t="str">
        <f t="shared" si="9"/>
        <v>Valid</v>
      </c>
      <c r="V76" t="str">
        <f t="shared" si="10"/>
        <v>Valid</v>
      </c>
      <c r="W76" t="str">
        <f t="shared" si="11"/>
        <v>Valid</v>
      </c>
    </row>
    <row r="77" spans="1:23">
      <c r="A77" t="s">
        <v>107</v>
      </c>
      <c r="B77" s="2">
        <v>45666</v>
      </c>
      <c r="C77" t="s">
        <v>17</v>
      </c>
      <c r="D77" t="s">
        <v>32</v>
      </c>
      <c r="E77" t="s">
        <v>24</v>
      </c>
      <c r="F77" t="s">
        <v>20</v>
      </c>
      <c r="G77" t="s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P77">
        <v>75.900000000000006</v>
      </c>
      <c r="R77" t="str">
        <f t="shared" si="6"/>
        <v>Unique</v>
      </c>
      <c r="S77" t="str">
        <f t="shared" si="7"/>
        <v>Valid</v>
      </c>
      <c r="T77" t="str">
        <f t="shared" si="8"/>
        <v>Valid</v>
      </c>
      <c r="U77" t="str">
        <f t="shared" si="9"/>
        <v>Valid</v>
      </c>
      <c r="V77" t="str">
        <f t="shared" si="10"/>
        <v>Valid</v>
      </c>
      <c r="W77" t="str">
        <f t="shared" si="11"/>
        <v>Valid</v>
      </c>
    </row>
    <row r="78" spans="1:23">
      <c r="A78" t="s">
        <v>108</v>
      </c>
      <c r="B78" s="2">
        <v>45764</v>
      </c>
      <c r="C78" t="s">
        <v>17</v>
      </c>
      <c r="D78" t="s">
        <v>18</v>
      </c>
      <c r="E78" t="s">
        <v>24</v>
      </c>
      <c r="F78" t="s">
        <v>39</v>
      </c>
      <c r="G78" t="s">
        <v>26</v>
      </c>
      <c r="H78">
        <v>0</v>
      </c>
      <c r="I78">
        <v>0</v>
      </c>
      <c r="J78">
        <v>0</v>
      </c>
      <c r="K78">
        <v>0</v>
      </c>
      <c r="L78">
        <v>0</v>
      </c>
      <c r="M78">
        <v>1</v>
      </c>
      <c r="N78">
        <v>0</v>
      </c>
      <c r="P78">
        <v>84.9</v>
      </c>
      <c r="R78" t="str">
        <f t="shared" si="6"/>
        <v>Unique</v>
      </c>
      <c r="S78" t="str">
        <f t="shared" si="7"/>
        <v>Valid</v>
      </c>
      <c r="T78" t="str">
        <f t="shared" si="8"/>
        <v>Valid</v>
      </c>
      <c r="U78" t="str">
        <f t="shared" si="9"/>
        <v>Valid</v>
      </c>
      <c r="V78" t="str">
        <f t="shared" si="10"/>
        <v>Valid</v>
      </c>
      <c r="W78" t="str">
        <f t="shared" si="11"/>
        <v>Valid</v>
      </c>
    </row>
    <row r="79" spans="1:23">
      <c r="A79" t="s">
        <v>109</v>
      </c>
      <c r="B79" s="2">
        <v>45673</v>
      </c>
      <c r="C79" t="s">
        <v>17</v>
      </c>
      <c r="D79" t="s">
        <v>18</v>
      </c>
      <c r="E79" t="s">
        <v>24</v>
      </c>
      <c r="F79" t="s">
        <v>25</v>
      </c>
      <c r="G79" t="s">
        <v>26</v>
      </c>
      <c r="H79">
        <v>0</v>
      </c>
      <c r="I79">
        <v>0</v>
      </c>
      <c r="J79">
        <v>0</v>
      </c>
      <c r="K79">
        <v>0</v>
      </c>
      <c r="L79">
        <v>0</v>
      </c>
      <c r="M79">
        <v>2</v>
      </c>
      <c r="N79">
        <v>0</v>
      </c>
      <c r="P79">
        <v>48.4</v>
      </c>
      <c r="R79" t="str">
        <f t="shared" si="6"/>
        <v>Unique</v>
      </c>
      <c r="S79" t="str">
        <f t="shared" si="7"/>
        <v>Valid</v>
      </c>
      <c r="T79" t="str">
        <f t="shared" si="8"/>
        <v>Valid</v>
      </c>
      <c r="U79" t="str">
        <f t="shared" si="9"/>
        <v>Valid</v>
      </c>
      <c r="V79" t="str">
        <f t="shared" si="10"/>
        <v>Valid</v>
      </c>
      <c r="W79" t="str">
        <f t="shared" si="11"/>
        <v>Valid</v>
      </c>
    </row>
    <row r="80" spans="1:23">
      <c r="A80" t="s">
        <v>110</v>
      </c>
      <c r="B80" s="2">
        <v>45708</v>
      </c>
      <c r="C80" t="s">
        <v>17</v>
      </c>
      <c r="D80" t="s">
        <v>23</v>
      </c>
      <c r="E80" t="s">
        <v>19</v>
      </c>
      <c r="F80" t="s">
        <v>25</v>
      </c>
      <c r="G80" t="s">
        <v>26</v>
      </c>
      <c r="H80">
        <v>1</v>
      </c>
      <c r="I80">
        <v>1</v>
      </c>
      <c r="J80">
        <v>1</v>
      </c>
      <c r="K80">
        <v>1</v>
      </c>
      <c r="L80">
        <v>457.51</v>
      </c>
      <c r="M80">
        <v>0</v>
      </c>
      <c r="N80">
        <v>0</v>
      </c>
      <c r="O80">
        <v>7</v>
      </c>
      <c r="P80">
        <v>38</v>
      </c>
      <c r="R80" t="str">
        <f t="shared" si="6"/>
        <v>Unique</v>
      </c>
      <c r="S80" t="str">
        <f t="shared" si="7"/>
        <v>Valid</v>
      </c>
      <c r="T80" t="str">
        <f t="shared" si="8"/>
        <v>Valid</v>
      </c>
      <c r="U80" t="str">
        <f t="shared" si="9"/>
        <v>Valid</v>
      </c>
      <c r="V80" t="str">
        <f t="shared" si="10"/>
        <v>Valid</v>
      </c>
      <c r="W80" t="str">
        <f t="shared" si="11"/>
        <v>Valid</v>
      </c>
    </row>
    <row r="81" spans="1:23">
      <c r="A81" t="s">
        <v>111</v>
      </c>
      <c r="B81" s="2">
        <v>45798</v>
      </c>
      <c r="C81" t="s">
        <v>17</v>
      </c>
      <c r="D81" t="s">
        <v>28</v>
      </c>
      <c r="E81" t="s">
        <v>24</v>
      </c>
      <c r="F81" t="s">
        <v>41</v>
      </c>
      <c r="G81" t="s">
        <v>26</v>
      </c>
      <c r="H81">
        <v>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P81">
        <v>44.2</v>
      </c>
      <c r="R81" t="str">
        <f t="shared" si="6"/>
        <v>Unique</v>
      </c>
      <c r="S81" t="str">
        <f t="shared" si="7"/>
        <v>Valid</v>
      </c>
      <c r="T81" t="str">
        <f t="shared" si="8"/>
        <v>Valid</v>
      </c>
      <c r="U81" t="str">
        <f t="shared" si="9"/>
        <v>Valid</v>
      </c>
      <c r="V81" t="str">
        <f t="shared" si="10"/>
        <v>Valid</v>
      </c>
      <c r="W81" t="str">
        <f t="shared" si="11"/>
        <v>Valid</v>
      </c>
    </row>
    <row r="82" spans="1:23">
      <c r="A82" t="s">
        <v>112</v>
      </c>
      <c r="B82" s="2">
        <v>45785</v>
      </c>
      <c r="C82" t="s">
        <v>17</v>
      </c>
      <c r="D82" t="s">
        <v>32</v>
      </c>
      <c r="E82" t="s">
        <v>24</v>
      </c>
      <c r="F82" t="s">
        <v>25</v>
      </c>
      <c r="G82" t="s">
        <v>26</v>
      </c>
      <c r="H82">
        <v>1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P82">
        <v>81.2</v>
      </c>
      <c r="R82" t="str">
        <f t="shared" si="6"/>
        <v>Unique</v>
      </c>
      <c r="S82" t="str">
        <f t="shared" si="7"/>
        <v>Valid</v>
      </c>
      <c r="T82" t="str">
        <f t="shared" si="8"/>
        <v>Valid</v>
      </c>
      <c r="U82" t="str">
        <f t="shared" si="9"/>
        <v>Valid</v>
      </c>
      <c r="V82" t="str">
        <f t="shared" si="10"/>
        <v>Valid</v>
      </c>
      <c r="W82" t="str">
        <f t="shared" si="11"/>
        <v>Valid</v>
      </c>
    </row>
    <row r="83" spans="1:23">
      <c r="A83" t="s">
        <v>113</v>
      </c>
      <c r="B83" s="2">
        <v>45724</v>
      </c>
      <c r="C83" t="s">
        <v>17</v>
      </c>
      <c r="D83" t="s">
        <v>32</v>
      </c>
      <c r="E83" t="s">
        <v>24</v>
      </c>
      <c r="F83" t="s">
        <v>39</v>
      </c>
      <c r="G83" t="s">
        <v>26</v>
      </c>
      <c r="H83">
        <v>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P83">
        <v>63.8</v>
      </c>
      <c r="R83" t="str">
        <f t="shared" si="6"/>
        <v>Unique</v>
      </c>
      <c r="S83" t="str">
        <f t="shared" si="7"/>
        <v>Valid</v>
      </c>
      <c r="T83" t="str">
        <f t="shared" si="8"/>
        <v>Valid</v>
      </c>
      <c r="U83" t="str">
        <f t="shared" si="9"/>
        <v>Valid</v>
      </c>
      <c r="V83" t="str">
        <f t="shared" si="10"/>
        <v>Valid</v>
      </c>
      <c r="W83" t="str">
        <f t="shared" si="11"/>
        <v>Valid</v>
      </c>
    </row>
    <row r="84" spans="1:23">
      <c r="A84" t="s">
        <v>114</v>
      </c>
      <c r="B84" s="2">
        <v>45748</v>
      </c>
      <c r="C84" t="s">
        <v>17</v>
      </c>
      <c r="D84" t="s">
        <v>32</v>
      </c>
      <c r="E84" t="s">
        <v>19</v>
      </c>
      <c r="F84" t="s">
        <v>20</v>
      </c>
      <c r="G84" t="s">
        <v>26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P84">
        <v>64.7</v>
      </c>
      <c r="R84" t="str">
        <f t="shared" si="6"/>
        <v>Unique</v>
      </c>
      <c r="S84" t="str">
        <f t="shared" si="7"/>
        <v>Valid</v>
      </c>
      <c r="T84" t="str">
        <f t="shared" si="8"/>
        <v>Valid</v>
      </c>
      <c r="U84" t="str">
        <f t="shared" si="9"/>
        <v>Valid</v>
      </c>
      <c r="V84" t="str">
        <f t="shared" si="10"/>
        <v>Valid</v>
      </c>
      <c r="W84" t="str">
        <f t="shared" si="11"/>
        <v>Valid</v>
      </c>
    </row>
    <row r="85" spans="1:23">
      <c r="A85" t="s">
        <v>115</v>
      </c>
      <c r="B85" s="2">
        <v>45719</v>
      </c>
      <c r="C85" t="s">
        <v>17</v>
      </c>
      <c r="D85" t="s">
        <v>23</v>
      </c>
      <c r="E85" t="s">
        <v>24</v>
      </c>
      <c r="F85" t="s">
        <v>41</v>
      </c>
      <c r="G85" t="s">
        <v>21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P85">
        <v>60.4</v>
      </c>
      <c r="R85" t="str">
        <f t="shared" si="6"/>
        <v>Unique</v>
      </c>
      <c r="S85" t="str">
        <f t="shared" si="7"/>
        <v>Valid</v>
      </c>
      <c r="T85" t="str">
        <f t="shared" si="8"/>
        <v>Valid</v>
      </c>
      <c r="U85" t="str">
        <f t="shared" si="9"/>
        <v>Valid</v>
      </c>
      <c r="V85" t="str">
        <f t="shared" si="10"/>
        <v>Valid</v>
      </c>
      <c r="W85" t="str">
        <f t="shared" si="11"/>
        <v>Valid</v>
      </c>
    </row>
    <row r="86" spans="1:23">
      <c r="A86" t="s">
        <v>116</v>
      </c>
      <c r="B86" s="2">
        <v>45763</v>
      </c>
      <c r="C86" t="s">
        <v>17</v>
      </c>
      <c r="D86" t="s">
        <v>32</v>
      </c>
      <c r="E86" t="s">
        <v>24</v>
      </c>
      <c r="F86" t="s">
        <v>29</v>
      </c>
      <c r="G86" t="s">
        <v>26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66.599999999999994</v>
      </c>
      <c r="R86" t="str">
        <f t="shared" si="6"/>
        <v>Unique</v>
      </c>
      <c r="S86" t="str">
        <f t="shared" si="7"/>
        <v>Valid</v>
      </c>
      <c r="T86" t="str">
        <f t="shared" si="8"/>
        <v>Valid</v>
      </c>
      <c r="U86" t="str">
        <f t="shared" si="9"/>
        <v>Valid</v>
      </c>
      <c r="V86" t="str">
        <f t="shared" si="10"/>
        <v>Valid</v>
      </c>
      <c r="W86" t="str">
        <f t="shared" si="11"/>
        <v>Valid</v>
      </c>
    </row>
    <row r="87" spans="1:23">
      <c r="A87" t="s">
        <v>117</v>
      </c>
      <c r="B87" s="2">
        <v>45666</v>
      </c>
      <c r="C87" t="s">
        <v>17</v>
      </c>
      <c r="D87" t="s">
        <v>18</v>
      </c>
      <c r="E87" t="s">
        <v>19</v>
      </c>
      <c r="F87" t="s">
        <v>25</v>
      </c>
      <c r="G87" t="s">
        <v>26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50.9</v>
      </c>
      <c r="R87" t="str">
        <f t="shared" si="6"/>
        <v>Unique</v>
      </c>
      <c r="S87" t="str">
        <f t="shared" si="7"/>
        <v>Valid</v>
      </c>
      <c r="T87" t="str">
        <f t="shared" si="8"/>
        <v>Valid</v>
      </c>
      <c r="U87" t="str">
        <f t="shared" si="9"/>
        <v>Valid</v>
      </c>
      <c r="V87" t="str">
        <f t="shared" si="10"/>
        <v>Valid</v>
      </c>
      <c r="W87" t="str">
        <f t="shared" si="11"/>
        <v>Valid</v>
      </c>
    </row>
    <row r="88" spans="1:23">
      <c r="A88" t="s">
        <v>118</v>
      </c>
      <c r="B88" s="2">
        <v>45679</v>
      </c>
      <c r="C88" t="s">
        <v>17</v>
      </c>
      <c r="D88" t="s">
        <v>23</v>
      </c>
      <c r="E88" t="s">
        <v>19</v>
      </c>
      <c r="F88" t="s">
        <v>41</v>
      </c>
      <c r="G88" t="s">
        <v>21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51</v>
      </c>
      <c r="R88" t="str">
        <f t="shared" si="6"/>
        <v>Unique</v>
      </c>
      <c r="S88" t="str">
        <f t="shared" si="7"/>
        <v>Valid</v>
      </c>
      <c r="T88" t="str">
        <f t="shared" si="8"/>
        <v>Valid</v>
      </c>
      <c r="U88" t="str">
        <f t="shared" si="9"/>
        <v>Valid</v>
      </c>
      <c r="V88" t="str">
        <f t="shared" si="10"/>
        <v>Valid</v>
      </c>
      <c r="W88" t="str">
        <f t="shared" si="11"/>
        <v>Valid</v>
      </c>
    </row>
    <row r="89" spans="1:23">
      <c r="A89" t="s">
        <v>119</v>
      </c>
      <c r="B89" s="2">
        <v>45777</v>
      </c>
      <c r="C89" t="s">
        <v>17</v>
      </c>
      <c r="D89" t="s">
        <v>32</v>
      </c>
      <c r="E89" t="s">
        <v>24</v>
      </c>
      <c r="F89" t="s">
        <v>20</v>
      </c>
      <c r="G89" t="s">
        <v>30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65.8</v>
      </c>
      <c r="R89" t="str">
        <f t="shared" si="6"/>
        <v>Unique</v>
      </c>
      <c r="S89" t="str">
        <f t="shared" si="7"/>
        <v>Valid</v>
      </c>
      <c r="T89" t="str">
        <f t="shared" si="8"/>
        <v>Valid</v>
      </c>
      <c r="U89" t="str">
        <f t="shared" si="9"/>
        <v>Valid</v>
      </c>
      <c r="V89" t="str">
        <f t="shared" si="10"/>
        <v>Valid</v>
      </c>
      <c r="W89" t="str">
        <f t="shared" si="11"/>
        <v>Valid</v>
      </c>
    </row>
    <row r="90" spans="1:23">
      <c r="A90" t="s">
        <v>120</v>
      </c>
      <c r="B90" s="2">
        <v>45772</v>
      </c>
      <c r="C90" t="s">
        <v>17</v>
      </c>
      <c r="D90" t="s">
        <v>18</v>
      </c>
      <c r="E90" t="s">
        <v>24</v>
      </c>
      <c r="F90" t="s">
        <v>39</v>
      </c>
      <c r="G90" t="s">
        <v>21</v>
      </c>
      <c r="H90">
        <v>1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P90">
        <v>61.8</v>
      </c>
      <c r="R90" t="str">
        <f t="shared" si="6"/>
        <v>Unique</v>
      </c>
      <c r="S90" t="str">
        <f t="shared" si="7"/>
        <v>Valid</v>
      </c>
      <c r="T90" t="str">
        <f t="shared" si="8"/>
        <v>Valid</v>
      </c>
      <c r="U90" t="str">
        <f t="shared" si="9"/>
        <v>Valid</v>
      </c>
      <c r="V90" t="str">
        <f t="shared" si="10"/>
        <v>Valid</v>
      </c>
      <c r="W90" t="str">
        <f t="shared" si="11"/>
        <v>Valid</v>
      </c>
    </row>
    <row r="91" spans="1:23">
      <c r="A91" t="s">
        <v>121</v>
      </c>
      <c r="B91" s="2">
        <v>45689</v>
      </c>
      <c r="C91" t="s">
        <v>17</v>
      </c>
      <c r="D91" t="s">
        <v>18</v>
      </c>
      <c r="E91" t="s">
        <v>24</v>
      </c>
      <c r="F91" t="s">
        <v>25</v>
      </c>
      <c r="G91" t="s">
        <v>21</v>
      </c>
      <c r="H91">
        <v>1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P91">
        <v>54.5</v>
      </c>
      <c r="R91" t="str">
        <f t="shared" si="6"/>
        <v>Unique</v>
      </c>
      <c r="S91" t="str">
        <f t="shared" si="7"/>
        <v>Valid</v>
      </c>
      <c r="T91" t="str">
        <f t="shared" si="8"/>
        <v>Valid</v>
      </c>
      <c r="U91" t="str">
        <f t="shared" si="9"/>
        <v>Valid</v>
      </c>
      <c r="V91" t="str">
        <f t="shared" si="10"/>
        <v>Valid</v>
      </c>
      <c r="W91" t="str">
        <f t="shared" si="11"/>
        <v>Valid</v>
      </c>
    </row>
    <row r="92" spans="1:23">
      <c r="A92" t="s">
        <v>122</v>
      </c>
      <c r="B92" s="2">
        <v>45770</v>
      </c>
      <c r="C92" t="s">
        <v>17</v>
      </c>
      <c r="D92" t="s">
        <v>32</v>
      </c>
      <c r="E92" t="s">
        <v>19</v>
      </c>
      <c r="F92" t="s">
        <v>25</v>
      </c>
      <c r="G92" t="s">
        <v>26</v>
      </c>
      <c r="H92">
        <v>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P92">
        <v>72.2</v>
      </c>
      <c r="R92" t="str">
        <f t="shared" si="6"/>
        <v>Unique</v>
      </c>
      <c r="S92" t="str">
        <f t="shared" si="7"/>
        <v>Valid</v>
      </c>
      <c r="T92" t="str">
        <f t="shared" si="8"/>
        <v>Valid</v>
      </c>
      <c r="U92" t="str">
        <f t="shared" si="9"/>
        <v>Valid</v>
      </c>
      <c r="V92" t="str">
        <f t="shared" si="10"/>
        <v>Valid</v>
      </c>
      <c r="W92" t="str">
        <f t="shared" si="11"/>
        <v>Valid</v>
      </c>
    </row>
    <row r="93" spans="1:23">
      <c r="A93" t="s">
        <v>123</v>
      </c>
      <c r="B93" s="2">
        <v>45715</v>
      </c>
      <c r="C93" t="s">
        <v>17</v>
      </c>
      <c r="D93" t="s">
        <v>32</v>
      </c>
      <c r="E93" t="s">
        <v>24</v>
      </c>
      <c r="F93" t="s">
        <v>41</v>
      </c>
      <c r="G93" t="s">
        <v>26</v>
      </c>
      <c r="H93">
        <v>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P93">
        <v>42.3</v>
      </c>
      <c r="R93" t="str">
        <f t="shared" si="6"/>
        <v>Unique</v>
      </c>
      <c r="S93" t="str">
        <f t="shared" si="7"/>
        <v>Valid</v>
      </c>
      <c r="T93" t="str">
        <f t="shared" si="8"/>
        <v>Valid</v>
      </c>
      <c r="U93" t="str">
        <f t="shared" si="9"/>
        <v>Valid</v>
      </c>
      <c r="V93" t="str">
        <f t="shared" si="10"/>
        <v>Valid</v>
      </c>
      <c r="W93" t="str">
        <f t="shared" si="11"/>
        <v>Valid</v>
      </c>
    </row>
    <row r="94" spans="1:23">
      <c r="A94" t="s">
        <v>124</v>
      </c>
      <c r="B94" s="2">
        <v>45756</v>
      </c>
      <c r="C94" t="s">
        <v>17</v>
      </c>
      <c r="D94" t="s">
        <v>28</v>
      </c>
      <c r="E94" t="s">
        <v>19</v>
      </c>
      <c r="F94" t="s">
        <v>25</v>
      </c>
      <c r="G94" t="s">
        <v>21</v>
      </c>
      <c r="H94">
        <v>1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P94">
        <v>76.2</v>
      </c>
      <c r="R94" t="str">
        <f t="shared" si="6"/>
        <v>Unique</v>
      </c>
      <c r="S94" t="str">
        <f t="shared" si="7"/>
        <v>Valid</v>
      </c>
      <c r="T94" t="str">
        <f t="shared" si="8"/>
        <v>Valid</v>
      </c>
      <c r="U94" t="str">
        <f t="shared" si="9"/>
        <v>Valid</v>
      </c>
      <c r="V94" t="str">
        <f t="shared" si="10"/>
        <v>Valid</v>
      </c>
      <c r="W94" t="str">
        <f t="shared" si="11"/>
        <v>Valid</v>
      </c>
    </row>
    <row r="95" spans="1:23">
      <c r="A95" t="s">
        <v>125</v>
      </c>
      <c r="B95" s="2">
        <v>45790</v>
      </c>
      <c r="C95" t="s">
        <v>17</v>
      </c>
      <c r="D95" t="s">
        <v>32</v>
      </c>
      <c r="E95" t="s">
        <v>34</v>
      </c>
      <c r="F95" t="s">
        <v>25</v>
      </c>
      <c r="G95" t="s">
        <v>30</v>
      </c>
      <c r="H95">
        <v>1</v>
      </c>
      <c r="I95">
        <v>1</v>
      </c>
      <c r="J95">
        <v>1</v>
      </c>
      <c r="K95">
        <v>0</v>
      </c>
      <c r="L95">
        <v>0</v>
      </c>
      <c r="M95">
        <v>1</v>
      </c>
      <c r="N95">
        <v>0</v>
      </c>
      <c r="P95">
        <v>37.4</v>
      </c>
      <c r="R95" t="str">
        <f t="shared" si="6"/>
        <v>Unique</v>
      </c>
      <c r="S95" t="str">
        <f t="shared" si="7"/>
        <v>Valid</v>
      </c>
      <c r="T95" t="str">
        <f t="shared" si="8"/>
        <v>Valid</v>
      </c>
      <c r="U95" t="str">
        <f t="shared" si="9"/>
        <v>Valid</v>
      </c>
      <c r="V95" t="str">
        <f t="shared" si="10"/>
        <v>Valid</v>
      </c>
      <c r="W95" t="str">
        <f t="shared" si="11"/>
        <v>Valid</v>
      </c>
    </row>
    <row r="96" spans="1:23">
      <c r="A96" t="s">
        <v>126</v>
      </c>
      <c r="B96" s="2">
        <v>45760</v>
      </c>
      <c r="C96" t="s">
        <v>17</v>
      </c>
      <c r="D96" t="s">
        <v>28</v>
      </c>
      <c r="E96" t="s">
        <v>24</v>
      </c>
      <c r="F96" t="s">
        <v>25</v>
      </c>
      <c r="G96" t="s">
        <v>26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P96">
        <v>84.2</v>
      </c>
      <c r="R96" t="str">
        <f t="shared" si="6"/>
        <v>Unique</v>
      </c>
      <c r="S96" t="str">
        <f t="shared" si="7"/>
        <v>Valid</v>
      </c>
      <c r="T96" t="str">
        <f t="shared" si="8"/>
        <v>Valid</v>
      </c>
      <c r="U96" t="str">
        <f t="shared" si="9"/>
        <v>Valid</v>
      </c>
      <c r="V96" t="str">
        <f t="shared" si="10"/>
        <v>Valid</v>
      </c>
      <c r="W96" t="str">
        <f t="shared" si="11"/>
        <v>Valid</v>
      </c>
    </row>
    <row r="97" spans="1:23">
      <c r="A97" t="s">
        <v>127</v>
      </c>
      <c r="B97" s="2">
        <v>45693</v>
      </c>
      <c r="C97" t="s">
        <v>17</v>
      </c>
      <c r="D97" t="s">
        <v>28</v>
      </c>
      <c r="E97" t="s">
        <v>24</v>
      </c>
      <c r="F97" t="s">
        <v>41</v>
      </c>
      <c r="G97" t="s">
        <v>26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P97">
        <v>68</v>
      </c>
      <c r="R97" t="str">
        <f t="shared" si="6"/>
        <v>Duplicate</v>
      </c>
      <c r="S97" t="str">
        <f t="shared" si="7"/>
        <v>Valid</v>
      </c>
      <c r="T97" t="str">
        <f t="shared" si="8"/>
        <v>Valid</v>
      </c>
      <c r="U97" t="str">
        <f t="shared" si="9"/>
        <v>Valid</v>
      </c>
      <c r="V97" t="str">
        <f t="shared" si="10"/>
        <v>Valid</v>
      </c>
      <c r="W97" t="str">
        <f t="shared" si="11"/>
        <v>Valid</v>
      </c>
    </row>
    <row r="98" spans="1:23">
      <c r="A98" t="s">
        <v>128</v>
      </c>
      <c r="B98" s="2">
        <v>45702</v>
      </c>
      <c r="C98" t="s">
        <v>17</v>
      </c>
      <c r="D98" t="s">
        <v>23</v>
      </c>
      <c r="E98" t="s">
        <v>24</v>
      </c>
      <c r="F98" t="s">
        <v>25</v>
      </c>
      <c r="G98" t="s">
        <v>21</v>
      </c>
      <c r="H98">
        <v>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P98">
        <v>53.5</v>
      </c>
      <c r="R98" t="str">
        <f t="shared" si="6"/>
        <v>Unique</v>
      </c>
      <c r="S98" t="str">
        <f t="shared" si="7"/>
        <v>Valid</v>
      </c>
      <c r="T98" t="str">
        <f t="shared" si="8"/>
        <v>Valid</v>
      </c>
      <c r="U98" t="str">
        <f t="shared" si="9"/>
        <v>Valid</v>
      </c>
      <c r="V98" t="str">
        <f t="shared" si="10"/>
        <v>Valid</v>
      </c>
      <c r="W98" t="str">
        <f t="shared" si="11"/>
        <v>Valid</v>
      </c>
    </row>
    <row r="99" spans="1:23">
      <c r="A99" t="s">
        <v>129</v>
      </c>
      <c r="B99" s="2">
        <v>45699</v>
      </c>
      <c r="C99" t="s">
        <v>17</v>
      </c>
      <c r="D99" t="s">
        <v>18</v>
      </c>
      <c r="E99" t="s">
        <v>19</v>
      </c>
      <c r="F99" t="s">
        <v>25</v>
      </c>
      <c r="G99" t="s">
        <v>30</v>
      </c>
      <c r="H99">
        <v>1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P99">
        <v>63.2</v>
      </c>
      <c r="R99" t="str">
        <f t="shared" si="6"/>
        <v>Unique</v>
      </c>
      <c r="S99" t="str">
        <f t="shared" si="7"/>
        <v>Valid</v>
      </c>
      <c r="T99" t="str">
        <f t="shared" si="8"/>
        <v>Valid</v>
      </c>
      <c r="U99" t="str">
        <f t="shared" si="9"/>
        <v>Valid</v>
      </c>
      <c r="V99" t="str">
        <f t="shared" si="10"/>
        <v>Valid</v>
      </c>
      <c r="W99" t="str">
        <f t="shared" si="11"/>
        <v>Valid</v>
      </c>
    </row>
    <row r="100" spans="1:23">
      <c r="A100" t="s">
        <v>130</v>
      </c>
      <c r="B100" s="2">
        <v>45699</v>
      </c>
      <c r="C100" t="s">
        <v>17</v>
      </c>
      <c r="D100" t="s">
        <v>28</v>
      </c>
      <c r="E100" t="s">
        <v>19</v>
      </c>
      <c r="F100" t="s">
        <v>41</v>
      </c>
      <c r="G100" t="s">
        <v>26</v>
      </c>
      <c r="H100">
        <v>1</v>
      </c>
      <c r="I100">
        <v>1</v>
      </c>
      <c r="J100">
        <v>1</v>
      </c>
      <c r="K100">
        <v>1</v>
      </c>
      <c r="L100">
        <v>363.32</v>
      </c>
      <c r="M100">
        <v>0</v>
      </c>
      <c r="N100">
        <v>0</v>
      </c>
      <c r="O100">
        <v>9</v>
      </c>
      <c r="P100">
        <v>55.9</v>
      </c>
      <c r="R100" t="str">
        <f t="shared" si="6"/>
        <v>Unique</v>
      </c>
      <c r="S100" t="str">
        <f t="shared" si="7"/>
        <v>Valid</v>
      </c>
      <c r="T100" t="str">
        <f t="shared" si="8"/>
        <v>Valid</v>
      </c>
      <c r="U100" t="str">
        <f t="shared" si="9"/>
        <v>Valid</v>
      </c>
      <c r="V100" t="str">
        <f t="shared" si="10"/>
        <v>Valid</v>
      </c>
      <c r="W100" t="str">
        <f t="shared" si="11"/>
        <v>Valid</v>
      </c>
    </row>
    <row r="101" spans="1:23">
      <c r="A101" t="s">
        <v>131</v>
      </c>
      <c r="B101" s="2">
        <v>45803</v>
      </c>
      <c r="C101" t="s">
        <v>17</v>
      </c>
      <c r="D101" t="s">
        <v>18</v>
      </c>
      <c r="E101" t="s">
        <v>24</v>
      </c>
      <c r="F101" t="s">
        <v>25</v>
      </c>
      <c r="G101" t="s">
        <v>26</v>
      </c>
      <c r="H101">
        <v>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P101">
        <v>63.5</v>
      </c>
      <c r="R101" t="str">
        <f t="shared" si="6"/>
        <v>Unique</v>
      </c>
      <c r="S101" t="str">
        <f t="shared" si="7"/>
        <v>Valid</v>
      </c>
      <c r="T101" t="str">
        <f t="shared" si="8"/>
        <v>Valid</v>
      </c>
      <c r="U101" t="str">
        <f t="shared" si="9"/>
        <v>Valid</v>
      </c>
      <c r="V101" t="str">
        <f t="shared" si="10"/>
        <v>Valid</v>
      </c>
      <c r="W101" t="str">
        <f t="shared" si="11"/>
        <v>Valid</v>
      </c>
    </row>
    <row r="102" spans="1:23">
      <c r="A102" t="s">
        <v>132</v>
      </c>
      <c r="B102" s="2">
        <v>45738</v>
      </c>
      <c r="C102" t="s">
        <v>17</v>
      </c>
      <c r="D102" t="s">
        <v>18</v>
      </c>
      <c r="E102" t="s">
        <v>24</v>
      </c>
      <c r="F102" t="s">
        <v>29</v>
      </c>
      <c r="G102" t="s">
        <v>21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P102">
        <v>51.5</v>
      </c>
      <c r="R102" t="str">
        <f t="shared" si="6"/>
        <v>Unique</v>
      </c>
      <c r="S102" t="str">
        <f t="shared" si="7"/>
        <v>Valid</v>
      </c>
      <c r="T102" t="str">
        <f t="shared" si="8"/>
        <v>Valid</v>
      </c>
      <c r="U102" t="str">
        <f t="shared" si="9"/>
        <v>Valid</v>
      </c>
      <c r="V102" t="str">
        <f t="shared" si="10"/>
        <v>Valid</v>
      </c>
      <c r="W102" t="str">
        <f t="shared" si="11"/>
        <v>Valid</v>
      </c>
    </row>
    <row r="103" spans="1:23">
      <c r="A103" t="s">
        <v>133</v>
      </c>
      <c r="B103" s="2">
        <v>45755</v>
      </c>
      <c r="C103" t="s">
        <v>17</v>
      </c>
      <c r="D103" t="s">
        <v>23</v>
      </c>
      <c r="E103" t="s">
        <v>24</v>
      </c>
      <c r="F103" t="s">
        <v>29</v>
      </c>
      <c r="G103" t="s">
        <v>26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P103">
        <v>74.400000000000006</v>
      </c>
      <c r="R103" t="str">
        <f t="shared" si="6"/>
        <v>Unique</v>
      </c>
      <c r="S103" t="str">
        <f t="shared" si="7"/>
        <v>Valid</v>
      </c>
      <c r="T103" t="str">
        <f t="shared" si="8"/>
        <v>Valid</v>
      </c>
      <c r="U103" t="str">
        <f t="shared" si="9"/>
        <v>Valid</v>
      </c>
      <c r="V103" t="str">
        <f t="shared" si="10"/>
        <v>Valid</v>
      </c>
      <c r="W103" t="str">
        <f t="shared" si="11"/>
        <v>Valid</v>
      </c>
    </row>
    <row r="104" spans="1:23">
      <c r="A104" t="s">
        <v>134</v>
      </c>
      <c r="B104" s="2">
        <v>45761</v>
      </c>
      <c r="C104" t="s">
        <v>17</v>
      </c>
      <c r="D104" t="s">
        <v>18</v>
      </c>
      <c r="E104" t="s">
        <v>19</v>
      </c>
      <c r="F104" t="s">
        <v>41</v>
      </c>
      <c r="G104" t="s">
        <v>26</v>
      </c>
      <c r="H104">
        <v>1</v>
      </c>
      <c r="I104">
        <v>1</v>
      </c>
      <c r="J104">
        <v>1</v>
      </c>
      <c r="K104">
        <v>1</v>
      </c>
      <c r="L104">
        <v>3887.98</v>
      </c>
      <c r="M104">
        <v>0</v>
      </c>
      <c r="N104">
        <v>0</v>
      </c>
      <c r="O104">
        <v>13</v>
      </c>
      <c r="P104">
        <v>60.2</v>
      </c>
      <c r="R104" t="str">
        <f t="shared" si="6"/>
        <v>Unique</v>
      </c>
      <c r="S104" t="str">
        <f t="shared" si="7"/>
        <v>Valid</v>
      </c>
      <c r="T104" t="str">
        <f t="shared" si="8"/>
        <v>Valid</v>
      </c>
      <c r="U104" t="str">
        <f t="shared" si="9"/>
        <v>Valid</v>
      </c>
      <c r="V104" t="str">
        <f t="shared" si="10"/>
        <v>Valid</v>
      </c>
      <c r="W104" t="str">
        <f t="shared" si="11"/>
        <v>Valid</v>
      </c>
    </row>
    <row r="105" spans="1:23">
      <c r="A105" t="s">
        <v>135</v>
      </c>
      <c r="B105" s="2">
        <v>45743</v>
      </c>
      <c r="C105" t="s">
        <v>17</v>
      </c>
      <c r="D105" t="s">
        <v>32</v>
      </c>
      <c r="E105" t="s">
        <v>24</v>
      </c>
      <c r="F105" t="s">
        <v>20</v>
      </c>
      <c r="G105" t="s">
        <v>26</v>
      </c>
      <c r="H105">
        <v>1</v>
      </c>
      <c r="I105">
        <v>0</v>
      </c>
      <c r="J105">
        <v>0</v>
      </c>
      <c r="K105">
        <v>0</v>
      </c>
      <c r="L105">
        <v>0</v>
      </c>
      <c r="M105">
        <v>1</v>
      </c>
      <c r="N105">
        <v>0</v>
      </c>
      <c r="P105">
        <v>67.2</v>
      </c>
      <c r="R105" t="str">
        <f t="shared" si="6"/>
        <v>Unique</v>
      </c>
      <c r="S105" t="str">
        <f t="shared" si="7"/>
        <v>Valid</v>
      </c>
      <c r="T105" t="str">
        <f t="shared" si="8"/>
        <v>Valid</v>
      </c>
      <c r="U105" t="str">
        <f t="shared" si="9"/>
        <v>Valid</v>
      </c>
      <c r="V105" t="str">
        <f t="shared" si="10"/>
        <v>Valid</v>
      </c>
      <c r="W105" t="str">
        <f t="shared" si="11"/>
        <v>Valid</v>
      </c>
    </row>
    <row r="106" spans="1:23">
      <c r="A106" t="s">
        <v>136</v>
      </c>
      <c r="B106" s="2">
        <v>45662</v>
      </c>
      <c r="C106" t="s">
        <v>17</v>
      </c>
      <c r="D106" t="s">
        <v>32</v>
      </c>
      <c r="E106" t="s">
        <v>24</v>
      </c>
      <c r="F106" t="s">
        <v>41</v>
      </c>
      <c r="G106" t="s">
        <v>26</v>
      </c>
      <c r="H106">
        <v>1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P106">
        <v>79.599999999999994</v>
      </c>
      <c r="R106" t="str">
        <f t="shared" si="6"/>
        <v>Unique</v>
      </c>
      <c r="S106" t="str">
        <f t="shared" si="7"/>
        <v>Valid</v>
      </c>
      <c r="T106" t="str">
        <f t="shared" si="8"/>
        <v>Valid</v>
      </c>
      <c r="U106" t="str">
        <f t="shared" si="9"/>
        <v>Valid</v>
      </c>
      <c r="V106" t="str">
        <f t="shared" si="10"/>
        <v>Valid</v>
      </c>
      <c r="W106" t="str">
        <f t="shared" si="11"/>
        <v>Valid</v>
      </c>
    </row>
    <row r="107" spans="1:23">
      <c r="A107" t="s">
        <v>137</v>
      </c>
      <c r="B107" s="2">
        <v>45682</v>
      </c>
      <c r="C107" t="s">
        <v>17</v>
      </c>
      <c r="D107" t="s">
        <v>32</v>
      </c>
      <c r="E107" t="s">
        <v>24</v>
      </c>
      <c r="F107" t="s">
        <v>41</v>
      </c>
      <c r="G107" t="s">
        <v>21</v>
      </c>
      <c r="H107">
        <v>1</v>
      </c>
      <c r="I107">
        <v>1</v>
      </c>
      <c r="J107">
        <v>1</v>
      </c>
      <c r="K107">
        <v>1</v>
      </c>
      <c r="L107">
        <v>8610.7199999999993</v>
      </c>
      <c r="M107">
        <v>0</v>
      </c>
      <c r="N107">
        <v>0</v>
      </c>
      <c r="O107">
        <v>6</v>
      </c>
      <c r="P107">
        <v>61</v>
      </c>
      <c r="R107" t="str">
        <f t="shared" si="6"/>
        <v>Unique</v>
      </c>
      <c r="S107" t="str">
        <f t="shared" si="7"/>
        <v>Valid</v>
      </c>
      <c r="T107" t="str">
        <f t="shared" si="8"/>
        <v>Valid</v>
      </c>
      <c r="U107" t="str">
        <f t="shared" si="9"/>
        <v>Valid</v>
      </c>
      <c r="V107" t="str">
        <f t="shared" si="10"/>
        <v>Valid</v>
      </c>
      <c r="W107" t="str">
        <f t="shared" si="11"/>
        <v>Valid</v>
      </c>
    </row>
    <row r="108" spans="1:23">
      <c r="A108" t="s">
        <v>138</v>
      </c>
      <c r="B108" s="2">
        <v>45680</v>
      </c>
      <c r="C108" t="s">
        <v>17</v>
      </c>
      <c r="D108" t="s">
        <v>23</v>
      </c>
      <c r="E108" t="s">
        <v>24</v>
      </c>
      <c r="F108" t="s">
        <v>20</v>
      </c>
      <c r="G108" t="s">
        <v>26</v>
      </c>
      <c r="H108">
        <v>1</v>
      </c>
      <c r="I108">
        <v>1</v>
      </c>
      <c r="J108">
        <v>1</v>
      </c>
      <c r="K108">
        <v>0</v>
      </c>
      <c r="L108">
        <v>0</v>
      </c>
      <c r="M108">
        <v>4</v>
      </c>
      <c r="N108">
        <v>0</v>
      </c>
      <c r="P108">
        <v>51.1</v>
      </c>
      <c r="R108" t="str">
        <f t="shared" si="6"/>
        <v>Unique</v>
      </c>
      <c r="S108" t="str">
        <f t="shared" si="7"/>
        <v>Valid</v>
      </c>
      <c r="T108" t="str">
        <f t="shared" si="8"/>
        <v>Valid</v>
      </c>
      <c r="U108" t="str">
        <f t="shared" si="9"/>
        <v>Valid</v>
      </c>
      <c r="V108" t="str">
        <f t="shared" si="10"/>
        <v>Valid</v>
      </c>
      <c r="W108" t="str">
        <f t="shared" si="11"/>
        <v>Valid</v>
      </c>
    </row>
    <row r="109" spans="1:23">
      <c r="A109" t="s">
        <v>139</v>
      </c>
      <c r="B109" s="2">
        <v>45802</v>
      </c>
      <c r="C109" t="s">
        <v>17</v>
      </c>
      <c r="D109" t="s">
        <v>28</v>
      </c>
      <c r="E109" t="s">
        <v>19</v>
      </c>
      <c r="F109" t="s">
        <v>39</v>
      </c>
      <c r="G109" t="s">
        <v>26</v>
      </c>
      <c r="H109">
        <v>1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P109">
        <v>92.1</v>
      </c>
      <c r="R109" t="str">
        <f t="shared" si="6"/>
        <v>Unique</v>
      </c>
      <c r="S109" t="str">
        <f t="shared" si="7"/>
        <v>Valid</v>
      </c>
      <c r="T109" t="str">
        <f t="shared" si="8"/>
        <v>Valid</v>
      </c>
      <c r="U109" t="str">
        <f t="shared" si="9"/>
        <v>Valid</v>
      </c>
      <c r="V109" t="str">
        <f t="shared" si="10"/>
        <v>Valid</v>
      </c>
      <c r="W109" t="str">
        <f t="shared" si="11"/>
        <v>Valid</v>
      </c>
    </row>
    <row r="110" spans="1:23">
      <c r="A110" t="s">
        <v>140</v>
      </c>
      <c r="B110" s="2">
        <v>45738</v>
      </c>
      <c r="C110" t="s">
        <v>17</v>
      </c>
      <c r="D110" t="s">
        <v>32</v>
      </c>
      <c r="E110" t="s">
        <v>24</v>
      </c>
      <c r="F110" t="s">
        <v>39</v>
      </c>
      <c r="G110" t="s">
        <v>21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P110">
        <v>82.1</v>
      </c>
      <c r="R110" t="str">
        <f t="shared" si="6"/>
        <v>Unique</v>
      </c>
      <c r="S110" t="str">
        <f t="shared" si="7"/>
        <v>Valid</v>
      </c>
      <c r="T110" t="str">
        <f t="shared" si="8"/>
        <v>Valid</v>
      </c>
      <c r="U110" t="str">
        <f t="shared" si="9"/>
        <v>Valid</v>
      </c>
      <c r="V110" t="str">
        <f t="shared" si="10"/>
        <v>Valid</v>
      </c>
      <c r="W110" t="str">
        <f t="shared" si="11"/>
        <v>Valid</v>
      </c>
    </row>
    <row r="111" spans="1:23">
      <c r="A111" t="s">
        <v>141</v>
      </c>
      <c r="B111" s="2">
        <v>45700</v>
      </c>
      <c r="C111" t="s">
        <v>17</v>
      </c>
      <c r="D111" t="s">
        <v>23</v>
      </c>
      <c r="E111" t="s">
        <v>19</v>
      </c>
      <c r="F111" t="s">
        <v>29</v>
      </c>
      <c r="G111" t="s">
        <v>21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P111">
        <v>74</v>
      </c>
      <c r="R111" t="str">
        <f t="shared" si="6"/>
        <v>Unique</v>
      </c>
      <c r="S111" t="str">
        <f t="shared" si="7"/>
        <v>Valid</v>
      </c>
      <c r="T111" t="str">
        <f t="shared" si="8"/>
        <v>Valid</v>
      </c>
      <c r="U111" t="str">
        <f t="shared" si="9"/>
        <v>Valid</v>
      </c>
      <c r="V111" t="str">
        <f t="shared" si="10"/>
        <v>Valid</v>
      </c>
      <c r="W111" t="str">
        <f t="shared" si="11"/>
        <v>Valid</v>
      </c>
    </row>
    <row r="112" spans="1:23">
      <c r="A112" t="s">
        <v>142</v>
      </c>
      <c r="B112" s="2">
        <v>45775</v>
      </c>
      <c r="C112" t="s">
        <v>17</v>
      </c>
      <c r="D112" t="s">
        <v>23</v>
      </c>
      <c r="E112" t="s">
        <v>19</v>
      </c>
      <c r="F112" t="s">
        <v>25</v>
      </c>
      <c r="G112" t="s">
        <v>21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P112">
        <v>63.4</v>
      </c>
      <c r="R112" t="str">
        <f t="shared" si="6"/>
        <v>Unique</v>
      </c>
      <c r="S112" t="str">
        <f t="shared" si="7"/>
        <v>Valid</v>
      </c>
      <c r="T112" t="str">
        <f t="shared" si="8"/>
        <v>Valid</v>
      </c>
      <c r="U112" t="str">
        <f t="shared" si="9"/>
        <v>Valid</v>
      </c>
      <c r="V112" t="str">
        <f t="shared" si="10"/>
        <v>Valid</v>
      </c>
      <c r="W112" t="str">
        <f t="shared" si="11"/>
        <v>Valid</v>
      </c>
    </row>
    <row r="113" spans="1:23">
      <c r="A113" t="s">
        <v>143</v>
      </c>
      <c r="B113" s="2">
        <v>45687</v>
      </c>
      <c r="C113" t="s">
        <v>17</v>
      </c>
      <c r="D113" t="s">
        <v>18</v>
      </c>
      <c r="E113" t="s">
        <v>24</v>
      </c>
      <c r="F113" t="s">
        <v>25</v>
      </c>
      <c r="G113" t="s">
        <v>21</v>
      </c>
      <c r="H113">
        <v>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P113">
        <v>53.2</v>
      </c>
      <c r="R113" t="str">
        <f t="shared" si="6"/>
        <v>Unique</v>
      </c>
      <c r="S113" t="str">
        <f t="shared" si="7"/>
        <v>Valid</v>
      </c>
      <c r="T113" t="str">
        <f t="shared" si="8"/>
        <v>Valid</v>
      </c>
      <c r="U113" t="str">
        <f t="shared" si="9"/>
        <v>Valid</v>
      </c>
      <c r="V113" t="str">
        <f t="shared" si="10"/>
        <v>Valid</v>
      </c>
      <c r="W113" t="str">
        <f t="shared" si="11"/>
        <v>Valid</v>
      </c>
    </row>
    <row r="114" spans="1:23">
      <c r="A114" t="s">
        <v>144</v>
      </c>
      <c r="B114" s="2">
        <v>45796</v>
      </c>
      <c r="C114" t="s">
        <v>17</v>
      </c>
      <c r="D114" t="s">
        <v>28</v>
      </c>
      <c r="E114" t="s">
        <v>34</v>
      </c>
      <c r="F114" t="s">
        <v>29</v>
      </c>
      <c r="G114" t="s">
        <v>26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P114">
        <v>48.1</v>
      </c>
      <c r="R114" t="str">
        <f t="shared" si="6"/>
        <v>Unique</v>
      </c>
      <c r="S114" t="str">
        <f t="shared" si="7"/>
        <v>Valid</v>
      </c>
      <c r="T114" t="str">
        <f t="shared" si="8"/>
        <v>Valid</v>
      </c>
      <c r="U114" t="str">
        <f t="shared" si="9"/>
        <v>Valid</v>
      </c>
      <c r="V114" t="str">
        <f t="shared" si="10"/>
        <v>Valid</v>
      </c>
      <c r="W114" t="str">
        <f t="shared" si="11"/>
        <v>Valid</v>
      </c>
    </row>
    <row r="115" spans="1:23">
      <c r="A115" t="s">
        <v>145</v>
      </c>
      <c r="B115" s="2">
        <v>45680</v>
      </c>
      <c r="C115" t="s">
        <v>17</v>
      </c>
      <c r="D115" t="s">
        <v>32</v>
      </c>
      <c r="E115" t="s">
        <v>24</v>
      </c>
      <c r="F115" t="s">
        <v>41</v>
      </c>
      <c r="G115" t="s">
        <v>26</v>
      </c>
      <c r="H115">
        <v>1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P115">
        <v>61.5</v>
      </c>
      <c r="R115" t="str">
        <f t="shared" si="6"/>
        <v>Unique</v>
      </c>
      <c r="S115" t="str">
        <f t="shared" si="7"/>
        <v>Valid</v>
      </c>
      <c r="T115" t="str">
        <f t="shared" si="8"/>
        <v>Valid</v>
      </c>
      <c r="U115" t="str">
        <f t="shared" si="9"/>
        <v>Valid</v>
      </c>
      <c r="V115" t="str">
        <f t="shared" si="10"/>
        <v>Valid</v>
      </c>
      <c r="W115" t="str">
        <f t="shared" si="11"/>
        <v>Valid</v>
      </c>
    </row>
    <row r="116" spans="1:23">
      <c r="A116" t="s">
        <v>146</v>
      </c>
      <c r="B116" s="2">
        <v>45744</v>
      </c>
      <c r="C116" t="s">
        <v>17</v>
      </c>
      <c r="D116" t="s">
        <v>28</v>
      </c>
      <c r="E116" t="s">
        <v>19</v>
      </c>
      <c r="F116" t="s">
        <v>41</v>
      </c>
      <c r="G116" t="s">
        <v>26</v>
      </c>
      <c r="H116">
        <v>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P116">
        <v>63.2</v>
      </c>
      <c r="R116" t="str">
        <f t="shared" si="6"/>
        <v>Unique</v>
      </c>
      <c r="S116" t="str">
        <f t="shared" si="7"/>
        <v>Valid</v>
      </c>
      <c r="T116" t="str">
        <f t="shared" si="8"/>
        <v>Valid</v>
      </c>
      <c r="U116" t="str">
        <f t="shared" si="9"/>
        <v>Valid</v>
      </c>
      <c r="V116" t="str">
        <f t="shared" si="10"/>
        <v>Valid</v>
      </c>
      <c r="W116" t="str">
        <f t="shared" si="11"/>
        <v>Valid</v>
      </c>
    </row>
    <row r="117" spans="1:23">
      <c r="A117" t="s">
        <v>147</v>
      </c>
      <c r="B117" s="2">
        <v>45668</v>
      </c>
      <c r="C117" t="s">
        <v>17</v>
      </c>
      <c r="D117" t="s">
        <v>23</v>
      </c>
      <c r="E117" t="s">
        <v>24</v>
      </c>
      <c r="F117" t="s">
        <v>25</v>
      </c>
      <c r="G117" t="s">
        <v>26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P117">
        <v>71.900000000000006</v>
      </c>
      <c r="R117" t="str">
        <f t="shared" si="6"/>
        <v>Unique</v>
      </c>
      <c r="S117" t="str">
        <f t="shared" si="7"/>
        <v>Valid</v>
      </c>
      <c r="T117" t="str">
        <f t="shared" si="8"/>
        <v>Valid</v>
      </c>
      <c r="U117" t="str">
        <f t="shared" si="9"/>
        <v>Valid</v>
      </c>
      <c r="V117" t="str">
        <f t="shared" si="10"/>
        <v>Valid</v>
      </c>
      <c r="W117" t="str">
        <f t="shared" si="11"/>
        <v>Valid</v>
      </c>
    </row>
    <row r="118" spans="1:23">
      <c r="A118" t="s">
        <v>148</v>
      </c>
      <c r="B118" s="2">
        <v>45758</v>
      </c>
      <c r="C118" t="s">
        <v>17</v>
      </c>
      <c r="D118" t="s">
        <v>18</v>
      </c>
      <c r="E118" t="s">
        <v>24</v>
      </c>
      <c r="F118" t="s">
        <v>39</v>
      </c>
      <c r="G118" t="s">
        <v>26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P118">
        <v>62.7</v>
      </c>
      <c r="R118" t="str">
        <f t="shared" si="6"/>
        <v>Unique</v>
      </c>
      <c r="S118" t="str">
        <f t="shared" si="7"/>
        <v>Valid</v>
      </c>
      <c r="T118" t="str">
        <f t="shared" si="8"/>
        <v>Valid</v>
      </c>
      <c r="U118" t="str">
        <f t="shared" si="9"/>
        <v>Valid</v>
      </c>
      <c r="V118" t="str">
        <f t="shared" si="10"/>
        <v>Valid</v>
      </c>
      <c r="W118" t="str">
        <f t="shared" si="11"/>
        <v>Valid</v>
      </c>
    </row>
    <row r="119" spans="1:23">
      <c r="A119" t="s">
        <v>149</v>
      </c>
      <c r="B119" s="2">
        <v>45659</v>
      </c>
      <c r="C119" t="s">
        <v>17</v>
      </c>
      <c r="D119" t="s">
        <v>23</v>
      </c>
      <c r="E119" t="s">
        <v>24</v>
      </c>
      <c r="F119" t="s">
        <v>29</v>
      </c>
      <c r="G119" t="s">
        <v>26</v>
      </c>
      <c r="H119">
        <v>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P119">
        <v>51.5</v>
      </c>
      <c r="R119" t="str">
        <f t="shared" si="6"/>
        <v>Unique</v>
      </c>
      <c r="S119" t="str">
        <f t="shared" si="7"/>
        <v>Valid</v>
      </c>
      <c r="T119" t="str">
        <f t="shared" si="8"/>
        <v>Valid</v>
      </c>
      <c r="U119" t="str">
        <f t="shared" si="9"/>
        <v>Valid</v>
      </c>
      <c r="V119" t="str">
        <f t="shared" si="10"/>
        <v>Valid</v>
      </c>
      <c r="W119" t="str">
        <f t="shared" si="11"/>
        <v>Valid</v>
      </c>
    </row>
    <row r="120" spans="1:23">
      <c r="A120" t="s">
        <v>150</v>
      </c>
      <c r="B120" s="2">
        <v>45734</v>
      </c>
      <c r="C120" t="s">
        <v>17</v>
      </c>
      <c r="D120" t="s">
        <v>28</v>
      </c>
      <c r="E120" t="s">
        <v>24</v>
      </c>
      <c r="F120" t="s">
        <v>41</v>
      </c>
      <c r="G120" t="s">
        <v>26</v>
      </c>
      <c r="H120">
        <v>1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P120">
        <v>39.1</v>
      </c>
      <c r="R120" t="str">
        <f t="shared" si="6"/>
        <v>Unique</v>
      </c>
      <c r="S120" t="str">
        <f t="shared" si="7"/>
        <v>Valid</v>
      </c>
      <c r="T120" t="str">
        <f t="shared" si="8"/>
        <v>Valid</v>
      </c>
      <c r="U120" t="str">
        <f t="shared" si="9"/>
        <v>Valid</v>
      </c>
      <c r="V120" t="str">
        <f t="shared" si="10"/>
        <v>Valid</v>
      </c>
      <c r="W120" t="str">
        <f t="shared" si="11"/>
        <v>Valid</v>
      </c>
    </row>
    <row r="121" spans="1:23">
      <c r="A121" t="s">
        <v>151</v>
      </c>
      <c r="B121" s="2">
        <v>45747</v>
      </c>
      <c r="C121" t="s">
        <v>17</v>
      </c>
      <c r="D121" t="s">
        <v>18</v>
      </c>
      <c r="E121" t="s">
        <v>24</v>
      </c>
      <c r="F121" t="s">
        <v>20</v>
      </c>
      <c r="G121" t="s">
        <v>26</v>
      </c>
      <c r="H121">
        <v>1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P121">
        <v>43.8</v>
      </c>
      <c r="R121" t="str">
        <f t="shared" si="6"/>
        <v>Unique</v>
      </c>
      <c r="S121" t="str">
        <f t="shared" si="7"/>
        <v>Valid</v>
      </c>
      <c r="T121" t="str">
        <f t="shared" si="8"/>
        <v>Valid</v>
      </c>
      <c r="U121" t="str">
        <f t="shared" si="9"/>
        <v>Valid</v>
      </c>
      <c r="V121" t="str">
        <f t="shared" si="10"/>
        <v>Valid</v>
      </c>
      <c r="W121" t="str">
        <f t="shared" si="11"/>
        <v>Valid</v>
      </c>
    </row>
    <row r="122" spans="1:23">
      <c r="A122" t="s">
        <v>152</v>
      </c>
      <c r="B122" s="2">
        <v>45663</v>
      </c>
      <c r="C122" t="s">
        <v>17</v>
      </c>
      <c r="D122" t="s">
        <v>18</v>
      </c>
      <c r="E122" t="s">
        <v>24</v>
      </c>
      <c r="F122" t="s">
        <v>29</v>
      </c>
      <c r="G122" t="s">
        <v>21</v>
      </c>
      <c r="H122">
        <v>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P122">
        <v>59.9</v>
      </c>
      <c r="R122" t="str">
        <f t="shared" si="6"/>
        <v>Unique</v>
      </c>
      <c r="S122" t="str">
        <f t="shared" si="7"/>
        <v>Valid</v>
      </c>
      <c r="T122" t="str">
        <f t="shared" si="8"/>
        <v>Valid</v>
      </c>
      <c r="U122" t="str">
        <f t="shared" si="9"/>
        <v>Valid</v>
      </c>
      <c r="V122" t="str">
        <f t="shared" si="10"/>
        <v>Valid</v>
      </c>
      <c r="W122" t="str">
        <f t="shared" si="11"/>
        <v>Valid</v>
      </c>
    </row>
    <row r="123" spans="1:23">
      <c r="A123" t="s">
        <v>153</v>
      </c>
      <c r="B123" s="2">
        <v>45683</v>
      </c>
      <c r="C123" t="s">
        <v>17</v>
      </c>
      <c r="D123" t="s">
        <v>18</v>
      </c>
      <c r="E123" t="s">
        <v>24</v>
      </c>
      <c r="F123" t="s">
        <v>39</v>
      </c>
      <c r="G123" t="s">
        <v>26</v>
      </c>
      <c r="H123">
        <v>1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P123">
        <v>71.400000000000006</v>
      </c>
      <c r="R123" t="str">
        <f t="shared" si="6"/>
        <v>Unique</v>
      </c>
      <c r="S123" t="str">
        <f t="shared" si="7"/>
        <v>Valid</v>
      </c>
      <c r="T123" t="str">
        <f t="shared" si="8"/>
        <v>Valid</v>
      </c>
      <c r="U123" t="str">
        <f t="shared" si="9"/>
        <v>Valid</v>
      </c>
      <c r="V123" t="str">
        <f t="shared" si="10"/>
        <v>Valid</v>
      </c>
      <c r="W123" t="str">
        <f t="shared" si="11"/>
        <v>Valid</v>
      </c>
    </row>
    <row r="124" spans="1:23">
      <c r="A124" t="s">
        <v>154</v>
      </c>
      <c r="B124" s="2">
        <v>45769</v>
      </c>
      <c r="C124" t="s">
        <v>17</v>
      </c>
      <c r="D124" t="s">
        <v>32</v>
      </c>
      <c r="E124" t="s">
        <v>24</v>
      </c>
      <c r="F124" t="s">
        <v>39</v>
      </c>
      <c r="G124" t="s">
        <v>21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P124">
        <v>36.1</v>
      </c>
      <c r="R124" t="str">
        <f t="shared" si="6"/>
        <v>Unique</v>
      </c>
      <c r="S124" t="str">
        <f t="shared" si="7"/>
        <v>Valid</v>
      </c>
      <c r="T124" t="str">
        <f t="shared" si="8"/>
        <v>Valid</v>
      </c>
      <c r="U124" t="str">
        <f t="shared" si="9"/>
        <v>Valid</v>
      </c>
      <c r="V124" t="str">
        <f t="shared" si="10"/>
        <v>Valid</v>
      </c>
      <c r="W124" t="str">
        <f t="shared" si="11"/>
        <v>Valid</v>
      </c>
    </row>
    <row r="125" spans="1:23">
      <c r="A125" t="s">
        <v>155</v>
      </c>
      <c r="B125" s="2">
        <v>45807</v>
      </c>
      <c r="C125" t="s">
        <v>17</v>
      </c>
      <c r="D125" t="s">
        <v>23</v>
      </c>
      <c r="E125" t="s">
        <v>1451</v>
      </c>
      <c r="F125" t="s">
        <v>20</v>
      </c>
      <c r="G125" t="s">
        <v>21</v>
      </c>
      <c r="H125">
        <v>1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P125">
        <v>47.9</v>
      </c>
      <c r="R125" t="str">
        <f t="shared" si="6"/>
        <v>Unique</v>
      </c>
      <c r="S125" t="str">
        <f t="shared" si="7"/>
        <v>Valid</v>
      </c>
      <c r="T125" t="str">
        <f t="shared" si="8"/>
        <v>Valid</v>
      </c>
      <c r="U125" t="str">
        <f t="shared" si="9"/>
        <v>Valid</v>
      </c>
      <c r="V125" t="str">
        <f t="shared" si="10"/>
        <v>Valid</v>
      </c>
      <c r="W125" t="str">
        <f t="shared" si="11"/>
        <v>Valid</v>
      </c>
    </row>
    <row r="126" spans="1:23">
      <c r="A126" t="s">
        <v>156</v>
      </c>
      <c r="B126" s="2">
        <v>45795</v>
      </c>
      <c r="C126" t="s">
        <v>17</v>
      </c>
      <c r="D126" t="s">
        <v>23</v>
      </c>
      <c r="E126" t="s">
        <v>19</v>
      </c>
      <c r="F126" t="s">
        <v>25</v>
      </c>
      <c r="G126" t="s">
        <v>30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P126">
        <v>62.5</v>
      </c>
      <c r="R126" t="str">
        <f t="shared" si="6"/>
        <v>Unique</v>
      </c>
      <c r="S126" t="str">
        <f t="shared" si="7"/>
        <v>Valid</v>
      </c>
      <c r="T126" t="str">
        <f t="shared" si="8"/>
        <v>Valid</v>
      </c>
      <c r="U126" t="str">
        <f t="shared" si="9"/>
        <v>Valid</v>
      </c>
      <c r="V126" t="str">
        <f t="shared" si="10"/>
        <v>Valid</v>
      </c>
      <c r="W126" t="str">
        <f t="shared" si="11"/>
        <v>Valid</v>
      </c>
    </row>
    <row r="127" spans="1:23">
      <c r="A127" t="s">
        <v>157</v>
      </c>
      <c r="B127" s="2">
        <v>45670</v>
      </c>
      <c r="C127" t="s">
        <v>17</v>
      </c>
      <c r="D127" t="s">
        <v>32</v>
      </c>
      <c r="E127" t="s">
        <v>19</v>
      </c>
      <c r="F127" t="s">
        <v>29</v>
      </c>
      <c r="G127" t="s">
        <v>30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P127">
        <v>56.9</v>
      </c>
      <c r="R127" t="str">
        <f t="shared" si="6"/>
        <v>Unique</v>
      </c>
      <c r="S127" t="str">
        <f t="shared" si="7"/>
        <v>Valid</v>
      </c>
      <c r="T127" t="str">
        <f t="shared" si="8"/>
        <v>Valid</v>
      </c>
      <c r="U127" t="str">
        <f t="shared" si="9"/>
        <v>Valid</v>
      </c>
      <c r="V127" t="str">
        <f t="shared" si="10"/>
        <v>Valid</v>
      </c>
      <c r="W127" t="str">
        <f t="shared" si="11"/>
        <v>Valid</v>
      </c>
    </row>
    <row r="128" spans="1:23">
      <c r="A128" t="s">
        <v>158</v>
      </c>
      <c r="B128" s="2">
        <v>45741</v>
      </c>
      <c r="C128" t="s">
        <v>17</v>
      </c>
      <c r="D128" t="s">
        <v>18</v>
      </c>
      <c r="E128" t="s">
        <v>19</v>
      </c>
      <c r="F128" t="s">
        <v>20</v>
      </c>
      <c r="G128" t="s">
        <v>26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P128">
        <v>64.7</v>
      </c>
      <c r="R128" t="str">
        <f t="shared" si="6"/>
        <v>Unique</v>
      </c>
      <c r="S128" t="str">
        <f t="shared" si="7"/>
        <v>Valid</v>
      </c>
      <c r="T128" t="str">
        <f t="shared" si="8"/>
        <v>Valid</v>
      </c>
      <c r="U128" t="str">
        <f t="shared" si="9"/>
        <v>Valid</v>
      </c>
      <c r="V128" t="str">
        <f t="shared" si="10"/>
        <v>Valid</v>
      </c>
      <c r="W128" t="str">
        <f t="shared" si="11"/>
        <v>Valid</v>
      </c>
    </row>
    <row r="129" spans="1:23">
      <c r="A129" t="s">
        <v>159</v>
      </c>
      <c r="B129" s="2">
        <v>45776</v>
      </c>
      <c r="C129" t="s">
        <v>17</v>
      </c>
      <c r="D129" t="s">
        <v>32</v>
      </c>
      <c r="E129" t="s">
        <v>19</v>
      </c>
      <c r="F129" t="s">
        <v>25</v>
      </c>
      <c r="G129" t="s">
        <v>26</v>
      </c>
      <c r="H129">
        <v>1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P129">
        <v>64</v>
      </c>
      <c r="R129" t="str">
        <f t="shared" si="6"/>
        <v>Unique</v>
      </c>
      <c r="S129" t="str">
        <f t="shared" si="7"/>
        <v>Valid</v>
      </c>
      <c r="T129" t="str">
        <f t="shared" si="8"/>
        <v>Valid</v>
      </c>
      <c r="U129" t="str">
        <f t="shared" si="9"/>
        <v>Valid</v>
      </c>
      <c r="V129" t="str">
        <f t="shared" si="10"/>
        <v>Valid</v>
      </c>
      <c r="W129" t="str">
        <f t="shared" si="11"/>
        <v>Valid</v>
      </c>
    </row>
    <row r="130" spans="1:23">
      <c r="A130" t="s">
        <v>160</v>
      </c>
      <c r="B130" s="2">
        <v>45794</v>
      </c>
      <c r="C130" t="s">
        <v>17</v>
      </c>
      <c r="D130" t="s">
        <v>28</v>
      </c>
      <c r="E130" t="s">
        <v>24</v>
      </c>
      <c r="F130" t="s">
        <v>39</v>
      </c>
      <c r="G130" t="s">
        <v>21</v>
      </c>
      <c r="H130">
        <v>1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P130">
        <v>75.2</v>
      </c>
      <c r="R130" t="str">
        <f t="shared" si="6"/>
        <v>Unique</v>
      </c>
      <c r="S130" t="str">
        <f t="shared" si="7"/>
        <v>Valid</v>
      </c>
      <c r="T130" t="str">
        <f t="shared" si="8"/>
        <v>Valid</v>
      </c>
      <c r="U130" t="str">
        <f t="shared" si="9"/>
        <v>Valid</v>
      </c>
      <c r="V130" t="str">
        <f t="shared" si="10"/>
        <v>Valid</v>
      </c>
      <c r="W130" t="str">
        <f t="shared" si="11"/>
        <v>Valid</v>
      </c>
    </row>
    <row r="131" spans="1:23">
      <c r="A131" t="s">
        <v>161</v>
      </c>
      <c r="B131" s="2">
        <v>45659</v>
      </c>
      <c r="C131" t="s">
        <v>17</v>
      </c>
      <c r="D131" t="s">
        <v>18</v>
      </c>
      <c r="E131" t="s">
        <v>24</v>
      </c>
      <c r="F131" t="s">
        <v>29</v>
      </c>
      <c r="G131" t="s">
        <v>26</v>
      </c>
      <c r="H131">
        <v>1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0</v>
      </c>
      <c r="P131">
        <v>79</v>
      </c>
      <c r="R131" t="str">
        <f t="shared" ref="R131:R194" si="12">IF(COUNTIF($A:$A,A131)&gt;1,"Duplicate","Unique")</f>
        <v>Unique</v>
      </c>
      <c r="S131" t="str">
        <f t="shared" ref="S131:S194" si="13">IF(OR(H131=0,H131=1),"Valid","Invalid")</f>
        <v>Valid</v>
      </c>
      <c r="T131" t="str">
        <f t="shared" ref="T131:T194" si="14">IF(OR(I131=0,I131=1),"Valid","Invalid")</f>
        <v>Valid</v>
      </c>
      <c r="U131" t="str">
        <f t="shared" ref="U131:U194" si="15">IF(OR(J131=0,J131=1),"Valid","Invalid")</f>
        <v>Valid</v>
      </c>
      <c r="V131" t="str">
        <f t="shared" ref="V131:V194" si="16">IF(OR(K131=0,K131=1),"Valid","Invalid")</f>
        <v>Valid</v>
      </c>
      <c r="W131" t="str">
        <f t="shared" ref="W131:W194" si="17">IF(OR(N131=0,N131=1),"Valid","Invalid")</f>
        <v>Valid</v>
      </c>
    </row>
    <row r="132" spans="1:23">
      <c r="A132" t="s">
        <v>162</v>
      </c>
      <c r="B132" s="2">
        <v>45691</v>
      </c>
      <c r="C132" t="s">
        <v>17</v>
      </c>
      <c r="D132" t="s">
        <v>32</v>
      </c>
      <c r="E132" t="s">
        <v>24</v>
      </c>
      <c r="F132" t="s">
        <v>25</v>
      </c>
      <c r="G132" t="s">
        <v>26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P132">
        <v>33</v>
      </c>
      <c r="R132" t="str">
        <f t="shared" si="12"/>
        <v>Unique</v>
      </c>
      <c r="S132" t="str">
        <f t="shared" si="13"/>
        <v>Valid</v>
      </c>
      <c r="T132" t="str">
        <f t="shared" si="14"/>
        <v>Valid</v>
      </c>
      <c r="U132" t="str">
        <f t="shared" si="15"/>
        <v>Valid</v>
      </c>
      <c r="V132" t="str">
        <f t="shared" si="16"/>
        <v>Valid</v>
      </c>
      <c r="W132" t="str">
        <f t="shared" si="17"/>
        <v>Valid</v>
      </c>
    </row>
    <row r="133" spans="1:23">
      <c r="A133" t="s">
        <v>163</v>
      </c>
      <c r="B133" s="2">
        <v>45720</v>
      </c>
      <c r="C133" t="s">
        <v>17</v>
      </c>
      <c r="D133" t="s">
        <v>28</v>
      </c>
      <c r="E133" t="s">
        <v>24</v>
      </c>
      <c r="F133" t="s">
        <v>25</v>
      </c>
      <c r="G133" t="s">
        <v>26</v>
      </c>
      <c r="H133">
        <v>1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P133">
        <v>67.900000000000006</v>
      </c>
      <c r="R133" t="str">
        <f t="shared" si="12"/>
        <v>Unique</v>
      </c>
      <c r="S133" t="str">
        <f t="shared" si="13"/>
        <v>Valid</v>
      </c>
      <c r="T133" t="str">
        <f t="shared" si="14"/>
        <v>Valid</v>
      </c>
      <c r="U133" t="str">
        <f t="shared" si="15"/>
        <v>Valid</v>
      </c>
      <c r="V133" t="str">
        <f t="shared" si="16"/>
        <v>Valid</v>
      </c>
      <c r="W133" t="str">
        <f t="shared" si="17"/>
        <v>Valid</v>
      </c>
    </row>
    <row r="134" spans="1:23">
      <c r="A134" t="s">
        <v>164</v>
      </c>
      <c r="B134" s="2">
        <v>45683</v>
      </c>
      <c r="C134" t="s">
        <v>17</v>
      </c>
      <c r="D134" t="s">
        <v>32</v>
      </c>
      <c r="E134" t="s">
        <v>24</v>
      </c>
      <c r="F134" t="s">
        <v>29</v>
      </c>
      <c r="G134" t="s">
        <v>21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P134">
        <v>42.2</v>
      </c>
      <c r="R134" t="str">
        <f t="shared" si="12"/>
        <v>Unique</v>
      </c>
      <c r="S134" t="str">
        <f t="shared" si="13"/>
        <v>Valid</v>
      </c>
      <c r="T134" t="str">
        <f t="shared" si="14"/>
        <v>Valid</v>
      </c>
      <c r="U134" t="str">
        <f t="shared" si="15"/>
        <v>Valid</v>
      </c>
      <c r="V134" t="str">
        <f t="shared" si="16"/>
        <v>Valid</v>
      </c>
      <c r="W134" t="str">
        <f t="shared" si="17"/>
        <v>Valid</v>
      </c>
    </row>
    <row r="135" spans="1:23">
      <c r="A135" t="s">
        <v>165</v>
      </c>
      <c r="B135" s="2">
        <v>45789</v>
      </c>
      <c r="C135" t="s">
        <v>17</v>
      </c>
      <c r="D135" t="s">
        <v>23</v>
      </c>
      <c r="E135" t="s">
        <v>24</v>
      </c>
      <c r="F135" t="s">
        <v>29</v>
      </c>
      <c r="G135" t="s">
        <v>21</v>
      </c>
      <c r="H135">
        <v>1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P135">
        <v>43.4</v>
      </c>
      <c r="R135" t="str">
        <f t="shared" si="12"/>
        <v>Unique</v>
      </c>
      <c r="S135" t="str">
        <f t="shared" si="13"/>
        <v>Valid</v>
      </c>
      <c r="T135" t="str">
        <f t="shared" si="14"/>
        <v>Valid</v>
      </c>
      <c r="U135" t="str">
        <f t="shared" si="15"/>
        <v>Valid</v>
      </c>
      <c r="V135" t="str">
        <f t="shared" si="16"/>
        <v>Valid</v>
      </c>
      <c r="W135" t="str">
        <f t="shared" si="17"/>
        <v>Valid</v>
      </c>
    </row>
    <row r="136" spans="1:23">
      <c r="A136" t="s">
        <v>166</v>
      </c>
      <c r="B136" s="2">
        <v>45722</v>
      </c>
      <c r="C136" t="s">
        <v>17</v>
      </c>
      <c r="D136" t="s">
        <v>18</v>
      </c>
      <c r="E136" t="s">
        <v>24</v>
      </c>
      <c r="F136" t="s">
        <v>25</v>
      </c>
      <c r="G136" t="s">
        <v>21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P136">
        <v>54.4</v>
      </c>
      <c r="R136" t="str">
        <f t="shared" si="12"/>
        <v>Unique</v>
      </c>
      <c r="S136" t="str">
        <f t="shared" si="13"/>
        <v>Valid</v>
      </c>
      <c r="T136" t="str">
        <f t="shared" si="14"/>
        <v>Valid</v>
      </c>
      <c r="U136" t="str">
        <f t="shared" si="15"/>
        <v>Valid</v>
      </c>
      <c r="V136" t="str">
        <f t="shared" si="16"/>
        <v>Valid</v>
      </c>
      <c r="W136" t="str">
        <f t="shared" si="17"/>
        <v>Valid</v>
      </c>
    </row>
    <row r="137" spans="1:23">
      <c r="A137" t="s">
        <v>167</v>
      </c>
      <c r="B137" s="2">
        <v>45726</v>
      </c>
      <c r="C137" t="s">
        <v>17</v>
      </c>
      <c r="D137" t="s">
        <v>32</v>
      </c>
      <c r="E137" t="s">
        <v>19</v>
      </c>
      <c r="F137" t="s">
        <v>20</v>
      </c>
      <c r="G137" t="s">
        <v>30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P137">
        <v>45.7</v>
      </c>
      <c r="R137" t="str">
        <f t="shared" si="12"/>
        <v>Unique</v>
      </c>
      <c r="S137" t="str">
        <f t="shared" si="13"/>
        <v>Valid</v>
      </c>
      <c r="T137" t="str">
        <f t="shared" si="14"/>
        <v>Valid</v>
      </c>
      <c r="U137" t="str">
        <f t="shared" si="15"/>
        <v>Valid</v>
      </c>
      <c r="V137" t="str">
        <f t="shared" si="16"/>
        <v>Valid</v>
      </c>
      <c r="W137" t="str">
        <f t="shared" si="17"/>
        <v>Valid</v>
      </c>
    </row>
    <row r="138" spans="1:23">
      <c r="A138" t="s">
        <v>168</v>
      </c>
      <c r="B138" s="2">
        <v>45783</v>
      </c>
      <c r="C138" t="s">
        <v>17</v>
      </c>
      <c r="D138" t="s">
        <v>18</v>
      </c>
      <c r="E138" t="s">
        <v>24</v>
      </c>
      <c r="F138" t="s">
        <v>29</v>
      </c>
      <c r="G138" t="s">
        <v>26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3</v>
      </c>
      <c r="N138">
        <v>0</v>
      </c>
      <c r="P138">
        <v>32</v>
      </c>
      <c r="R138" t="str">
        <f t="shared" si="12"/>
        <v>Unique</v>
      </c>
      <c r="S138" t="str">
        <f t="shared" si="13"/>
        <v>Valid</v>
      </c>
      <c r="T138" t="str">
        <f t="shared" si="14"/>
        <v>Valid</v>
      </c>
      <c r="U138" t="str">
        <f t="shared" si="15"/>
        <v>Valid</v>
      </c>
      <c r="V138" t="str">
        <f t="shared" si="16"/>
        <v>Valid</v>
      </c>
      <c r="W138" t="str">
        <f t="shared" si="17"/>
        <v>Valid</v>
      </c>
    </row>
    <row r="139" spans="1:23">
      <c r="A139" t="s">
        <v>169</v>
      </c>
      <c r="B139" s="2">
        <v>45711</v>
      </c>
      <c r="C139" t="s">
        <v>17</v>
      </c>
      <c r="D139" t="s">
        <v>32</v>
      </c>
      <c r="E139" t="s">
        <v>19</v>
      </c>
      <c r="F139" t="s">
        <v>29</v>
      </c>
      <c r="G139" t="s">
        <v>26</v>
      </c>
      <c r="H139">
        <v>1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P139">
        <v>70.900000000000006</v>
      </c>
      <c r="R139" t="str">
        <f t="shared" si="12"/>
        <v>Unique</v>
      </c>
      <c r="S139" t="str">
        <f t="shared" si="13"/>
        <v>Valid</v>
      </c>
      <c r="T139" t="str">
        <f t="shared" si="14"/>
        <v>Valid</v>
      </c>
      <c r="U139" t="str">
        <f t="shared" si="15"/>
        <v>Valid</v>
      </c>
      <c r="V139" t="str">
        <f t="shared" si="16"/>
        <v>Valid</v>
      </c>
      <c r="W139" t="str">
        <f t="shared" si="17"/>
        <v>Valid</v>
      </c>
    </row>
    <row r="140" spans="1:23">
      <c r="A140" t="s">
        <v>170</v>
      </c>
      <c r="B140" s="2">
        <v>45686</v>
      </c>
      <c r="C140" t="s">
        <v>17</v>
      </c>
      <c r="D140" t="s">
        <v>23</v>
      </c>
      <c r="E140" t="s">
        <v>24</v>
      </c>
      <c r="F140" t="s">
        <v>41</v>
      </c>
      <c r="G140" t="s">
        <v>21</v>
      </c>
      <c r="H140">
        <v>1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P140">
        <v>59.1</v>
      </c>
      <c r="R140" t="str">
        <f t="shared" si="12"/>
        <v>Unique</v>
      </c>
      <c r="S140" t="str">
        <f t="shared" si="13"/>
        <v>Valid</v>
      </c>
      <c r="T140" t="str">
        <f t="shared" si="14"/>
        <v>Valid</v>
      </c>
      <c r="U140" t="str">
        <f t="shared" si="15"/>
        <v>Valid</v>
      </c>
      <c r="V140" t="str">
        <f t="shared" si="16"/>
        <v>Valid</v>
      </c>
      <c r="W140" t="str">
        <f t="shared" si="17"/>
        <v>Valid</v>
      </c>
    </row>
    <row r="141" spans="1:23">
      <c r="A141" t="s">
        <v>171</v>
      </c>
      <c r="B141" s="2">
        <v>45688</v>
      </c>
      <c r="C141" t="s">
        <v>17</v>
      </c>
      <c r="D141" t="s">
        <v>18</v>
      </c>
      <c r="E141" t="s">
        <v>24</v>
      </c>
      <c r="F141" t="s">
        <v>25</v>
      </c>
      <c r="G141" t="s">
        <v>21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P141">
        <v>62.4</v>
      </c>
      <c r="R141" t="str">
        <f t="shared" si="12"/>
        <v>Unique</v>
      </c>
      <c r="S141" t="str">
        <f t="shared" si="13"/>
        <v>Valid</v>
      </c>
      <c r="T141" t="str">
        <f t="shared" si="14"/>
        <v>Valid</v>
      </c>
      <c r="U141" t="str">
        <f t="shared" si="15"/>
        <v>Valid</v>
      </c>
      <c r="V141" t="str">
        <f t="shared" si="16"/>
        <v>Valid</v>
      </c>
      <c r="W141" t="str">
        <f t="shared" si="17"/>
        <v>Valid</v>
      </c>
    </row>
    <row r="142" spans="1:23">
      <c r="A142" t="s">
        <v>172</v>
      </c>
      <c r="B142" s="2">
        <v>45676</v>
      </c>
      <c r="C142" t="s">
        <v>17</v>
      </c>
      <c r="D142" t="s">
        <v>32</v>
      </c>
      <c r="E142" t="s">
        <v>24</v>
      </c>
      <c r="F142" t="s">
        <v>25</v>
      </c>
      <c r="G142" t="s">
        <v>26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P142">
        <v>49.6</v>
      </c>
      <c r="R142" t="str">
        <f t="shared" si="12"/>
        <v>Unique</v>
      </c>
      <c r="S142" t="str">
        <f t="shared" si="13"/>
        <v>Valid</v>
      </c>
      <c r="T142" t="str">
        <f t="shared" si="14"/>
        <v>Valid</v>
      </c>
      <c r="U142" t="str">
        <f t="shared" si="15"/>
        <v>Valid</v>
      </c>
      <c r="V142" t="str">
        <f t="shared" si="16"/>
        <v>Valid</v>
      </c>
      <c r="W142" t="str">
        <f t="shared" si="17"/>
        <v>Valid</v>
      </c>
    </row>
    <row r="143" spans="1:23">
      <c r="A143" t="s">
        <v>173</v>
      </c>
      <c r="B143" s="2">
        <v>45750</v>
      </c>
      <c r="C143" t="s">
        <v>17</v>
      </c>
      <c r="D143" t="s">
        <v>23</v>
      </c>
      <c r="E143" t="s">
        <v>19</v>
      </c>
      <c r="F143" t="s">
        <v>41</v>
      </c>
      <c r="G143" t="s">
        <v>26</v>
      </c>
      <c r="H143">
        <v>1</v>
      </c>
      <c r="I143">
        <v>1</v>
      </c>
      <c r="J143">
        <v>1</v>
      </c>
      <c r="K143">
        <v>1</v>
      </c>
      <c r="L143">
        <v>404.4</v>
      </c>
      <c r="M143">
        <v>0</v>
      </c>
      <c r="N143">
        <v>0</v>
      </c>
      <c r="O143">
        <v>9</v>
      </c>
      <c r="P143">
        <v>80.599999999999994</v>
      </c>
      <c r="R143" t="str">
        <f t="shared" si="12"/>
        <v>Unique</v>
      </c>
      <c r="S143" t="str">
        <f t="shared" si="13"/>
        <v>Valid</v>
      </c>
      <c r="T143" t="str">
        <f t="shared" si="14"/>
        <v>Valid</v>
      </c>
      <c r="U143" t="str">
        <f t="shared" si="15"/>
        <v>Valid</v>
      </c>
      <c r="V143" t="str">
        <f t="shared" si="16"/>
        <v>Valid</v>
      </c>
      <c r="W143" t="str">
        <f t="shared" si="17"/>
        <v>Valid</v>
      </c>
    </row>
    <row r="144" spans="1:23">
      <c r="A144" t="s">
        <v>174</v>
      </c>
      <c r="B144" s="2">
        <v>45754</v>
      </c>
      <c r="C144" t="s">
        <v>17</v>
      </c>
      <c r="D144" t="s">
        <v>18</v>
      </c>
      <c r="E144" t="s">
        <v>24</v>
      </c>
      <c r="F144" t="s">
        <v>29</v>
      </c>
      <c r="G144" t="s">
        <v>26</v>
      </c>
      <c r="H144">
        <v>1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P144">
        <v>47.9</v>
      </c>
      <c r="R144" t="str">
        <f t="shared" si="12"/>
        <v>Unique</v>
      </c>
      <c r="S144" t="str">
        <f t="shared" si="13"/>
        <v>Valid</v>
      </c>
      <c r="T144" t="str">
        <f t="shared" si="14"/>
        <v>Valid</v>
      </c>
      <c r="U144" t="str">
        <f t="shared" si="15"/>
        <v>Valid</v>
      </c>
      <c r="V144" t="str">
        <f t="shared" si="16"/>
        <v>Valid</v>
      </c>
      <c r="W144" t="str">
        <f t="shared" si="17"/>
        <v>Valid</v>
      </c>
    </row>
    <row r="145" spans="1:23">
      <c r="A145" t="s">
        <v>175</v>
      </c>
      <c r="B145" s="2">
        <v>45663</v>
      </c>
      <c r="C145" t="s">
        <v>17</v>
      </c>
      <c r="D145" t="s">
        <v>28</v>
      </c>
      <c r="E145" t="s">
        <v>24</v>
      </c>
      <c r="F145" t="s">
        <v>29</v>
      </c>
      <c r="G145" t="s">
        <v>21</v>
      </c>
      <c r="H145">
        <v>1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P145">
        <v>54.8</v>
      </c>
      <c r="R145" t="str">
        <f t="shared" si="12"/>
        <v>Unique</v>
      </c>
      <c r="S145" t="str">
        <f t="shared" si="13"/>
        <v>Valid</v>
      </c>
      <c r="T145" t="str">
        <f t="shared" si="14"/>
        <v>Valid</v>
      </c>
      <c r="U145" t="str">
        <f t="shared" si="15"/>
        <v>Valid</v>
      </c>
      <c r="V145" t="str">
        <f t="shared" si="16"/>
        <v>Valid</v>
      </c>
      <c r="W145" t="str">
        <f t="shared" si="17"/>
        <v>Valid</v>
      </c>
    </row>
    <row r="146" spans="1:23">
      <c r="A146" t="s">
        <v>176</v>
      </c>
      <c r="B146" s="2">
        <v>45758</v>
      </c>
      <c r="C146" t="s">
        <v>17</v>
      </c>
      <c r="D146" t="s">
        <v>28</v>
      </c>
      <c r="E146" t="s">
        <v>24</v>
      </c>
      <c r="F146" t="s">
        <v>25</v>
      </c>
      <c r="G146" t="s">
        <v>26</v>
      </c>
      <c r="H146">
        <v>1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0</v>
      </c>
      <c r="P146">
        <v>53.9</v>
      </c>
      <c r="R146" t="str">
        <f t="shared" si="12"/>
        <v>Unique</v>
      </c>
      <c r="S146" t="str">
        <f t="shared" si="13"/>
        <v>Valid</v>
      </c>
      <c r="T146" t="str">
        <f t="shared" si="14"/>
        <v>Valid</v>
      </c>
      <c r="U146" t="str">
        <f t="shared" si="15"/>
        <v>Valid</v>
      </c>
      <c r="V146" t="str">
        <f t="shared" si="16"/>
        <v>Valid</v>
      </c>
      <c r="W146" t="str">
        <f t="shared" si="17"/>
        <v>Valid</v>
      </c>
    </row>
    <row r="147" spans="1:23">
      <c r="A147" t="s">
        <v>177</v>
      </c>
      <c r="B147" s="2">
        <v>45770</v>
      </c>
      <c r="C147" t="s">
        <v>17</v>
      </c>
      <c r="D147" t="s">
        <v>28</v>
      </c>
      <c r="E147" t="s">
        <v>24</v>
      </c>
      <c r="F147" t="s">
        <v>29</v>
      </c>
      <c r="G147" t="s">
        <v>26</v>
      </c>
      <c r="H147">
        <v>1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P147">
        <v>41.3</v>
      </c>
      <c r="R147" t="str">
        <f t="shared" si="12"/>
        <v>Unique</v>
      </c>
      <c r="S147" t="str">
        <f t="shared" si="13"/>
        <v>Valid</v>
      </c>
      <c r="T147" t="str">
        <f t="shared" si="14"/>
        <v>Valid</v>
      </c>
      <c r="U147" t="str">
        <f t="shared" si="15"/>
        <v>Valid</v>
      </c>
      <c r="V147" t="str">
        <f t="shared" si="16"/>
        <v>Valid</v>
      </c>
      <c r="W147" t="str">
        <f t="shared" si="17"/>
        <v>Valid</v>
      </c>
    </row>
    <row r="148" spans="1:23">
      <c r="A148" t="s">
        <v>178</v>
      </c>
      <c r="B148" s="2">
        <v>45741</v>
      </c>
      <c r="C148" t="s">
        <v>17</v>
      </c>
      <c r="D148" t="s">
        <v>23</v>
      </c>
      <c r="E148" t="s">
        <v>24</v>
      </c>
      <c r="F148" t="s">
        <v>25</v>
      </c>
      <c r="G148" t="s">
        <v>21</v>
      </c>
      <c r="H148">
        <v>1</v>
      </c>
      <c r="I148">
        <v>1</v>
      </c>
      <c r="J148">
        <v>0</v>
      </c>
      <c r="K148">
        <v>0</v>
      </c>
      <c r="L148">
        <v>0</v>
      </c>
      <c r="M148">
        <v>0</v>
      </c>
      <c r="N148">
        <v>0</v>
      </c>
      <c r="P148">
        <v>38.9</v>
      </c>
      <c r="R148" t="str">
        <f t="shared" si="12"/>
        <v>Unique</v>
      </c>
      <c r="S148" t="str">
        <f t="shared" si="13"/>
        <v>Valid</v>
      </c>
      <c r="T148" t="str">
        <f t="shared" si="14"/>
        <v>Valid</v>
      </c>
      <c r="U148" t="str">
        <f t="shared" si="15"/>
        <v>Valid</v>
      </c>
      <c r="V148" t="str">
        <f t="shared" si="16"/>
        <v>Valid</v>
      </c>
      <c r="W148" t="str">
        <f t="shared" si="17"/>
        <v>Valid</v>
      </c>
    </row>
    <row r="149" spans="1:23">
      <c r="A149" t="s">
        <v>179</v>
      </c>
      <c r="B149" s="2">
        <v>45802</v>
      </c>
      <c r="C149" t="s">
        <v>17</v>
      </c>
      <c r="D149" t="s">
        <v>32</v>
      </c>
      <c r="E149" t="s">
        <v>19</v>
      </c>
      <c r="F149" t="s">
        <v>25</v>
      </c>
      <c r="G149" t="s">
        <v>21</v>
      </c>
      <c r="H149">
        <v>1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P149">
        <v>63.6</v>
      </c>
      <c r="R149" t="str">
        <f t="shared" si="12"/>
        <v>Unique</v>
      </c>
      <c r="S149" t="str">
        <f t="shared" si="13"/>
        <v>Valid</v>
      </c>
      <c r="T149" t="str">
        <f t="shared" si="14"/>
        <v>Valid</v>
      </c>
      <c r="U149" t="str">
        <f t="shared" si="15"/>
        <v>Valid</v>
      </c>
      <c r="V149" t="str">
        <f t="shared" si="16"/>
        <v>Valid</v>
      </c>
      <c r="W149" t="str">
        <f t="shared" si="17"/>
        <v>Valid</v>
      </c>
    </row>
    <row r="150" spans="1:23">
      <c r="A150" t="s">
        <v>180</v>
      </c>
      <c r="B150" s="2">
        <v>45685</v>
      </c>
      <c r="C150" t="s">
        <v>17</v>
      </c>
      <c r="D150" t="s">
        <v>18</v>
      </c>
      <c r="E150" t="s">
        <v>24</v>
      </c>
      <c r="F150" t="s">
        <v>25</v>
      </c>
      <c r="G150" t="s">
        <v>26</v>
      </c>
      <c r="H150">
        <v>1</v>
      </c>
      <c r="I150">
        <v>1</v>
      </c>
      <c r="J150">
        <v>1</v>
      </c>
      <c r="K150">
        <v>1</v>
      </c>
      <c r="L150">
        <v>577.94000000000005</v>
      </c>
      <c r="M150">
        <v>0</v>
      </c>
      <c r="N150">
        <v>0</v>
      </c>
      <c r="O150">
        <v>9</v>
      </c>
      <c r="P150">
        <v>76.599999999999994</v>
      </c>
      <c r="R150" t="str">
        <f t="shared" si="12"/>
        <v>Unique</v>
      </c>
      <c r="S150" t="str">
        <f t="shared" si="13"/>
        <v>Valid</v>
      </c>
      <c r="T150" t="str">
        <f t="shared" si="14"/>
        <v>Valid</v>
      </c>
      <c r="U150" t="str">
        <f t="shared" si="15"/>
        <v>Valid</v>
      </c>
      <c r="V150" t="str">
        <f t="shared" si="16"/>
        <v>Valid</v>
      </c>
      <c r="W150" t="str">
        <f t="shared" si="17"/>
        <v>Valid</v>
      </c>
    </row>
    <row r="151" spans="1:23">
      <c r="A151" t="s">
        <v>181</v>
      </c>
      <c r="B151" s="2">
        <v>45700</v>
      </c>
      <c r="C151" t="s">
        <v>17</v>
      </c>
      <c r="D151" t="s">
        <v>23</v>
      </c>
      <c r="E151" t="s">
        <v>24</v>
      </c>
      <c r="F151" t="s">
        <v>29</v>
      </c>
      <c r="G151" t="s">
        <v>30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0</v>
      </c>
      <c r="P151">
        <v>67.599999999999994</v>
      </c>
      <c r="R151" t="str">
        <f t="shared" si="12"/>
        <v>Unique</v>
      </c>
      <c r="S151" t="str">
        <f t="shared" si="13"/>
        <v>Valid</v>
      </c>
      <c r="T151" t="str">
        <f t="shared" si="14"/>
        <v>Valid</v>
      </c>
      <c r="U151" t="str">
        <f t="shared" si="15"/>
        <v>Valid</v>
      </c>
      <c r="V151" t="str">
        <f t="shared" si="16"/>
        <v>Valid</v>
      </c>
      <c r="W151" t="str">
        <f t="shared" si="17"/>
        <v>Valid</v>
      </c>
    </row>
    <row r="152" spans="1:23">
      <c r="A152" t="s">
        <v>182</v>
      </c>
      <c r="B152" s="2">
        <v>45776</v>
      </c>
      <c r="C152" t="s">
        <v>17</v>
      </c>
      <c r="D152" t="s">
        <v>18</v>
      </c>
      <c r="E152" t="s">
        <v>24</v>
      </c>
      <c r="F152" t="s">
        <v>41</v>
      </c>
      <c r="G152" t="s">
        <v>30</v>
      </c>
      <c r="H152">
        <v>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P152">
        <v>43.1</v>
      </c>
      <c r="R152" t="str">
        <f t="shared" si="12"/>
        <v>Unique</v>
      </c>
      <c r="S152" t="str">
        <f t="shared" si="13"/>
        <v>Valid</v>
      </c>
      <c r="T152" t="str">
        <f t="shared" si="14"/>
        <v>Valid</v>
      </c>
      <c r="U152" t="str">
        <f t="shared" si="15"/>
        <v>Valid</v>
      </c>
      <c r="V152" t="str">
        <f t="shared" si="16"/>
        <v>Valid</v>
      </c>
      <c r="W152" t="str">
        <f t="shared" si="17"/>
        <v>Valid</v>
      </c>
    </row>
    <row r="153" spans="1:23">
      <c r="A153" t="s">
        <v>183</v>
      </c>
      <c r="B153" s="2">
        <v>45729</v>
      </c>
      <c r="C153" t="s">
        <v>17</v>
      </c>
      <c r="D153" t="s">
        <v>32</v>
      </c>
      <c r="E153" t="s">
        <v>24</v>
      </c>
      <c r="F153" t="s">
        <v>20</v>
      </c>
      <c r="G153" t="s">
        <v>26</v>
      </c>
      <c r="H153">
        <v>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P153">
        <v>58.3</v>
      </c>
      <c r="R153" t="str">
        <f t="shared" si="12"/>
        <v>Unique</v>
      </c>
      <c r="S153" t="str">
        <f t="shared" si="13"/>
        <v>Valid</v>
      </c>
      <c r="T153" t="str">
        <f t="shared" si="14"/>
        <v>Valid</v>
      </c>
      <c r="U153" t="str">
        <f t="shared" si="15"/>
        <v>Valid</v>
      </c>
      <c r="V153" t="str">
        <f t="shared" si="16"/>
        <v>Valid</v>
      </c>
      <c r="W153" t="str">
        <f t="shared" si="17"/>
        <v>Valid</v>
      </c>
    </row>
    <row r="154" spans="1:23">
      <c r="A154" t="s">
        <v>184</v>
      </c>
      <c r="B154" s="2">
        <v>45692</v>
      </c>
      <c r="C154" t="s">
        <v>17</v>
      </c>
      <c r="D154" t="s">
        <v>28</v>
      </c>
      <c r="E154" t="s">
        <v>19</v>
      </c>
      <c r="F154" t="s">
        <v>29</v>
      </c>
      <c r="G154" t="s">
        <v>26</v>
      </c>
      <c r="H154">
        <v>1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P154">
        <v>69.8</v>
      </c>
      <c r="R154" t="str">
        <f t="shared" si="12"/>
        <v>Unique</v>
      </c>
      <c r="S154" t="str">
        <f t="shared" si="13"/>
        <v>Valid</v>
      </c>
      <c r="T154" t="str">
        <f t="shared" si="14"/>
        <v>Valid</v>
      </c>
      <c r="U154" t="str">
        <f t="shared" si="15"/>
        <v>Valid</v>
      </c>
      <c r="V154" t="str">
        <f t="shared" si="16"/>
        <v>Valid</v>
      </c>
      <c r="W154" t="str">
        <f t="shared" si="17"/>
        <v>Valid</v>
      </c>
    </row>
    <row r="155" spans="1:23">
      <c r="A155" t="s">
        <v>185</v>
      </c>
      <c r="B155" s="2">
        <v>45720</v>
      </c>
      <c r="C155" t="s">
        <v>17</v>
      </c>
      <c r="D155" t="s">
        <v>32</v>
      </c>
      <c r="E155" t="s">
        <v>24</v>
      </c>
      <c r="F155" t="s">
        <v>39</v>
      </c>
      <c r="G155" t="s">
        <v>26</v>
      </c>
      <c r="H155">
        <v>1</v>
      </c>
      <c r="I155">
        <v>1</v>
      </c>
      <c r="J155">
        <v>0</v>
      </c>
      <c r="K155">
        <v>0</v>
      </c>
      <c r="L155">
        <v>0</v>
      </c>
      <c r="M155">
        <v>0</v>
      </c>
      <c r="N155">
        <v>0</v>
      </c>
      <c r="P155">
        <v>60.02</v>
      </c>
      <c r="R155" t="str">
        <f t="shared" si="12"/>
        <v>Unique</v>
      </c>
      <c r="S155" t="str">
        <f t="shared" si="13"/>
        <v>Valid</v>
      </c>
      <c r="T155" t="str">
        <f t="shared" si="14"/>
        <v>Valid</v>
      </c>
      <c r="U155" t="str">
        <f t="shared" si="15"/>
        <v>Valid</v>
      </c>
      <c r="V155" t="str">
        <f t="shared" si="16"/>
        <v>Valid</v>
      </c>
      <c r="W155" t="str">
        <f t="shared" si="17"/>
        <v>Valid</v>
      </c>
    </row>
    <row r="156" spans="1:23">
      <c r="A156" t="s">
        <v>186</v>
      </c>
      <c r="B156" s="2">
        <v>45692</v>
      </c>
      <c r="C156" t="s">
        <v>17</v>
      </c>
      <c r="D156" t="s">
        <v>23</v>
      </c>
      <c r="E156" t="s">
        <v>24</v>
      </c>
      <c r="F156" t="s">
        <v>29</v>
      </c>
      <c r="G156" t="s">
        <v>21</v>
      </c>
      <c r="H156">
        <v>1</v>
      </c>
      <c r="I156">
        <v>1</v>
      </c>
      <c r="J156">
        <v>0</v>
      </c>
      <c r="K156">
        <v>0</v>
      </c>
      <c r="L156">
        <v>0</v>
      </c>
      <c r="M156">
        <v>0</v>
      </c>
      <c r="N156">
        <v>0</v>
      </c>
      <c r="P156">
        <v>41.9</v>
      </c>
      <c r="R156" t="str">
        <f t="shared" si="12"/>
        <v>Unique</v>
      </c>
      <c r="S156" t="str">
        <f t="shared" si="13"/>
        <v>Valid</v>
      </c>
      <c r="T156" t="str">
        <f t="shared" si="14"/>
        <v>Valid</v>
      </c>
      <c r="U156" t="str">
        <f t="shared" si="15"/>
        <v>Valid</v>
      </c>
      <c r="V156" t="str">
        <f t="shared" si="16"/>
        <v>Valid</v>
      </c>
      <c r="W156" t="str">
        <f t="shared" si="17"/>
        <v>Valid</v>
      </c>
    </row>
    <row r="157" spans="1:23">
      <c r="A157" t="s">
        <v>187</v>
      </c>
      <c r="B157" s="2">
        <v>45727</v>
      </c>
      <c r="C157" t="s">
        <v>17</v>
      </c>
      <c r="D157" t="s">
        <v>18</v>
      </c>
      <c r="E157" t="s">
        <v>19</v>
      </c>
      <c r="F157" t="s">
        <v>25</v>
      </c>
      <c r="G157" t="s">
        <v>26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P157">
        <v>33.1</v>
      </c>
      <c r="R157" t="str">
        <f t="shared" si="12"/>
        <v>Unique</v>
      </c>
      <c r="S157" t="str">
        <f t="shared" si="13"/>
        <v>Valid</v>
      </c>
      <c r="T157" t="str">
        <f t="shared" si="14"/>
        <v>Valid</v>
      </c>
      <c r="U157" t="str">
        <f t="shared" si="15"/>
        <v>Valid</v>
      </c>
      <c r="V157" t="str">
        <f t="shared" si="16"/>
        <v>Valid</v>
      </c>
      <c r="W157" t="str">
        <f t="shared" si="17"/>
        <v>Valid</v>
      </c>
    </row>
    <row r="158" spans="1:23">
      <c r="A158" t="s">
        <v>188</v>
      </c>
      <c r="B158" s="2">
        <v>45769</v>
      </c>
      <c r="C158" t="s">
        <v>17</v>
      </c>
      <c r="D158" t="s">
        <v>23</v>
      </c>
      <c r="E158" t="s">
        <v>24</v>
      </c>
      <c r="F158" t="s">
        <v>25</v>
      </c>
      <c r="G158" t="s">
        <v>26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P158">
        <v>58.6</v>
      </c>
      <c r="R158" t="str">
        <f t="shared" si="12"/>
        <v>Unique</v>
      </c>
      <c r="S158" t="str">
        <f t="shared" si="13"/>
        <v>Valid</v>
      </c>
      <c r="T158" t="str">
        <f t="shared" si="14"/>
        <v>Valid</v>
      </c>
      <c r="U158" t="str">
        <f t="shared" si="15"/>
        <v>Valid</v>
      </c>
      <c r="V158" t="str">
        <f t="shared" si="16"/>
        <v>Valid</v>
      </c>
      <c r="W158" t="str">
        <f t="shared" si="17"/>
        <v>Valid</v>
      </c>
    </row>
    <row r="159" spans="1:23">
      <c r="A159" t="s">
        <v>189</v>
      </c>
      <c r="B159" s="2">
        <v>45724</v>
      </c>
      <c r="C159" t="s">
        <v>17</v>
      </c>
      <c r="D159" t="s">
        <v>18</v>
      </c>
      <c r="E159" t="s">
        <v>19</v>
      </c>
      <c r="F159" t="s">
        <v>29</v>
      </c>
      <c r="G159" t="s">
        <v>26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P159">
        <v>55.7</v>
      </c>
      <c r="R159" t="str">
        <f t="shared" si="12"/>
        <v>Unique</v>
      </c>
      <c r="S159" t="str">
        <f t="shared" si="13"/>
        <v>Valid</v>
      </c>
      <c r="T159" t="str">
        <f t="shared" si="14"/>
        <v>Valid</v>
      </c>
      <c r="U159" t="str">
        <f t="shared" si="15"/>
        <v>Valid</v>
      </c>
      <c r="V159" t="str">
        <f t="shared" si="16"/>
        <v>Valid</v>
      </c>
      <c r="W159" t="str">
        <f t="shared" si="17"/>
        <v>Valid</v>
      </c>
    </row>
    <row r="160" spans="1:23">
      <c r="A160" t="s">
        <v>190</v>
      </c>
      <c r="B160" s="2">
        <v>45726</v>
      </c>
      <c r="C160" t="s">
        <v>17</v>
      </c>
      <c r="D160" t="s">
        <v>28</v>
      </c>
      <c r="E160" t="s">
        <v>24</v>
      </c>
      <c r="F160" t="s">
        <v>25</v>
      </c>
      <c r="G160" t="s">
        <v>26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2</v>
      </c>
      <c r="N160">
        <v>0</v>
      </c>
      <c r="P160">
        <v>64.900000000000006</v>
      </c>
      <c r="R160" t="str">
        <f t="shared" si="12"/>
        <v>Unique</v>
      </c>
      <c r="S160" t="str">
        <f t="shared" si="13"/>
        <v>Valid</v>
      </c>
      <c r="T160" t="str">
        <f t="shared" si="14"/>
        <v>Valid</v>
      </c>
      <c r="U160" t="str">
        <f t="shared" si="15"/>
        <v>Valid</v>
      </c>
      <c r="V160" t="str">
        <f t="shared" si="16"/>
        <v>Valid</v>
      </c>
      <c r="W160" t="str">
        <f t="shared" si="17"/>
        <v>Valid</v>
      </c>
    </row>
    <row r="161" spans="1:23">
      <c r="A161" t="s">
        <v>191</v>
      </c>
      <c r="B161" s="2">
        <v>45795</v>
      </c>
      <c r="C161" t="s">
        <v>17</v>
      </c>
      <c r="D161" t="s">
        <v>18</v>
      </c>
      <c r="E161" t="s">
        <v>19</v>
      </c>
      <c r="F161" t="s">
        <v>29</v>
      </c>
      <c r="G161" t="s">
        <v>21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P161">
        <v>72.3</v>
      </c>
      <c r="R161" t="str">
        <f t="shared" si="12"/>
        <v>Unique</v>
      </c>
      <c r="S161" t="str">
        <f t="shared" si="13"/>
        <v>Valid</v>
      </c>
      <c r="T161" t="str">
        <f t="shared" si="14"/>
        <v>Valid</v>
      </c>
      <c r="U161" t="str">
        <f t="shared" si="15"/>
        <v>Valid</v>
      </c>
      <c r="V161" t="str">
        <f t="shared" si="16"/>
        <v>Valid</v>
      </c>
      <c r="W161" t="str">
        <f t="shared" si="17"/>
        <v>Valid</v>
      </c>
    </row>
    <row r="162" spans="1:23">
      <c r="A162" t="s">
        <v>192</v>
      </c>
      <c r="B162" s="2">
        <v>45791</v>
      </c>
      <c r="C162" t="s">
        <v>17</v>
      </c>
      <c r="D162" t="s">
        <v>18</v>
      </c>
      <c r="E162" t="s">
        <v>24</v>
      </c>
      <c r="F162" t="s">
        <v>41</v>
      </c>
      <c r="G162" t="s">
        <v>21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P162">
        <v>42.1</v>
      </c>
      <c r="R162" t="str">
        <f t="shared" si="12"/>
        <v>Unique</v>
      </c>
      <c r="S162" t="str">
        <f t="shared" si="13"/>
        <v>Valid</v>
      </c>
      <c r="T162" t="str">
        <f t="shared" si="14"/>
        <v>Valid</v>
      </c>
      <c r="U162" t="str">
        <f t="shared" si="15"/>
        <v>Valid</v>
      </c>
      <c r="V162" t="str">
        <f t="shared" si="16"/>
        <v>Valid</v>
      </c>
      <c r="W162" t="str">
        <f t="shared" si="17"/>
        <v>Valid</v>
      </c>
    </row>
    <row r="163" spans="1:23">
      <c r="A163" t="s">
        <v>193</v>
      </c>
      <c r="B163" s="2">
        <v>45689</v>
      </c>
      <c r="C163" t="s">
        <v>17</v>
      </c>
      <c r="D163" t="s">
        <v>18</v>
      </c>
      <c r="E163" t="s">
        <v>24</v>
      </c>
      <c r="F163" t="s">
        <v>25</v>
      </c>
      <c r="G163" t="s">
        <v>26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P163">
        <v>60.02</v>
      </c>
      <c r="R163" t="str">
        <f t="shared" si="12"/>
        <v>Unique</v>
      </c>
      <c r="S163" t="str">
        <f t="shared" si="13"/>
        <v>Valid</v>
      </c>
      <c r="T163" t="str">
        <f t="shared" si="14"/>
        <v>Valid</v>
      </c>
      <c r="U163" t="str">
        <f t="shared" si="15"/>
        <v>Valid</v>
      </c>
      <c r="V163" t="str">
        <f t="shared" si="16"/>
        <v>Valid</v>
      </c>
      <c r="W163" t="str">
        <f t="shared" si="17"/>
        <v>Valid</v>
      </c>
    </row>
    <row r="164" spans="1:23">
      <c r="A164" t="s">
        <v>194</v>
      </c>
      <c r="B164" s="2">
        <v>45758</v>
      </c>
      <c r="C164" t="s">
        <v>17</v>
      </c>
      <c r="D164" t="s">
        <v>32</v>
      </c>
      <c r="E164" t="s">
        <v>24</v>
      </c>
      <c r="F164" t="s">
        <v>25</v>
      </c>
      <c r="G164" t="s">
        <v>21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</v>
      </c>
      <c r="N164">
        <v>0</v>
      </c>
      <c r="P164">
        <v>64.8</v>
      </c>
      <c r="R164" t="str">
        <f t="shared" si="12"/>
        <v>Unique</v>
      </c>
      <c r="S164" t="str">
        <f t="shared" si="13"/>
        <v>Valid</v>
      </c>
      <c r="T164" t="str">
        <f t="shared" si="14"/>
        <v>Valid</v>
      </c>
      <c r="U164" t="str">
        <f t="shared" si="15"/>
        <v>Valid</v>
      </c>
      <c r="V164" t="str">
        <f t="shared" si="16"/>
        <v>Valid</v>
      </c>
      <c r="W164" t="str">
        <f t="shared" si="17"/>
        <v>Valid</v>
      </c>
    </row>
    <row r="165" spans="1:23">
      <c r="A165" t="s">
        <v>195</v>
      </c>
      <c r="B165" s="2">
        <v>45702</v>
      </c>
      <c r="C165" t="s">
        <v>17</v>
      </c>
      <c r="D165" t="s">
        <v>28</v>
      </c>
      <c r="E165" t="s">
        <v>24</v>
      </c>
      <c r="F165" t="s">
        <v>25</v>
      </c>
      <c r="G165" t="s">
        <v>26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P165">
        <v>72.099999999999994</v>
      </c>
      <c r="R165" t="str">
        <f t="shared" si="12"/>
        <v>Unique</v>
      </c>
      <c r="S165" t="str">
        <f t="shared" si="13"/>
        <v>Valid</v>
      </c>
      <c r="T165" t="str">
        <f t="shared" si="14"/>
        <v>Valid</v>
      </c>
      <c r="U165" t="str">
        <f t="shared" si="15"/>
        <v>Valid</v>
      </c>
      <c r="V165" t="str">
        <f t="shared" si="16"/>
        <v>Valid</v>
      </c>
      <c r="W165" t="str">
        <f t="shared" si="17"/>
        <v>Valid</v>
      </c>
    </row>
    <row r="166" spans="1:23">
      <c r="A166" t="s">
        <v>196</v>
      </c>
      <c r="B166" s="2">
        <v>45796</v>
      </c>
      <c r="C166" t="s">
        <v>17</v>
      </c>
      <c r="D166" t="s">
        <v>28</v>
      </c>
      <c r="E166" t="s">
        <v>24</v>
      </c>
      <c r="F166" t="s">
        <v>41</v>
      </c>
      <c r="G166" t="s">
        <v>26</v>
      </c>
      <c r="H166">
        <v>1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P166">
        <v>50.6</v>
      </c>
      <c r="R166" t="str">
        <f t="shared" si="12"/>
        <v>Unique</v>
      </c>
      <c r="S166" t="str">
        <f t="shared" si="13"/>
        <v>Valid</v>
      </c>
      <c r="T166" t="str">
        <f t="shared" si="14"/>
        <v>Valid</v>
      </c>
      <c r="U166" t="str">
        <f t="shared" si="15"/>
        <v>Valid</v>
      </c>
      <c r="V166" t="str">
        <f t="shared" si="16"/>
        <v>Valid</v>
      </c>
      <c r="W166" t="str">
        <f t="shared" si="17"/>
        <v>Valid</v>
      </c>
    </row>
    <row r="167" spans="1:23">
      <c r="A167" t="s">
        <v>197</v>
      </c>
      <c r="B167" s="2">
        <v>45773</v>
      </c>
      <c r="C167" t="s">
        <v>17</v>
      </c>
      <c r="D167" t="s">
        <v>18</v>
      </c>
      <c r="E167" t="s">
        <v>19</v>
      </c>
      <c r="F167" t="s">
        <v>29</v>
      </c>
      <c r="G167" t="s">
        <v>21</v>
      </c>
      <c r="H167">
        <v>1</v>
      </c>
      <c r="I167">
        <v>1</v>
      </c>
      <c r="J167">
        <v>1</v>
      </c>
      <c r="K167">
        <v>1</v>
      </c>
      <c r="L167">
        <v>1281.25</v>
      </c>
      <c r="M167">
        <v>1</v>
      </c>
      <c r="N167">
        <v>0</v>
      </c>
      <c r="O167">
        <v>9</v>
      </c>
      <c r="P167">
        <v>43.4</v>
      </c>
      <c r="R167" t="str">
        <f t="shared" si="12"/>
        <v>Unique</v>
      </c>
      <c r="S167" t="str">
        <f t="shared" si="13"/>
        <v>Valid</v>
      </c>
      <c r="T167" t="str">
        <f t="shared" si="14"/>
        <v>Valid</v>
      </c>
      <c r="U167" t="str">
        <f t="shared" si="15"/>
        <v>Valid</v>
      </c>
      <c r="V167" t="str">
        <f t="shared" si="16"/>
        <v>Valid</v>
      </c>
      <c r="W167" t="str">
        <f t="shared" si="17"/>
        <v>Valid</v>
      </c>
    </row>
    <row r="168" spans="1:23">
      <c r="A168" t="s">
        <v>198</v>
      </c>
      <c r="B168" s="2">
        <v>45753</v>
      </c>
      <c r="C168" t="s">
        <v>17</v>
      </c>
      <c r="D168" t="s">
        <v>32</v>
      </c>
      <c r="E168" t="s">
        <v>24</v>
      </c>
      <c r="F168" t="s">
        <v>41</v>
      </c>
      <c r="G168" t="s">
        <v>26</v>
      </c>
      <c r="H168">
        <v>1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P168">
        <v>59.7</v>
      </c>
      <c r="R168" t="str">
        <f t="shared" si="12"/>
        <v>Unique</v>
      </c>
      <c r="S168" t="str">
        <f t="shared" si="13"/>
        <v>Valid</v>
      </c>
      <c r="T168" t="str">
        <f t="shared" si="14"/>
        <v>Valid</v>
      </c>
      <c r="U168" t="str">
        <f t="shared" si="15"/>
        <v>Valid</v>
      </c>
      <c r="V168" t="str">
        <f t="shared" si="16"/>
        <v>Valid</v>
      </c>
      <c r="W168" t="str">
        <f t="shared" si="17"/>
        <v>Valid</v>
      </c>
    </row>
    <row r="169" spans="1:23">
      <c r="A169" t="s">
        <v>199</v>
      </c>
      <c r="B169" s="2">
        <v>45722</v>
      </c>
      <c r="C169" t="s">
        <v>17</v>
      </c>
      <c r="D169" t="s">
        <v>32</v>
      </c>
      <c r="E169" t="s">
        <v>24</v>
      </c>
      <c r="F169" t="s">
        <v>29</v>
      </c>
      <c r="G169" t="s">
        <v>26</v>
      </c>
      <c r="H169">
        <v>1</v>
      </c>
      <c r="I169">
        <v>0</v>
      </c>
      <c r="J169">
        <v>0</v>
      </c>
      <c r="K169">
        <v>0</v>
      </c>
      <c r="L169">
        <v>0</v>
      </c>
      <c r="M169">
        <v>1</v>
      </c>
      <c r="N169">
        <v>0</v>
      </c>
      <c r="P169">
        <v>60.02</v>
      </c>
      <c r="R169" t="str">
        <f t="shared" si="12"/>
        <v>Unique</v>
      </c>
      <c r="S169" t="str">
        <f t="shared" si="13"/>
        <v>Valid</v>
      </c>
      <c r="T169" t="str">
        <f t="shared" si="14"/>
        <v>Valid</v>
      </c>
      <c r="U169" t="str">
        <f t="shared" si="15"/>
        <v>Valid</v>
      </c>
      <c r="V169" t="str">
        <f t="shared" si="16"/>
        <v>Valid</v>
      </c>
      <c r="W169" t="str">
        <f t="shared" si="17"/>
        <v>Valid</v>
      </c>
    </row>
    <row r="170" spans="1:23">
      <c r="A170" t="s">
        <v>200</v>
      </c>
      <c r="B170" s="2">
        <v>45726</v>
      </c>
      <c r="C170" t="s">
        <v>17</v>
      </c>
      <c r="D170" t="s">
        <v>23</v>
      </c>
      <c r="E170" t="s">
        <v>24</v>
      </c>
      <c r="F170" t="s">
        <v>41</v>
      </c>
      <c r="G170" t="s">
        <v>21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P170">
        <v>54.5</v>
      </c>
      <c r="R170" t="str">
        <f t="shared" si="12"/>
        <v>Unique</v>
      </c>
      <c r="S170" t="str">
        <f t="shared" si="13"/>
        <v>Valid</v>
      </c>
      <c r="T170" t="str">
        <f t="shared" si="14"/>
        <v>Valid</v>
      </c>
      <c r="U170" t="str">
        <f t="shared" si="15"/>
        <v>Valid</v>
      </c>
      <c r="V170" t="str">
        <f t="shared" si="16"/>
        <v>Valid</v>
      </c>
      <c r="W170" t="str">
        <f t="shared" si="17"/>
        <v>Valid</v>
      </c>
    </row>
    <row r="171" spans="1:23">
      <c r="A171" t="s">
        <v>201</v>
      </c>
      <c r="B171" s="2">
        <v>45746</v>
      </c>
      <c r="C171" t="s">
        <v>17</v>
      </c>
      <c r="D171" t="s">
        <v>18</v>
      </c>
      <c r="E171" t="s">
        <v>24</v>
      </c>
      <c r="F171" t="s">
        <v>25</v>
      </c>
      <c r="G171" t="s">
        <v>26</v>
      </c>
      <c r="H171">
        <v>1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P171">
        <v>71.099999999999994</v>
      </c>
      <c r="R171" t="str">
        <f t="shared" si="12"/>
        <v>Unique</v>
      </c>
      <c r="S171" t="str">
        <f t="shared" si="13"/>
        <v>Valid</v>
      </c>
      <c r="T171" t="str">
        <f t="shared" si="14"/>
        <v>Valid</v>
      </c>
      <c r="U171" t="str">
        <f t="shared" si="15"/>
        <v>Valid</v>
      </c>
      <c r="V171" t="str">
        <f t="shared" si="16"/>
        <v>Valid</v>
      </c>
      <c r="W171" t="str">
        <f t="shared" si="17"/>
        <v>Valid</v>
      </c>
    </row>
    <row r="172" spans="1:23">
      <c r="A172" t="s">
        <v>202</v>
      </c>
      <c r="B172" s="2">
        <v>45806</v>
      </c>
      <c r="C172" t="s">
        <v>17</v>
      </c>
      <c r="D172" t="s">
        <v>28</v>
      </c>
      <c r="E172" t="s">
        <v>1451</v>
      </c>
      <c r="F172" t="s">
        <v>29</v>
      </c>
      <c r="G172" t="s">
        <v>26</v>
      </c>
      <c r="H172">
        <v>1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P172">
        <v>44.4</v>
      </c>
      <c r="R172" t="str">
        <f t="shared" si="12"/>
        <v>Unique</v>
      </c>
      <c r="S172" t="str">
        <f t="shared" si="13"/>
        <v>Valid</v>
      </c>
      <c r="T172" t="str">
        <f t="shared" si="14"/>
        <v>Valid</v>
      </c>
      <c r="U172" t="str">
        <f t="shared" si="15"/>
        <v>Valid</v>
      </c>
      <c r="V172" t="str">
        <f t="shared" si="16"/>
        <v>Valid</v>
      </c>
      <c r="W172" t="str">
        <f t="shared" si="17"/>
        <v>Valid</v>
      </c>
    </row>
    <row r="173" spans="1:23">
      <c r="A173" t="s">
        <v>203</v>
      </c>
      <c r="B173" s="2">
        <v>45739</v>
      </c>
      <c r="C173" t="s">
        <v>17</v>
      </c>
      <c r="D173" t="s">
        <v>18</v>
      </c>
      <c r="E173" t="s">
        <v>24</v>
      </c>
      <c r="F173" t="s">
        <v>25</v>
      </c>
      <c r="G173" t="s">
        <v>26</v>
      </c>
      <c r="H173">
        <v>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P173">
        <v>61.7</v>
      </c>
      <c r="R173" t="str">
        <f t="shared" si="12"/>
        <v>Unique</v>
      </c>
      <c r="S173" t="str">
        <f t="shared" si="13"/>
        <v>Valid</v>
      </c>
      <c r="T173" t="str">
        <f t="shared" si="14"/>
        <v>Valid</v>
      </c>
      <c r="U173" t="str">
        <f t="shared" si="15"/>
        <v>Valid</v>
      </c>
      <c r="V173" t="str">
        <f t="shared" si="16"/>
        <v>Valid</v>
      </c>
      <c r="W173" t="str">
        <f t="shared" si="17"/>
        <v>Valid</v>
      </c>
    </row>
    <row r="174" spans="1:23">
      <c r="A174" t="s">
        <v>204</v>
      </c>
      <c r="B174" s="2">
        <v>45706</v>
      </c>
      <c r="C174" t="s">
        <v>17</v>
      </c>
      <c r="D174" t="s">
        <v>18</v>
      </c>
      <c r="E174" t="s">
        <v>34</v>
      </c>
      <c r="F174" t="s">
        <v>25</v>
      </c>
      <c r="G174" t="s">
        <v>21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1</v>
      </c>
      <c r="N174">
        <v>0</v>
      </c>
      <c r="P174">
        <v>81.3</v>
      </c>
      <c r="R174" t="str">
        <f t="shared" si="12"/>
        <v>Unique</v>
      </c>
      <c r="S174" t="str">
        <f t="shared" si="13"/>
        <v>Valid</v>
      </c>
      <c r="T174" t="str">
        <f t="shared" si="14"/>
        <v>Valid</v>
      </c>
      <c r="U174" t="str">
        <f t="shared" si="15"/>
        <v>Valid</v>
      </c>
      <c r="V174" t="str">
        <f t="shared" si="16"/>
        <v>Valid</v>
      </c>
      <c r="W174" t="str">
        <f t="shared" si="17"/>
        <v>Valid</v>
      </c>
    </row>
    <row r="175" spans="1:23">
      <c r="A175" t="s">
        <v>205</v>
      </c>
      <c r="B175" s="2">
        <v>45683</v>
      </c>
      <c r="C175" t="s">
        <v>17</v>
      </c>
      <c r="D175" t="s">
        <v>18</v>
      </c>
      <c r="E175" t="s">
        <v>19</v>
      </c>
      <c r="F175" t="s">
        <v>20</v>
      </c>
      <c r="G175" t="s">
        <v>26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2</v>
      </c>
      <c r="N175">
        <v>0</v>
      </c>
      <c r="P175">
        <v>28.7</v>
      </c>
      <c r="R175" t="str">
        <f t="shared" si="12"/>
        <v>Unique</v>
      </c>
      <c r="S175" t="str">
        <f t="shared" si="13"/>
        <v>Valid</v>
      </c>
      <c r="T175" t="str">
        <f t="shared" si="14"/>
        <v>Valid</v>
      </c>
      <c r="U175" t="str">
        <f t="shared" si="15"/>
        <v>Valid</v>
      </c>
      <c r="V175" t="str">
        <f t="shared" si="16"/>
        <v>Valid</v>
      </c>
      <c r="W175" t="str">
        <f t="shared" si="17"/>
        <v>Valid</v>
      </c>
    </row>
    <row r="176" spans="1:23">
      <c r="A176" t="s">
        <v>206</v>
      </c>
      <c r="B176" s="2">
        <v>45770</v>
      </c>
      <c r="C176" t="s">
        <v>17</v>
      </c>
      <c r="D176" t="s">
        <v>28</v>
      </c>
      <c r="E176" t="s">
        <v>24</v>
      </c>
      <c r="F176" t="s">
        <v>41</v>
      </c>
      <c r="G176" t="s">
        <v>21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P176">
        <v>53</v>
      </c>
      <c r="R176" t="str">
        <f t="shared" si="12"/>
        <v>Unique</v>
      </c>
      <c r="S176" t="str">
        <f t="shared" si="13"/>
        <v>Valid</v>
      </c>
      <c r="T176" t="str">
        <f t="shared" si="14"/>
        <v>Valid</v>
      </c>
      <c r="U176" t="str">
        <f t="shared" si="15"/>
        <v>Valid</v>
      </c>
      <c r="V176" t="str">
        <f t="shared" si="16"/>
        <v>Valid</v>
      </c>
      <c r="W176" t="str">
        <f t="shared" si="17"/>
        <v>Valid</v>
      </c>
    </row>
    <row r="177" spans="1:23">
      <c r="A177" t="s">
        <v>207</v>
      </c>
      <c r="B177" s="2">
        <v>45732</v>
      </c>
      <c r="C177" t="s">
        <v>17</v>
      </c>
      <c r="D177" t="s">
        <v>32</v>
      </c>
      <c r="E177" t="s">
        <v>34</v>
      </c>
      <c r="F177" t="s">
        <v>39</v>
      </c>
      <c r="G177" t="s">
        <v>21</v>
      </c>
      <c r="H177">
        <v>1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P177">
        <v>54.9</v>
      </c>
      <c r="R177" t="str">
        <f t="shared" si="12"/>
        <v>Unique</v>
      </c>
      <c r="S177" t="str">
        <f t="shared" si="13"/>
        <v>Valid</v>
      </c>
      <c r="T177" t="str">
        <f t="shared" si="14"/>
        <v>Valid</v>
      </c>
      <c r="U177" t="str">
        <f t="shared" si="15"/>
        <v>Valid</v>
      </c>
      <c r="V177" t="str">
        <f t="shared" si="16"/>
        <v>Valid</v>
      </c>
      <c r="W177" t="str">
        <f t="shared" si="17"/>
        <v>Valid</v>
      </c>
    </row>
    <row r="178" spans="1:23">
      <c r="A178" t="s">
        <v>208</v>
      </c>
      <c r="B178" s="2">
        <v>45776</v>
      </c>
      <c r="C178" t="s">
        <v>17</v>
      </c>
      <c r="D178" t="s">
        <v>23</v>
      </c>
      <c r="E178" t="s">
        <v>24</v>
      </c>
      <c r="F178" t="s">
        <v>25</v>
      </c>
      <c r="G178" t="s">
        <v>21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P178">
        <v>58.2</v>
      </c>
      <c r="R178" t="str">
        <f t="shared" si="12"/>
        <v>Unique</v>
      </c>
      <c r="S178" t="str">
        <f t="shared" si="13"/>
        <v>Valid</v>
      </c>
      <c r="T178" t="str">
        <f t="shared" si="14"/>
        <v>Valid</v>
      </c>
      <c r="U178" t="str">
        <f t="shared" si="15"/>
        <v>Valid</v>
      </c>
      <c r="V178" t="str">
        <f t="shared" si="16"/>
        <v>Valid</v>
      </c>
      <c r="W178" t="str">
        <f t="shared" si="17"/>
        <v>Valid</v>
      </c>
    </row>
    <row r="179" spans="1:23">
      <c r="A179" t="s">
        <v>209</v>
      </c>
      <c r="B179" s="2">
        <v>45753</v>
      </c>
      <c r="C179" t="s">
        <v>17</v>
      </c>
      <c r="D179" t="s">
        <v>18</v>
      </c>
      <c r="E179" t="s">
        <v>24</v>
      </c>
      <c r="F179" t="s">
        <v>25</v>
      </c>
      <c r="G179" t="s">
        <v>26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P179">
        <v>80.599999999999994</v>
      </c>
      <c r="R179" t="str">
        <f t="shared" si="12"/>
        <v>Unique</v>
      </c>
      <c r="S179" t="str">
        <f t="shared" si="13"/>
        <v>Valid</v>
      </c>
      <c r="T179" t="str">
        <f t="shared" si="14"/>
        <v>Valid</v>
      </c>
      <c r="U179" t="str">
        <f t="shared" si="15"/>
        <v>Valid</v>
      </c>
      <c r="V179" t="str">
        <f t="shared" si="16"/>
        <v>Valid</v>
      </c>
      <c r="W179" t="str">
        <f t="shared" si="17"/>
        <v>Valid</v>
      </c>
    </row>
    <row r="180" spans="1:23">
      <c r="A180" t="s">
        <v>210</v>
      </c>
      <c r="B180" s="2">
        <v>45764</v>
      </c>
      <c r="C180" t="s">
        <v>17</v>
      </c>
      <c r="D180" t="s">
        <v>18</v>
      </c>
      <c r="E180" t="s">
        <v>19</v>
      </c>
      <c r="F180" t="s">
        <v>39</v>
      </c>
      <c r="G180" t="s">
        <v>30</v>
      </c>
      <c r="H180">
        <v>1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P180">
        <v>38.4</v>
      </c>
      <c r="R180" t="str">
        <f t="shared" si="12"/>
        <v>Unique</v>
      </c>
      <c r="S180" t="str">
        <f t="shared" si="13"/>
        <v>Valid</v>
      </c>
      <c r="T180" t="str">
        <f t="shared" si="14"/>
        <v>Valid</v>
      </c>
      <c r="U180" t="str">
        <f t="shared" si="15"/>
        <v>Valid</v>
      </c>
      <c r="V180" t="str">
        <f t="shared" si="16"/>
        <v>Valid</v>
      </c>
      <c r="W180" t="str">
        <f t="shared" si="17"/>
        <v>Valid</v>
      </c>
    </row>
    <row r="181" spans="1:23">
      <c r="A181" t="s">
        <v>211</v>
      </c>
      <c r="B181" s="2">
        <v>45750</v>
      </c>
      <c r="C181" t="s">
        <v>17</v>
      </c>
      <c r="D181" t="s">
        <v>32</v>
      </c>
      <c r="E181" t="s">
        <v>24</v>
      </c>
      <c r="F181" t="s">
        <v>29</v>
      </c>
      <c r="G181" t="s">
        <v>26</v>
      </c>
      <c r="H181">
        <v>1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P181">
        <v>56.1</v>
      </c>
      <c r="R181" t="str">
        <f t="shared" si="12"/>
        <v>Unique</v>
      </c>
      <c r="S181" t="str">
        <f t="shared" si="13"/>
        <v>Valid</v>
      </c>
      <c r="T181" t="str">
        <f t="shared" si="14"/>
        <v>Valid</v>
      </c>
      <c r="U181" t="str">
        <f t="shared" si="15"/>
        <v>Valid</v>
      </c>
      <c r="V181" t="str">
        <f t="shared" si="16"/>
        <v>Valid</v>
      </c>
      <c r="W181" t="str">
        <f t="shared" si="17"/>
        <v>Valid</v>
      </c>
    </row>
    <row r="182" spans="1:23">
      <c r="A182" t="s">
        <v>212</v>
      </c>
      <c r="B182" s="2">
        <v>45772</v>
      </c>
      <c r="C182" t="s">
        <v>17</v>
      </c>
      <c r="D182" t="s">
        <v>23</v>
      </c>
      <c r="E182" t="s">
        <v>24</v>
      </c>
      <c r="F182" t="s">
        <v>29</v>
      </c>
      <c r="G182" t="s">
        <v>26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P182">
        <v>62.6</v>
      </c>
      <c r="R182" t="str">
        <f t="shared" si="12"/>
        <v>Unique</v>
      </c>
      <c r="S182" t="str">
        <f t="shared" si="13"/>
        <v>Valid</v>
      </c>
      <c r="T182" t="str">
        <f t="shared" si="14"/>
        <v>Valid</v>
      </c>
      <c r="U182" t="str">
        <f t="shared" si="15"/>
        <v>Valid</v>
      </c>
      <c r="V182" t="str">
        <f t="shared" si="16"/>
        <v>Valid</v>
      </c>
      <c r="W182" t="str">
        <f t="shared" si="17"/>
        <v>Valid</v>
      </c>
    </row>
    <row r="183" spans="1:23">
      <c r="A183" t="s">
        <v>213</v>
      </c>
      <c r="B183" s="2">
        <v>45777</v>
      </c>
      <c r="C183" t="s">
        <v>17</v>
      </c>
      <c r="D183" t="s">
        <v>32</v>
      </c>
      <c r="E183" t="s">
        <v>24</v>
      </c>
      <c r="F183" t="s">
        <v>25</v>
      </c>
      <c r="G183" t="s">
        <v>30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P183">
        <v>36.299999999999997</v>
      </c>
      <c r="R183" t="str">
        <f t="shared" si="12"/>
        <v>Unique</v>
      </c>
      <c r="S183" t="str">
        <f t="shared" si="13"/>
        <v>Valid</v>
      </c>
      <c r="T183" t="str">
        <f t="shared" si="14"/>
        <v>Valid</v>
      </c>
      <c r="U183" t="str">
        <f t="shared" si="15"/>
        <v>Valid</v>
      </c>
      <c r="V183" t="str">
        <f t="shared" si="16"/>
        <v>Valid</v>
      </c>
      <c r="W183" t="str">
        <f t="shared" si="17"/>
        <v>Valid</v>
      </c>
    </row>
    <row r="184" spans="1:23">
      <c r="A184" t="s">
        <v>214</v>
      </c>
      <c r="B184" s="2">
        <v>45728</v>
      </c>
      <c r="C184" t="s">
        <v>17</v>
      </c>
      <c r="D184" t="s">
        <v>32</v>
      </c>
      <c r="E184" t="s">
        <v>24</v>
      </c>
      <c r="F184" t="s">
        <v>29</v>
      </c>
      <c r="G184" t="s">
        <v>26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P184">
        <v>52.1</v>
      </c>
      <c r="R184" t="str">
        <f t="shared" si="12"/>
        <v>Unique</v>
      </c>
      <c r="S184" t="str">
        <f t="shared" si="13"/>
        <v>Valid</v>
      </c>
      <c r="T184" t="str">
        <f t="shared" si="14"/>
        <v>Valid</v>
      </c>
      <c r="U184" t="str">
        <f t="shared" si="15"/>
        <v>Valid</v>
      </c>
      <c r="V184" t="str">
        <f t="shared" si="16"/>
        <v>Valid</v>
      </c>
      <c r="W184" t="str">
        <f t="shared" si="17"/>
        <v>Valid</v>
      </c>
    </row>
    <row r="185" spans="1:23">
      <c r="A185" t="s">
        <v>215</v>
      </c>
      <c r="B185" s="2">
        <v>45781</v>
      </c>
      <c r="C185" t="s">
        <v>17</v>
      </c>
      <c r="D185" t="s">
        <v>32</v>
      </c>
      <c r="E185" t="s">
        <v>24</v>
      </c>
      <c r="F185" t="s">
        <v>25</v>
      </c>
      <c r="G185" t="s">
        <v>26</v>
      </c>
      <c r="H185">
        <v>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P185">
        <v>45.1</v>
      </c>
      <c r="R185" t="str">
        <f t="shared" si="12"/>
        <v>Unique</v>
      </c>
      <c r="S185" t="str">
        <f t="shared" si="13"/>
        <v>Valid</v>
      </c>
      <c r="T185" t="str">
        <f t="shared" si="14"/>
        <v>Valid</v>
      </c>
      <c r="U185" t="str">
        <f t="shared" si="15"/>
        <v>Valid</v>
      </c>
      <c r="V185" t="str">
        <f t="shared" si="16"/>
        <v>Valid</v>
      </c>
      <c r="W185" t="str">
        <f t="shared" si="17"/>
        <v>Valid</v>
      </c>
    </row>
    <row r="186" spans="1:23">
      <c r="A186" t="s">
        <v>216</v>
      </c>
      <c r="B186" s="2">
        <v>45695</v>
      </c>
      <c r="C186" t="s">
        <v>17</v>
      </c>
      <c r="D186" t="s">
        <v>32</v>
      </c>
      <c r="E186" t="s">
        <v>34</v>
      </c>
      <c r="F186" t="s">
        <v>29</v>
      </c>
      <c r="G186" t="s">
        <v>30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P186">
        <v>67.5</v>
      </c>
      <c r="R186" t="str">
        <f t="shared" si="12"/>
        <v>Unique</v>
      </c>
      <c r="S186" t="str">
        <f t="shared" si="13"/>
        <v>Valid</v>
      </c>
      <c r="T186" t="str">
        <f t="shared" si="14"/>
        <v>Valid</v>
      </c>
      <c r="U186" t="str">
        <f t="shared" si="15"/>
        <v>Valid</v>
      </c>
      <c r="V186" t="str">
        <f t="shared" si="16"/>
        <v>Valid</v>
      </c>
      <c r="W186" t="str">
        <f t="shared" si="17"/>
        <v>Valid</v>
      </c>
    </row>
    <row r="187" spans="1:23">
      <c r="A187" t="s">
        <v>217</v>
      </c>
      <c r="B187" s="2">
        <v>45775</v>
      </c>
      <c r="C187" t="s">
        <v>17</v>
      </c>
      <c r="D187" t="s">
        <v>28</v>
      </c>
      <c r="E187" t="s">
        <v>34</v>
      </c>
      <c r="F187" t="s">
        <v>20</v>
      </c>
      <c r="G187" t="s">
        <v>21</v>
      </c>
      <c r="H187">
        <v>1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P187">
        <v>80</v>
      </c>
      <c r="R187" t="str">
        <f t="shared" si="12"/>
        <v>Unique</v>
      </c>
      <c r="S187" t="str">
        <f t="shared" si="13"/>
        <v>Valid</v>
      </c>
      <c r="T187" t="str">
        <f t="shared" si="14"/>
        <v>Valid</v>
      </c>
      <c r="U187" t="str">
        <f t="shared" si="15"/>
        <v>Valid</v>
      </c>
      <c r="V187" t="str">
        <f t="shared" si="16"/>
        <v>Valid</v>
      </c>
      <c r="W187" t="str">
        <f t="shared" si="17"/>
        <v>Valid</v>
      </c>
    </row>
    <row r="188" spans="1:23">
      <c r="A188" t="s">
        <v>218</v>
      </c>
      <c r="B188" s="2">
        <v>45792</v>
      </c>
      <c r="C188" t="s">
        <v>17</v>
      </c>
      <c r="D188" t="s">
        <v>28</v>
      </c>
      <c r="E188" t="s">
        <v>19</v>
      </c>
      <c r="F188" t="s">
        <v>39</v>
      </c>
      <c r="G188" t="s">
        <v>26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P188">
        <v>56.4</v>
      </c>
      <c r="R188" t="str">
        <f t="shared" si="12"/>
        <v>Unique</v>
      </c>
      <c r="S188" t="str">
        <f t="shared" si="13"/>
        <v>Valid</v>
      </c>
      <c r="T188" t="str">
        <f t="shared" si="14"/>
        <v>Valid</v>
      </c>
      <c r="U188" t="str">
        <f t="shared" si="15"/>
        <v>Valid</v>
      </c>
      <c r="V188" t="str">
        <f t="shared" si="16"/>
        <v>Valid</v>
      </c>
      <c r="W188" t="str">
        <f t="shared" si="17"/>
        <v>Valid</v>
      </c>
    </row>
    <row r="189" spans="1:23">
      <c r="A189" t="s">
        <v>219</v>
      </c>
      <c r="B189" s="2">
        <v>45675</v>
      </c>
      <c r="C189" t="s">
        <v>17</v>
      </c>
      <c r="D189" t="s">
        <v>23</v>
      </c>
      <c r="E189" t="s">
        <v>24</v>
      </c>
      <c r="F189" t="s">
        <v>29</v>
      </c>
      <c r="G189" t="s">
        <v>21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P189">
        <v>55.4</v>
      </c>
      <c r="R189" t="str">
        <f t="shared" si="12"/>
        <v>Unique</v>
      </c>
      <c r="S189" t="str">
        <f t="shared" si="13"/>
        <v>Valid</v>
      </c>
      <c r="T189" t="str">
        <f t="shared" si="14"/>
        <v>Valid</v>
      </c>
      <c r="U189" t="str">
        <f t="shared" si="15"/>
        <v>Valid</v>
      </c>
      <c r="V189" t="str">
        <f t="shared" si="16"/>
        <v>Valid</v>
      </c>
      <c r="W189" t="str">
        <f t="shared" si="17"/>
        <v>Valid</v>
      </c>
    </row>
    <row r="190" spans="1:23">
      <c r="A190" t="s">
        <v>220</v>
      </c>
      <c r="B190" s="2">
        <v>45703</v>
      </c>
      <c r="C190" t="s">
        <v>17</v>
      </c>
      <c r="D190" t="s">
        <v>32</v>
      </c>
      <c r="E190" t="s">
        <v>24</v>
      </c>
      <c r="F190" t="s">
        <v>41</v>
      </c>
      <c r="G190" t="s">
        <v>21</v>
      </c>
      <c r="H190">
        <v>1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P190">
        <v>67.900000000000006</v>
      </c>
      <c r="R190" t="str">
        <f t="shared" si="12"/>
        <v>Unique</v>
      </c>
      <c r="S190" t="str">
        <f t="shared" si="13"/>
        <v>Valid</v>
      </c>
      <c r="T190" t="str">
        <f t="shared" si="14"/>
        <v>Valid</v>
      </c>
      <c r="U190" t="str">
        <f t="shared" si="15"/>
        <v>Valid</v>
      </c>
      <c r="V190" t="str">
        <f t="shared" si="16"/>
        <v>Valid</v>
      </c>
      <c r="W190" t="str">
        <f t="shared" si="17"/>
        <v>Valid</v>
      </c>
    </row>
    <row r="191" spans="1:23">
      <c r="A191" t="s">
        <v>221</v>
      </c>
      <c r="B191" s="2">
        <v>45706</v>
      </c>
      <c r="C191" t="s">
        <v>17</v>
      </c>
      <c r="D191" t="s">
        <v>18</v>
      </c>
      <c r="E191" t="s">
        <v>34</v>
      </c>
      <c r="F191" t="s">
        <v>20</v>
      </c>
      <c r="G191" t="s">
        <v>26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P191">
        <v>62.5</v>
      </c>
      <c r="R191" t="str">
        <f t="shared" si="12"/>
        <v>Unique</v>
      </c>
      <c r="S191" t="str">
        <f t="shared" si="13"/>
        <v>Valid</v>
      </c>
      <c r="T191" t="str">
        <f t="shared" si="14"/>
        <v>Valid</v>
      </c>
      <c r="U191" t="str">
        <f t="shared" si="15"/>
        <v>Valid</v>
      </c>
      <c r="V191" t="str">
        <f t="shared" si="16"/>
        <v>Valid</v>
      </c>
      <c r="W191" t="str">
        <f t="shared" si="17"/>
        <v>Valid</v>
      </c>
    </row>
    <row r="192" spans="1:23">
      <c r="A192" t="s">
        <v>222</v>
      </c>
      <c r="B192" s="2">
        <v>45687</v>
      </c>
      <c r="C192" t="s">
        <v>17</v>
      </c>
      <c r="D192" t="s">
        <v>32</v>
      </c>
      <c r="E192" t="s">
        <v>19</v>
      </c>
      <c r="F192" t="s">
        <v>20</v>
      </c>
      <c r="G192" t="s">
        <v>21</v>
      </c>
      <c r="H192">
        <v>1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P192">
        <v>54.3</v>
      </c>
      <c r="R192" t="str">
        <f t="shared" si="12"/>
        <v>Unique</v>
      </c>
      <c r="S192" t="str">
        <f t="shared" si="13"/>
        <v>Valid</v>
      </c>
      <c r="T192" t="str">
        <f t="shared" si="14"/>
        <v>Valid</v>
      </c>
      <c r="U192" t="str">
        <f t="shared" si="15"/>
        <v>Valid</v>
      </c>
      <c r="V192" t="str">
        <f t="shared" si="16"/>
        <v>Valid</v>
      </c>
      <c r="W192" t="str">
        <f t="shared" si="17"/>
        <v>Valid</v>
      </c>
    </row>
    <row r="193" spans="1:23">
      <c r="A193" t="s">
        <v>223</v>
      </c>
      <c r="B193" s="2">
        <v>45697</v>
      </c>
      <c r="C193" t="s">
        <v>17</v>
      </c>
      <c r="D193" t="s">
        <v>32</v>
      </c>
      <c r="E193" t="s">
        <v>19</v>
      </c>
      <c r="F193" t="s">
        <v>25</v>
      </c>
      <c r="G193" t="s">
        <v>21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P193">
        <v>37.5</v>
      </c>
      <c r="R193" t="str">
        <f t="shared" si="12"/>
        <v>Unique</v>
      </c>
      <c r="S193" t="str">
        <f t="shared" si="13"/>
        <v>Valid</v>
      </c>
      <c r="T193" t="str">
        <f t="shared" si="14"/>
        <v>Valid</v>
      </c>
      <c r="U193" t="str">
        <f t="shared" si="15"/>
        <v>Valid</v>
      </c>
      <c r="V193" t="str">
        <f t="shared" si="16"/>
        <v>Valid</v>
      </c>
      <c r="W193" t="str">
        <f t="shared" si="17"/>
        <v>Valid</v>
      </c>
    </row>
    <row r="194" spans="1:23">
      <c r="A194" t="s">
        <v>224</v>
      </c>
      <c r="B194" s="2">
        <v>45732</v>
      </c>
      <c r="C194" t="s">
        <v>17</v>
      </c>
      <c r="D194" t="s">
        <v>23</v>
      </c>
      <c r="E194" t="s">
        <v>24</v>
      </c>
      <c r="F194" t="s">
        <v>29</v>
      </c>
      <c r="G194" t="s">
        <v>21</v>
      </c>
      <c r="H194">
        <v>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P194">
        <v>52.6</v>
      </c>
      <c r="R194" t="str">
        <f t="shared" si="12"/>
        <v>Unique</v>
      </c>
      <c r="S194" t="str">
        <f t="shared" si="13"/>
        <v>Valid</v>
      </c>
      <c r="T194" t="str">
        <f t="shared" si="14"/>
        <v>Valid</v>
      </c>
      <c r="U194" t="str">
        <f t="shared" si="15"/>
        <v>Valid</v>
      </c>
      <c r="V194" t="str">
        <f t="shared" si="16"/>
        <v>Valid</v>
      </c>
      <c r="W194" t="str">
        <f t="shared" si="17"/>
        <v>Valid</v>
      </c>
    </row>
    <row r="195" spans="1:23">
      <c r="A195" t="s">
        <v>225</v>
      </c>
      <c r="B195" s="2">
        <v>45796</v>
      </c>
      <c r="C195" t="s">
        <v>17</v>
      </c>
      <c r="D195" t="s">
        <v>18</v>
      </c>
      <c r="E195" t="s">
        <v>24</v>
      </c>
      <c r="F195" t="s">
        <v>29</v>
      </c>
      <c r="G195" t="s">
        <v>26</v>
      </c>
      <c r="H195">
        <v>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P195">
        <v>46.1</v>
      </c>
      <c r="R195" t="str">
        <f t="shared" ref="R195:R258" si="18">IF(COUNTIF($A:$A,A195)&gt;1,"Duplicate","Unique")</f>
        <v>Unique</v>
      </c>
      <c r="S195" t="str">
        <f t="shared" ref="S195:S258" si="19">IF(OR(H195=0,H195=1),"Valid","Invalid")</f>
        <v>Valid</v>
      </c>
      <c r="T195" t="str">
        <f t="shared" ref="T195:T258" si="20">IF(OR(I195=0,I195=1),"Valid","Invalid")</f>
        <v>Valid</v>
      </c>
      <c r="U195" t="str">
        <f t="shared" ref="U195:U258" si="21">IF(OR(J195=0,J195=1),"Valid","Invalid")</f>
        <v>Valid</v>
      </c>
      <c r="V195" t="str">
        <f t="shared" ref="V195:V258" si="22">IF(OR(K195=0,K195=1),"Valid","Invalid")</f>
        <v>Valid</v>
      </c>
      <c r="W195" t="str">
        <f t="shared" ref="W195:W258" si="23">IF(OR(N195=0,N195=1),"Valid","Invalid")</f>
        <v>Valid</v>
      </c>
    </row>
    <row r="196" spans="1:23">
      <c r="A196" t="s">
        <v>226</v>
      </c>
      <c r="B196" s="2">
        <v>45793</v>
      </c>
      <c r="C196" t="s">
        <v>17</v>
      </c>
      <c r="D196" t="s">
        <v>32</v>
      </c>
      <c r="E196" t="s">
        <v>19</v>
      </c>
      <c r="F196" t="s">
        <v>25</v>
      </c>
      <c r="G196" t="s">
        <v>21</v>
      </c>
      <c r="H196">
        <v>1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P196">
        <v>54.7</v>
      </c>
      <c r="R196" t="str">
        <f t="shared" si="18"/>
        <v>Unique</v>
      </c>
      <c r="S196" t="str">
        <f t="shared" si="19"/>
        <v>Valid</v>
      </c>
      <c r="T196" t="str">
        <f t="shared" si="20"/>
        <v>Valid</v>
      </c>
      <c r="U196" t="str">
        <f t="shared" si="21"/>
        <v>Valid</v>
      </c>
      <c r="V196" t="str">
        <f t="shared" si="22"/>
        <v>Valid</v>
      </c>
      <c r="W196" t="str">
        <f t="shared" si="23"/>
        <v>Valid</v>
      </c>
    </row>
    <row r="197" spans="1:23">
      <c r="A197" t="s">
        <v>227</v>
      </c>
      <c r="B197" s="2">
        <v>45772</v>
      </c>
      <c r="C197" t="s">
        <v>17</v>
      </c>
      <c r="D197" t="s">
        <v>23</v>
      </c>
      <c r="E197" t="s">
        <v>19</v>
      </c>
      <c r="F197" t="s">
        <v>39</v>
      </c>
      <c r="G197" t="s">
        <v>21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P197">
        <v>74.2</v>
      </c>
      <c r="R197" t="str">
        <f t="shared" si="18"/>
        <v>Unique</v>
      </c>
      <c r="S197" t="str">
        <f t="shared" si="19"/>
        <v>Valid</v>
      </c>
      <c r="T197" t="str">
        <f t="shared" si="20"/>
        <v>Valid</v>
      </c>
      <c r="U197" t="str">
        <f t="shared" si="21"/>
        <v>Valid</v>
      </c>
      <c r="V197" t="str">
        <f t="shared" si="22"/>
        <v>Valid</v>
      </c>
      <c r="W197" t="str">
        <f t="shared" si="23"/>
        <v>Valid</v>
      </c>
    </row>
    <row r="198" spans="1:23">
      <c r="A198" t="s">
        <v>228</v>
      </c>
      <c r="B198" s="2">
        <v>45715</v>
      </c>
      <c r="C198" t="s">
        <v>17</v>
      </c>
      <c r="D198" t="s">
        <v>18</v>
      </c>
      <c r="E198" t="s">
        <v>24</v>
      </c>
      <c r="F198" t="s">
        <v>41</v>
      </c>
      <c r="G198" t="s">
        <v>21</v>
      </c>
      <c r="H198">
        <v>1</v>
      </c>
      <c r="I198">
        <v>1</v>
      </c>
      <c r="J198">
        <v>1</v>
      </c>
      <c r="K198">
        <v>1</v>
      </c>
      <c r="L198">
        <v>1052.8</v>
      </c>
      <c r="M198">
        <v>2</v>
      </c>
      <c r="N198">
        <v>0</v>
      </c>
      <c r="O198">
        <v>6</v>
      </c>
      <c r="P198">
        <v>64.7</v>
      </c>
      <c r="R198" t="str">
        <f t="shared" si="18"/>
        <v>Unique</v>
      </c>
      <c r="S198" t="str">
        <f t="shared" si="19"/>
        <v>Valid</v>
      </c>
      <c r="T198" t="str">
        <f t="shared" si="20"/>
        <v>Valid</v>
      </c>
      <c r="U198" t="str">
        <f t="shared" si="21"/>
        <v>Valid</v>
      </c>
      <c r="V198" t="str">
        <f t="shared" si="22"/>
        <v>Valid</v>
      </c>
      <c r="W198" t="str">
        <f t="shared" si="23"/>
        <v>Valid</v>
      </c>
    </row>
    <row r="199" spans="1:23">
      <c r="A199" t="s">
        <v>229</v>
      </c>
      <c r="B199" s="2">
        <v>45773</v>
      </c>
      <c r="C199" t="s">
        <v>17</v>
      </c>
      <c r="D199" t="s">
        <v>32</v>
      </c>
      <c r="E199" t="s">
        <v>24</v>
      </c>
      <c r="F199" t="s">
        <v>29</v>
      </c>
      <c r="G199" t="s">
        <v>21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P199">
        <v>65.900000000000006</v>
      </c>
      <c r="R199" t="str">
        <f t="shared" si="18"/>
        <v>Unique</v>
      </c>
      <c r="S199" t="str">
        <f t="shared" si="19"/>
        <v>Valid</v>
      </c>
      <c r="T199" t="str">
        <f t="shared" si="20"/>
        <v>Valid</v>
      </c>
      <c r="U199" t="str">
        <f t="shared" si="21"/>
        <v>Valid</v>
      </c>
      <c r="V199" t="str">
        <f t="shared" si="22"/>
        <v>Valid</v>
      </c>
      <c r="W199" t="str">
        <f t="shared" si="23"/>
        <v>Valid</v>
      </c>
    </row>
    <row r="200" spans="1:23">
      <c r="A200" t="s">
        <v>230</v>
      </c>
      <c r="B200" s="2">
        <v>45791</v>
      </c>
      <c r="C200" t="s">
        <v>17</v>
      </c>
      <c r="D200" t="s">
        <v>18</v>
      </c>
      <c r="E200" t="s">
        <v>24</v>
      </c>
      <c r="F200" t="s">
        <v>25</v>
      </c>
      <c r="G200" t="s">
        <v>21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P200">
        <v>64</v>
      </c>
      <c r="R200" t="str">
        <f t="shared" si="18"/>
        <v>Unique</v>
      </c>
      <c r="S200" t="str">
        <f t="shared" si="19"/>
        <v>Valid</v>
      </c>
      <c r="T200" t="str">
        <f t="shared" si="20"/>
        <v>Valid</v>
      </c>
      <c r="U200" t="str">
        <f t="shared" si="21"/>
        <v>Valid</v>
      </c>
      <c r="V200" t="str">
        <f t="shared" si="22"/>
        <v>Valid</v>
      </c>
      <c r="W200" t="str">
        <f t="shared" si="23"/>
        <v>Valid</v>
      </c>
    </row>
    <row r="201" spans="1:23">
      <c r="A201" t="s">
        <v>231</v>
      </c>
      <c r="B201" s="2">
        <v>45721</v>
      </c>
      <c r="C201" t="s">
        <v>17</v>
      </c>
      <c r="D201" t="s">
        <v>18</v>
      </c>
      <c r="E201" t="s">
        <v>24</v>
      </c>
      <c r="F201" t="s">
        <v>25</v>
      </c>
      <c r="G201" t="s">
        <v>30</v>
      </c>
      <c r="H201">
        <v>1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P201">
        <v>57.2</v>
      </c>
      <c r="R201" t="str">
        <f t="shared" si="18"/>
        <v>Unique</v>
      </c>
      <c r="S201" t="str">
        <f t="shared" si="19"/>
        <v>Valid</v>
      </c>
      <c r="T201" t="str">
        <f t="shared" si="20"/>
        <v>Valid</v>
      </c>
      <c r="U201" t="str">
        <f t="shared" si="21"/>
        <v>Valid</v>
      </c>
      <c r="V201" t="str">
        <f t="shared" si="22"/>
        <v>Valid</v>
      </c>
      <c r="W201" t="str">
        <f t="shared" si="23"/>
        <v>Valid</v>
      </c>
    </row>
    <row r="202" spans="1:23">
      <c r="A202" t="s">
        <v>232</v>
      </c>
      <c r="B202" s="2">
        <v>45749</v>
      </c>
      <c r="C202" t="s">
        <v>17</v>
      </c>
      <c r="D202" t="s">
        <v>23</v>
      </c>
      <c r="E202" t="s">
        <v>19</v>
      </c>
      <c r="F202" t="s">
        <v>25</v>
      </c>
      <c r="G202" t="s">
        <v>26</v>
      </c>
      <c r="H202">
        <v>1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P202">
        <v>80.5</v>
      </c>
      <c r="R202" t="str">
        <f t="shared" si="18"/>
        <v>Unique</v>
      </c>
      <c r="S202" t="str">
        <f t="shared" si="19"/>
        <v>Valid</v>
      </c>
      <c r="T202" t="str">
        <f t="shared" si="20"/>
        <v>Valid</v>
      </c>
      <c r="U202" t="str">
        <f t="shared" si="21"/>
        <v>Valid</v>
      </c>
      <c r="V202" t="str">
        <f t="shared" si="22"/>
        <v>Valid</v>
      </c>
      <c r="W202" t="str">
        <f t="shared" si="23"/>
        <v>Valid</v>
      </c>
    </row>
    <row r="203" spans="1:23">
      <c r="A203" t="s">
        <v>233</v>
      </c>
      <c r="B203" s="2">
        <v>45791</v>
      </c>
      <c r="C203" t="s">
        <v>17</v>
      </c>
      <c r="D203" t="s">
        <v>32</v>
      </c>
      <c r="E203" t="s">
        <v>34</v>
      </c>
      <c r="F203" t="s">
        <v>25</v>
      </c>
      <c r="G203" t="s">
        <v>26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P203">
        <v>53.9</v>
      </c>
      <c r="R203" t="str">
        <f t="shared" si="18"/>
        <v>Unique</v>
      </c>
      <c r="S203" t="str">
        <f t="shared" si="19"/>
        <v>Valid</v>
      </c>
      <c r="T203" t="str">
        <f t="shared" si="20"/>
        <v>Valid</v>
      </c>
      <c r="U203" t="str">
        <f t="shared" si="21"/>
        <v>Valid</v>
      </c>
      <c r="V203" t="str">
        <f t="shared" si="22"/>
        <v>Valid</v>
      </c>
      <c r="W203" t="str">
        <f t="shared" si="23"/>
        <v>Valid</v>
      </c>
    </row>
    <row r="204" spans="1:23">
      <c r="A204" t="s">
        <v>234</v>
      </c>
      <c r="B204" s="2">
        <v>45798</v>
      </c>
      <c r="C204" t="s">
        <v>17</v>
      </c>
      <c r="D204" t="s">
        <v>18</v>
      </c>
      <c r="E204" t="s">
        <v>24</v>
      </c>
      <c r="F204" t="s">
        <v>29</v>
      </c>
      <c r="G204" t="s">
        <v>26</v>
      </c>
      <c r="H204">
        <v>1</v>
      </c>
      <c r="I204">
        <v>1</v>
      </c>
      <c r="J204">
        <v>0</v>
      </c>
      <c r="K204">
        <v>0</v>
      </c>
      <c r="L204">
        <v>0</v>
      </c>
      <c r="M204">
        <v>0</v>
      </c>
      <c r="N204">
        <v>0</v>
      </c>
      <c r="P204">
        <v>77.5</v>
      </c>
      <c r="R204" t="str">
        <f t="shared" si="18"/>
        <v>Unique</v>
      </c>
      <c r="S204" t="str">
        <f t="shared" si="19"/>
        <v>Valid</v>
      </c>
      <c r="T204" t="str">
        <f t="shared" si="20"/>
        <v>Valid</v>
      </c>
      <c r="U204" t="str">
        <f t="shared" si="21"/>
        <v>Valid</v>
      </c>
      <c r="V204" t="str">
        <f t="shared" si="22"/>
        <v>Valid</v>
      </c>
      <c r="W204" t="str">
        <f t="shared" si="23"/>
        <v>Valid</v>
      </c>
    </row>
    <row r="205" spans="1:23">
      <c r="A205" t="s">
        <v>235</v>
      </c>
      <c r="B205" s="2">
        <v>45684</v>
      </c>
      <c r="C205" t="s">
        <v>17</v>
      </c>
      <c r="D205" t="s">
        <v>28</v>
      </c>
      <c r="E205" t="s">
        <v>24</v>
      </c>
      <c r="F205" t="s">
        <v>41</v>
      </c>
      <c r="G205" t="s">
        <v>21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P205">
        <v>84.2</v>
      </c>
      <c r="R205" t="str">
        <f t="shared" si="18"/>
        <v>Unique</v>
      </c>
      <c r="S205" t="str">
        <f t="shared" si="19"/>
        <v>Valid</v>
      </c>
      <c r="T205" t="str">
        <f t="shared" si="20"/>
        <v>Valid</v>
      </c>
      <c r="U205" t="str">
        <f t="shared" si="21"/>
        <v>Valid</v>
      </c>
      <c r="V205" t="str">
        <f t="shared" si="22"/>
        <v>Valid</v>
      </c>
      <c r="W205" t="str">
        <f t="shared" si="23"/>
        <v>Valid</v>
      </c>
    </row>
    <row r="206" spans="1:23">
      <c r="A206" t="s">
        <v>236</v>
      </c>
      <c r="B206" s="2">
        <v>45799</v>
      </c>
      <c r="C206" t="s">
        <v>17</v>
      </c>
      <c r="D206" t="s">
        <v>23</v>
      </c>
      <c r="E206" t="s">
        <v>19</v>
      </c>
      <c r="F206" t="s">
        <v>25</v>
      </c>
      <c r="G206" t="s">
        <v>26</v>
      </c>
      <c r="H206">
        <v>1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0</v>
      </c>
      <c r="P206">
        <v>54.9</v>
      </c>
      <c r="R206" t="str">
        <f t="shared" si="18"/>
        <v>Unique</v>
      </c>
      <c r="S206" t="str">
        <f t="shared" si="19"/>
        <v>Valid</v>
      </c>
      <c r="T206" t="str">
        <f t="shared" si="20"/>
        <v>Valid</v>
      </c>
      <c r="U206" t="str">
        <f t="shared" si="21"/>
        <v>Valid</v>
      </c>
      <c r="V206" t="str">
        <f t="shared" si="22"/>
        <v>Valid</v>
      </c>
      <c r="W206" t="str">
        <f t="shared" si="23"/>
        <v>Valid</v>
      </c>
    </row>
    <row r="207" spans="1:23">
      <c r="A207" t="s">
        <v>237</v>
      </c>
      <c r="B207" s="2">
        <v>45796</v>
      </c>
      <c r="C207" t="s">
        <v>17</v>
      </c>
      <c r="D207" t="s">
        <v>32</v>
      </c>
      <c r="E207" t="s">
        <v>24</v>
      </c>
      <c r="F207" t="s">
        <v>29</v>
      </c>
      <c r="G207" t="s">
        <v>26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P207">
        <v>69.3</v>
      </c>
      <c r="R207" t="str">
        <f t="shared" si="18"/>
        <v>Unique</v>
      </c>
      <c r="S207" t="str">
        <f t="shared" si="19"/>
        <v>Valid</v>
      </c>
      <c r="T207" t="str">
        <f t="shared" si="20"/>
        <v>Valid</v>
      </c>
      <c r="U207" t="str">
        <f t="shared" si="21"/>
        <v>Valid</v>
      </c>
      <c r="V207" t="str">
        <f t="shared" si="22"/>
        <v>Valid</v>
      </c>
      <c r="W207" t="str">
        <f t="shared" si="23"/>
        <v>Valid</v>
      </c>
    </row>
    <row r="208" spans="1:23">
      <c r="A208" t="s">
        <v>238</v>
      </c>
      <c r="B208" s="2">
        <v>45671</v>
      </c>
      <c r="C208" t="s">
        <v>17</v>
      </c>
      <c r="D208" t="s">
        <v>32</v>
      </c>
      <c r="E208" t="s">
        <v>19</v>
      </c>
      <c r="F208" t="s">
        <v>29</v>
      </c>
      <c r="G208" t="s">
        <v>26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2</v>
      </c>
      <c r="N208">
        <v>0</v>
      </c>
      <c r="P208">
        <v>42.3</v>
      </c>
      <c r="R208" t="str">
        <f t="shared" si="18"/>
        <v>Unique</v>
      </c>
      <c r="S208" t="str">
        <f t="shared" si="19"/>
        <v>Valid</v>
      </c>
      <c r="T208" t="str">
        <f t="shared" si="20"/>
        <v>Valid</v>
      </c>
      <c r="U208" t="str">
        <f t="shared" si="21"/>
        <v>Valid</v>
      </c>
      <c r="V208" t="str">
        <f t="shared" si="22"/>
        <v>Valid</v>
      </c>
      <c r="W208" t="str">
        <f t="shared" si="23"/>
        <v>Valid</v>
      </c>
    </row>
    <row r="209" spans="1:23">
      <c r="A209" t="s">
        <v>239</v>
      </c>
      <c r="B209" s="2">
        <v>45678</v>
      </c>
      <c r="C209" t="s">
        <v>17</v>
      </c>
      <c r="D209" t="s">
        <v>18</v>
      </c>
      <c r="E209" t="s">
        <v>19</v>
      </c>
      <c r="F209" t="s">
        <v>39</v>
      </c>
      <c r="G209" t="s">
        <v>30</v>
      </c>
      <c r="H209">
        <v>1</v>
      </c>
      <c r="I209">
        <v>0</v>
      </c>
      <c r="J209">
        <v>0</v>
      </c>
      <c r="K209">
        <v>0</v>
      </c>
      <c r="L209">
        <v>0</v>
      </c>
      <c r="M209">
        <v>1</v>
      </c>
      <c r="N209">
        <v>0</v>
      </c>
      <c r="P209">
        <v>69.599999999999994</v>
      </c>
      <c r="R209" t="str">
        <f t="shared" si="18"/>
        <v>Unique</v>
      </c>
      <c r="S209" t="str">
        <f t="shared" si="19"/>
        <v>Valid</v>
      </c>
      <c r="T209" t="str">
        <f t="shared" si="20"/>
        <v>Valid</v>
      </c>
      <c r="U209" t="str">
        <f t="shared" si="21"/>
        <v>Valid</v>
      </c>
      <c r="V209" t="str">
        <f t="shared" si="22"/>
        <v>Valid</v>
      </c>
      <c r="W209" t="str">
        <f t="shared" si="23"/>
        <v>Valid</v>
      </c>
    </row>
    <row r="210" spans="1:23">
      <c r="A210" t="s">
        <v>240</v>
      </c>
      <c r="B210" s="2">
        <v>45793</v>
      </c>
      <c r="C210" t="s">
        <v>17</v>
      </c>
      <c r="D210" t="s">
        <v>28</v>
      </c>
      <c r="E210" t="s">
        <v>24</v>
      </c>
      <c r="F210" t="s">
        <v>25</v>
      </c>
      <c r="G210" t="s">
        <v>26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P210">
        <v>40.700000000000003</v>
      </c>
      <c r="R210" t="str">
        <f t="shared" si="18"/>
        <v>Unique</v>
      </c>
      <c r="S210" t="str">
        <f t="shared" si="19"/>
        <v>Valid</v>
      </c>
      <c r="T210" t="str">
        <f t="shared" si="20"/>
        <v>Valid</v>
      </c>
      <c r="U210" t="str">
        <f t="shared" si="21"/>
        <v>Valid</v>
      </c>
      <c r="V210" t="str">
        <f t="shared" si="22"/>
        <v>Valid</v>
      </c>
      <c r="W210" t="str">
        <f t="shared" si="23"/>
        <v>Valid</v>
      </c>
    </row>
    <row r="211" spans="1:23">
      <c r="A211" t="s">
        <v>241</v>
      </c>
      <c r="B211" s="2">
        <v>45690</v>
      </c>
      <c r="C211" t="s">
        <v>17</v>
      </c>
      <c r="D211" t="s">
        <v>18</v>
      </c>
      <c r="E211" t="s">
        <v>24</v>
      </c>
      <c r="F211" t="s">
        <v>20</v>
      </c>
      <c r="G211" t="s">
        <v>26</v>
      </c>
      <c r="H211">
        <v>1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P211">
        <v>54</v>
      </c>
      <c r="R211" t="str">
        <f t="shared" si="18"/>
        <v>Unique</v>
      </c>
      <c r="S211" t="str">
        <f t="shared" si="19"/>
        <v>Valid</v>
      </c>
      <c r="T211" t="str">
        <f t="shared" si="20"/>
        <v>Valid</v>
      </c>
      <c r="U211" t="str">
        <f t="shared" si="21"/>
        <v>Valid</v>
      </c>
      <c r="V211" t="str">
        <f t="shared" si="22"/>
        <v>Valid</v>
      </c>
      <c r="W211" t="str">
        <f t="shared" si="23"/>
        <v>Valid</v>
      </c>
    </row>
    <row r="212" spans="1:23">
      <c r="A212" t="s">
        <v>242</v>
      </c>
      <c r="B212" s="2">
        <v>45739</v>
      </c>
      <c r="C212" t="s">
        <v>17</v>
      </c>
      <c r="D212" t="s">
        <v>28</v>
      </c>
      <c r="E212" t="s">
        <v>1451</v>
      </c>
      <c r="F212" t="s">
        <v>39</v>
      </c>
      <c r="G212" t="s">
        <v>26</v>
      </c>
      <c r="H212">
        <v>1</v>
      </c>
      <c r="I212">
        <v>1</v>
      </c>
      <c r="J212">
        <v>1</v>
      </c>
      <c r="K212">
        <v>1</v>
      </c>
      <c r="L212">
        <v>553.37</v>
      </c>
      <c r="M212">
        <v>0</v>
      </c>
      <c r="N212">
        <v>0</v>
      </c>
      <c r="O212">
        <v>5</v>
      </c>
      <c r="P212">
        <v>46.3</v>
      </c>
      <c r="R212" t="str">
        <f t="shared" si="18"/>
        <v>Unique</v>
      </c>
      <c r="S212" t="str">
        <f t="shared" si="19"/>
        <v>Valid</v>
      </c>
      <c r="T212" t="str">
        <f t="shared" si="20"/>
        <v>Valid</v>
      </c>
      <c r="U212" t="str">
        <f t="shared" si="21"/>
        <v>Valid</v>
      </c>
      <c r="V212" t="str">
        <f t="shared" si="22"/>
        <v>Valid</v>
      </c>
      <c r="W212" t="str">
        <f t="shared" si="23"/>
        <v>Valid</v>
      </c>
    </row>
    <row r="213" spans="1:23">
      <c r="A213" t="s">
        <v>243</v>
      </c>
      <c r="B213" s="2">
        <v>45681</v>
      </c>
      <c r="C213" t="s">
        <v>17</v>
      </c>
      <c r="D213" t="s">
        <v>28</v>
      </c>
      <c r="E213" t="s">
        <v>24</v>
      </c>
      <c r="F213" t="s">
        <v>25</v>
      </c>
      <c r="G213" t="s">
        <v>26</v>
      </c>
      <c r="H213">
        <v>1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P213">
        <v>64.2</v>
      </c>
      <c r="R213" t="str">
        <f t="shared" si="18"/>
        <v>Unique</v>
      </c>
      <c r="S213" t="str">
        <f t="shared" si="19"/>
        <v>Valid</v>
      </c>
      <c r="T213" t="str">
        <f t="shared" si="20"/>
        <v>Valid</v>
      </c>
      <c r="U213" t="str">
        <f t="shared" si="21"/>
        <v>Valid</v>
      </c>
      <c r="V213" t="str">
        <f t="shared" si="22"/>
        <v>Valid</v>
      </c>
      <c r="W213" t="str">
        <f t="shared" si="23"/>
        <v>Valid</v>
      </c>
    </row>
    <row r="214" spans="1:23">
      <c r="A214" t="s">
        <v>244</v>
      </c>
      <c r="B214" s="2">
        <v>45759</v>
      </c>
      <c r="C214" t="s">
        <v>17</v>
      </c>
      <c r="D214" t="s">
        <v>18</v>
      </c>
      <c r="E214" t="s">
        <v>19</v>
      </c>
      <c r="F214" t="s">
        <v>25</v>
      </c>
      <c r="G214" t="s">
        <v>26</v>
      </c>
      <c r="H214">
        <v>1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P214">
        <v>75.2</v>
      </c>
      <c r="R214" t="str">
        <f t="shared" si="18"/>
        <v>Unique</v>
      </c>
      <c r="S214" t="str">
        <f t="shared" si="19"/>
        <v>Valid</v>
      </c>
      <c r="T214" t="str">
        <f t="shared" si="20"/>
        <v>Valid</v>
      </c>
      <c r="U214" t="str">
        <f t="shared" si="21"/>
        <v>Valid</v>
      </c>
      <c r="V214" t="str">
        <f t="shared" si="22"/>
        <v>Valid</v>
      </c>
      <c r="W214" t="str">
        <f t="shared" si="23"/>
        <v>Valid</v>
      </c>
    </row>
    <row r="215" spans="1:23">
      <c r="A215" t="s">
        <v>245</v>
      </c>
      <c r="B215" s="2">
        <v>45706</v>
      </c>
      <c r="C215" t="s">
        <v>17</v>
      </c>
      <c r="D215" t="s">
        <v>28</v>
      </c>
      <c r="E215" t="s">
        <v>19</v>
      </c>
      <c r="F215" t="s">
        <v>29</v>
      </c>
      <c r="G215" t="s">
        <v>26</v>
      </c>
      <c r="H215">
        <v>1</v>
      </c>
      <c r="I215">
        <v>1</v>
      </c>
      <c r="J215">
        <v>0</v>
      </c>
      <c r="K215">
        <v>0</v>
      </c>
      <c r="L215">
        <v>0</v>
      </c>
      <c r="M215">
        <v>0</v>
      </c>
      <c r="N215">
        <v>0</v>
      </c>
      <c r="P215">
        <v>60.9</v>
      </c>
      <c r="R215" t="str">
        <f t="shared" si="18"/>
        <v>Unique</v>
      </c>
      <c r="S215" t="str">
        <f t="shared" si="19"/>
        <v>Valid</v>
      </c>
      <c r="T215" t="str">
        <f t="shared" si="20"/>
        <v>Valid</v>
      </c>
      <c r="U215" t="str">
        <f t="shared" si="21"/>
        <v>Valid</v>
      </c>
      <c r="V215" t="str">
        <f t="shared" si="22"/>
        <v>Valid</v>
      </c>
      <c r="W215" t="str">
        <f t="shared" si="23"/>
        <v>Valid</v>
      </c>
    </row>
    <row r="216" spans="1:23">
      <c r="A216" t="s">
        <v>246</v>
      </c>
      <c r="B216" s="2">
        <v>45805</v>
      </c>
      <c r="C216" t="s">
        <v>17</v>
      </c>
      <c r="D216" t="s">
        <v>32</v>
      </c>
      <c r="E216" t="s">
        <v>24</v>
      </c>
      <c r="F216" t="s">
        <v>20</v>
      </c>
      <c r="G216" t="s">
        <v>21</v>
      </c>
      <c r="H216">
        <v>1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P216">
        <v>62.1</v>
      </c>
      <c r="R216" t="str">
        <f t="shared" si="18"/>
        <v>Unique</v>
      </c>
      <c r="S216" t="str">
        <f t="shared" si="19"/>
        <v>Valid</v>
      </c>
      <c r="T216" t="str">
        <f t="shared" si="20"/>
        <v>Valid</v>
      </c>
      <c r="U216" t="str">
        <f t="shared" si="21"/>
        <v>Valid</v>
      </c>
      <c r="V216" t="str">
        <f t="shared" si="22"/>
        <v>Valid</v>
      </c>
      <c r="W216" t="str">
        <f t="shared" si="23"/>
        <v>Valid</v>
      </c>
    </row>
    <row r="217" spans="1:23">
      <c r="A217" t="s">
        <v>247</v>
      </c>
      <c r="B217" s="2">
        <v>45765</v>
      </c>
      <c r="C217" t="s">
        <v>17</v>
      </c>
      <c r="D217" t="s">
        <v>32</v>
      </c>
      <c r="E217" t="s">
        <v>24</v>
      </c>
      <c r="F217" t="s">
        <v>41</v>
      </c>
      <c r="G217" t="s">
        <v>21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P217">
        <v>45.4</v>
      </c>
      <c r="R217" t="str">
        <f t="shared" si="18"/>
        <v>Unique</v>
      </c>
      <c r="S217" t="str">
        <f t="shared" si="19"/>
        <v>Valid</v>
      </c>
      <c r="T217" t="str">
        <f t="shared" si="20"/>
        <v>Valid</v>
      </c>
      <c r="U217" t="str">
        <f t="shared" si="21"/>
        <v>Valid</v>
      </c>
      <c r="V217" t="str">
        <f t="shared" si="22"/>
        <v>Valid</v>
      </c>
      <c r="W217" t="str">
        <f t="shared" si="23"/>
        <v>Valid</v>
      </c>
    </row>
    <row r="218" spans="1:23">
      <c r="A218" t="s">
        <v>248</v>
      </c>
      <c r="B218" s="2">
        <v>45743</v>
      </c>
      <c r="C218" t="s">
        <v>17</v>
      </c>
      <c r="D218" t="s">
        <v>18</v>
      </c>
      <c r="E218" t="s">
        <v>24</v>
      </c>
      <c r="F218" t="s">
        <v>29</v>
      </c>
      <c r="G218" t="s">
        <v>21</v>
      </c>
      <c r="H218">
        <v>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P218">
        <v>53.3</v>
      </c>
      <c r="R218" t="str">
        <f t="shared" si="18"/>
        <v>Unique</v>
      </c>
      <c r="S218" t="str">
        <f t="shared" si="19"/>
        <v>Valid</v>
      </c>
      <c r="T218" t="str">
        <f t="shared" si="20"/>
        <v>Valid</v>
      </c>
      <c r="U218" t="str">
        <f t="shared" si="21"/>
        <v>Valid</v>
      </c>
      <c r="V218" t="str">
        <f t="shared" si="22"/>
        <v>Valid</v>
      </c>
      <c r="W218" t="str">
        <f t="shared" si="23"/>
        <v>Valid</v>
      </c>
    </row>
    <row r="219" spans="1:23">
      <c r="A219" t="s">
        <v>249</v>
      </c>
      <c r="B219" s="2">
        <v>45713</v>
      </c>
      <c r="C219" t="s">
        <v>17</v>
      </c>
      <c r="D219" t="s">
        <v>18</v>
      </c>
      <c r="E219" t="s">
        <v>34</v>
      </c>
      <c r="F219" t="s">
        <v>41</v>
      </c>
      <c r="G219" t="s">
        <v>26</v>
      </c>
      <c r="H219">
        <v>1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P219">
        <v>60.02</v>
      </c>
      <c r="R219" t="str">
        <f t="shared" si="18"/>
        <v>Unique</v>
      </c>
      <c r="S219" t="str">
        <f t="shared" si="19"/>
        <v>Valid</v>
      </c>
      <c r="T219" t="str">
        <f t="shared" si="20"/>
        <v>Valid</v>
      </c>
      <c r="U219" t="str">
        <f t="shared" si="21"/>
        <v>Valid</v>
      </c>
      <c r="V219" t="str">
        <f t="shared" si="22"/>
        <v>Valid</v>
      </c>
      <c r="W219" t="str">
        <f t="shared" si="23"/>
        <v>Valid</v>
      </c>
    </row>
    <row r="220" spans="1:23">
      <c r="A220" t="s">
        <v>250</v>
      </c>
      <c r="B220" s="2">
        <v>45707</v>
      </c>
      <c r="C220" t="s">
        <v>17</v>
      </c>
      <c r="D220" t="s">
        <v>28</v>
      </c>
      <c r="E220" t="s">
        <v>24</v>
      </c>
      <c r="F220" t="s">
        <v>29</v>
      </c>
      <c r="G220" t="s">
        <v>26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1</v>
      </c>
      <c r="N220">
        <v>0</v>
      </c>
      <c r="P220">
        <v>38.200000000000003</v>
      </c>
      <c r="R220" t="str">
        <f t="shared" si="18"/>
        <v>Unique</v>
      </c>
      <c r="S220" t="str">
        <f t="shared" si="19"/>
        <v>Valid</v>
      </c>
      <c r="T220" t="str">
        <f t="shared" si="20"/>
        <v>Valid</v>
      </c>
      <c r="U220" t="str">
        <f t="shared" si="21"/>
        <v>Valid</v>
      </c>
      <c r="V220" t="str">
        <f t="shared" si="22"/>
        <v>Valid</v>
      </c>
      <c r="W220" t="str">
        <f t="shared" si="23"/>
        <v>Valid</v>
      </c>
    </row>
    <row r="221" spans="1:23">
      <c r="A221" t="s">
        <v>251</v>
      </c>
      <c r="B221" s="2">
        <v>45758</v>
      </c>
      <c r="C221" t="s">
        <v>17</v>
      </c>
      <c r="D221" t="s">
        <v>23</v>
      </c>
      <c r="E221" t="s">
        <v>24</v>
      </c>
      <c r="F221" t="s">
        <v>29</v>
      </c>
      <c r="G221" t="s">
        <v>26</v>
      </c>
      <c r="H221">
        <v>1</v>
      </c>
      <c r="I221">
        <v>1</v>
      </c>
      <c r="J221">
        <v>0</v>
      </c>
      <c r="K221">
        <v>0</v>
      </c>
      <c r="L221">
        <v>0</v>
      </c>
      <c r="M221">
        <v>3</v>
      </c>
      <c r="N221">
        <v>0</v>
      </c>
      <c r="P221">
        <v>59</v>
      </c>
      <c r="R221" t="str">
        <f t="shared" si="18"/>
        <v>Unique</v>
      </c>
      <c r="S221" t="str">
        <f t="shared" si="19"/>
        <v>Valid</v>
      </c>
      <c r="T221" t="str">
        <f t="shared" si="20"/>
        <v>Valid</v>
      </c>
      <c r="U221" t="str">
        <f t="shared" si="21"/>
        <v>Valid</v>
      </c>
      <c r="V221" t="str">
        <f t="shared" si="22"/>
        <v>Valid</v>
      </c>
      <c r="W221" t="str">
        <f t="shared" si="23"/>
        <v>Valid</v>
      </c>
    </row>
    <row r="222" spans="1:23">
      <c r="A222" t="s">
        <v>252</v>
      </c>
      <c r="B222" s="2">
        <v>45679</v>
      </c>
      <c r="C222" t="s">
        <v>17</v>
      </c>
      <c r="D222" t="s">
        <v>28</v>
      </c>
      <c r="E222" t="s">
        <v>34</v>
      </c>
      <c r="F222" t="s">
        <v>39</v>
      </c>
      <c r="G222" t="s">
        <v>30</v>
      </c>
      <c r="H222">
        <v>1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P222">
        <v>80.599999999999994</v>
      </c>
      <c r="R222" t="str">
        <f t="shared" si="18"/>
        <v>Unique</v>
      </c>
      <c r="S222" t="str">
        <f t="shared" si="19"/>
        <v>Valid</v>
      </c>
      <c r="T222" t="str">
        <f t="shared" si="20"/>
        <v>Valid</v>
      </c>
      <c r="U222" t="str">
        <f t="shared" si="21"/>
        <v>Valid</v>
      </c>
      <c r="V222" t="str">
        <f t="shared" si="22"/>
        <v>Valid</v>
      </c>
      <c r="W222" t="str">
        <f t="shared" si="23"/>
        <v>Valid</v>
      </c>
    </row>
    <row r="223" spans="1:23">
      <c r="A223" t="s">
        <v>253</v>
      </c>
      <c r="B223" s="2">
        <v>45669</v>
      </c>
      <c r="C223" t="s">
        <v>17</v>
      </c>
      <c r="D223" t="s">
        <v>32</v>
      </c>
      <c r="E223" t="s">
        <v>24</v>
      </c>
      <c r="F223" t="s">
        <v>41</v>
      </c>
      <c r="G223" t="s">
        <v>26</v>
      </c>
      <c r="H223">
        <v>1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P223">
        <v>67</v>
      </c>
      <c r="R223" t="str">
        <f t="shared" si="18"/>
        <v>Unique</v>
      </c>
      <c r="S223" t="str">
        <f t="shared" si="19"/>
        <v>Valid</v>
      </c>
      <c r="T223" t="str">
        <f t="shared" si="20"/>
        <v>Valid</v>
      </c>
      <c r="U223" t="str">
        <f t="shared" si="21"/>
        <v>Valid</v>
      </c>
      <c r="V223" t="str">
        <f t="shared" si="22"/>
        <v>Valid</v>
      </c>
      <c r="W223" t="str">
        <f t="shared" si="23"/>
        <v>Valid</v>
      </c>
    </row>
    <row r="224" spans="1:23">
      <c r="A224" t="s">
        <v>254</v>
      </c>
      <c r="B224" s="2">
        <v>45705</v>
      </c>
      <c r="C224" t="s">
        <v>17</v>
      </c>
      <c r="D224" t="s">
        <v>23</v>
      </c>
      <c r="E224" t="s">
        <v>24</v>
      </c>
      <c r="F224" t="s">
        <v>20</v>
      </c>
      <c r="G224" t="s">
        <v>26</v>
      </c>
      <c r="H224">
        <v>1</v>
      </c>
      <c r="I224">
        <v>0</v>
      </c>
      <c r="J224">
        <v>0</v>
      </c>
      <c r="K224">
        <v>0</v>
      </c>
      <c r="L224">
        <v>0</v>
      </c>
      <c r="M224">
        <v>1</v>
      </c>
      <c r="N224">
        <v>0</v>
      </c>
      <c r="P224">
        <v>72.099999999999994</v>
      </c>
      <c r="R224" t="str">
        <f t="shared" si="18"/>
        <v>Unique</v>
      </c>
      <c r="S224" t="str">
        <f t="shared" si="19"/>
        <v>Valid</v>
      </c>
      <c r="T224" t="str">
        <f t="shared" si="20"/>
        <v>Valid</v>
      </c>
      <c r="U224" t="str">
        <f t="shared" si="21"/>
        <v>Valid</v>
      </c>
      <c r="V224" t="str">
        <f t="shared" si="22"/>
        <v>Valid</v>
      </c>
      <c r="W224" t="str">
        <f t="shared" si="23"/>
        <v>Valid</v>
      </c>
    </row>
    <row r="225" spans="1:23">
      <c r="A225" t="s">
        <v>255</v>
      </c>
      <c r="B225" s="2">
        <v>45758</v>
      </c>
      <c r="C225" t="s">
        <v>17</v>
      </c>
      <c r="D225" t="s">
        <v>23</v>
      </c>
      <c r="E225" t="s">
        <v>19</v>
      </c>
      <c r="F225" t="s">
        <v>25</v>
      </c>
      <c r="G225" t="s">
        <v>26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P225">
        <v>74.099999999999994</v>
      </c>
      <c r="R225" t="str">
        <f t="shared" si="18"/>
        <v>Unique</v>
      </c>
      <c r="S225" t="str">
        <f t="shared" si="19"/>
        <v>Valid</v>
      </c>
      <c r="T225" t="str">
        <f t="shared" si="20"/>
        <v>Valid</v>
      </c>
      <c r="U225" t="str">
        <f t="shared" si="21"/>
        <v>Valid</v>
      </c>
      <c r="V225" t="str">
        <f t="shared" si="22"/>
        <v>Valid</v>
      </c>
      <c r="W225" t="str">
        <f t="shared" si="23"/>
        <v>Valid</v>
      </c>
    </row>
    <row r="226" spans="1:23">
      <c r="A226" t="s">
        <v>256</v>
      </c>
      <c r="B226" s="2">
        <v>45802</v>
      </c>
      <c r="C226" t="s">
        <v>17</v>
      </c>
      <c r="D226" t="s">
        <v>32</v>
      </c>
      <c r="E226" t="s">
        <v>24</v>
      </c>
      <c r="F226" t="s">
        <v>39</v>
      </c>
      <c r="G226" t="s">
        <v>30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P226">
        <v>84.8</v>
      </c>
      <c r="R226" t="str">
        <f t="shared" si="18"/>
        <v>Unique</v>
      </c>
      <c r="S226" t="str">
        <f t="shared" si="19"/>
        <v>Valid</v>
      </c>
      <c r="T226" t="str">
        <f t="shared" si="20"/>
        <v>Valid</v>
      </c>
      <c r="U226" t="str">
        <f t="shared" si="21"/>
        <v>Valid</v>
      </c>
      <c r="V226" t="str">
        <f t="shared" si="22"/>
        <v>Valid</v>
      </c>
      <c r="W226" t="str">
        <f t="shared" si="23"/>
        <v>Valid</v>
      </c>
    </row>
    <row r="227" spans="1:23">
      <c r="A227" t="s">
        <v>257</v>
      </c>
      <c r="B227" s="2">
        <v>45728</v>
      </c>
      <c r="C227" t="s">
        <v>17</v>
      </c>
      <c r="D227" t="s">
        <v>32</v>
      </c>
      <c r="E227" t="s">
        <v>24</v>
      </c>
      <c r="F227" t="s">
        <v>25</v>
      </c>
      <c r="G227" t="s">
        <v>21</v>
      </c>
      <c r="H227">
        <v>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P227">
        <v>33</v>
      </c>
      <c r="R227" t="str">
        <f t="shared" si="18"/>
        <v>Unique</v>
      </c>
      <c r="S227" t="str">
        <f t="shared" si="19"/>
        <v>Valid</v>
      </c>
      <c r="T227" t="str">
        <f t="shared" si="20"/>
        <v>Valid</v>
      </c>
      <c r="U227" t="str">
        <f t="shared" si="21"/>
        <v>Valid</v>
      </c>
      <c r="V227" t="str">
        <f t="shared" si="22"/>
        <v>Valid</v>
      </c>
      <c r="W227" t="str">
        <f t="shared" si="23"/>
        <v>Valid</v>
      </c>
    </row>
    <row r="228" spans="1:23">
      <c r="A228" t="s">
        <v>258</v>
      </c>
      <c r="B228" s="2">
        <v>45767</v>
      </c>
      <c r="C228" t="s">
        <v>17</v>
      </c>
      <c r="D228" t="s">
        <v>18</v>
      </c>
      <c r="E228" t="s">
        <v>34</v>
      </c>
      <c r="F228" t="s">
        <v>20</v>
      </c>
      <c r="G228" t="s">
        <v>26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P228">
        <v>52.5</v>
      </c>
      <c r="R228" t="str">
        <f t="shared" si="18"/>
        <v>Unique</v>
      </c>
      <c r="S228" t="str">
        <f t="shared" si="19"/>
        <v>Valid</v>
      </c>
      <c r="T228" t="str">
        <f t="shared" si="20"/>
        <v>Valid</v>
      </c>
      <c r="U228" t="str">
        <f t="shared" si="21"/>
        <v>Valid</v>
      </c>
      <c r="V228" t="str">
        <f t="shared" si="22"/>
        <v>Valid</v>
      </c>
      <c r="W228" t="str">
        <f t="shared" si="23"/>
        <v>Valid</v>
      </c>
    </row>
    <row r="229" spans="1:23">
      <c r="A229" t="s">
        <v>259</v>
      </c>
      <c r="B229" s="2">
        <v>45711</v>
      </c>
      <c r="C229" t="s">
        <v>17</v>
      </c>
      <c r="D229" t="s">
        <v>18</v>
      </c>
      <c r="E229" t="s">
        <v>34</v>
      </c>
      <c r="F229" t="s">
        <v>25</v>
      </c>
      <c r="G229" t="s">
        <v>26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P229">
        <v>66.900000000000006</v>
      </c>
      <c r="R229" t="str">
        <f t="shared" si="18"/>
        <v>Unique</v>
      </c>
      <c r="S229" t="str">
        <f t="shared" si="19"/>
        <v>Valid</v>
      </c>
      <c r="T229" t="str">
        <f t="shared" si="20"/>
        <v>Valid</v>
      </c>
      <c r="U229" t="str">
        <f t="shared" si="21"/>
        <v>Valid</v>
      </c>
      <c r="V229" t="str">
        <f t="shared" si="22"/>
        <v>Valid</v>
      </c>
      <c r="W229" t="str">
        <f t="shared" si="23"/>
        <v>Valid</v>
      </c>
    </row>
    <row r="230" spans="1:23">
      <c r="A230" t="s">
        <v>260</v>
      </c>
      <c r="B230" s="2">
        <v>45681</v>
      </c>
      <c r="C230" t="s">
        <v>17</v>
      </c>
      <c r="D230" t="s">
        <v>18</v>
      </c>
      <c r="E230" t="s">
        <v>24</v>
      </c>
      <c r="F230" t="s">
        <v>25</v>
      </c>
      <c r="G230" t="s">
        <v>21</v>
      </c>
      <c r="H230">
        <v>1</v>
      </c>
      <c r="I230">
        <v>1</v>
      </c>
      <c r="J230">
        <v>1</v>
      </c>
      <c r="K230">
        <v>0</v>
      </c>
      <c r="L230">
        <v>0</v>
      </c>
      <c r="M230">
        <v>1</v>
      </c>
      <c r="N230">
        <v>0</v>
      </c>
      <c r="P230">
        <v>32.700000000000003</v>
      </c>
      <c r="R230" t="str">
        <f t="shared" si="18"/>
        <v>Unique</v>
      </c>
      <c r="S230" t="str">
        <f t="shared" si="19"/>
        <v>Valid</v>
      </c>
      <c r="T230" t="str">
        <f t="shared" si="20"/>
        <v>Valid</v>
      </c>
      <c r="U230" t="str">
        <f t="shared" si="21"/>
        <v>Valid</v>
      </c>
      <c r="V230" t="str">
        <f t="shared" si="22"/>
        <v>Valid</v>
      </c>
      <c r="W230" t="str">
        <f t="shared" si="23"/>
        <v>Valid</v>
      </c>
    </row>
    <row r="231" spans="1:23">
      <c r="A231" t="s">
        <v>261</v>
      </c>
      <c r="B231" s="2">
        <v>45673</v>
      </c>
      <c r="C231" t="s">
        <v>17</v>
      </c>
      <c r="D231" t="s">
        <v>23</v>
      </c>
      <c r="E231" t="s">
        <v>24</v>
      </c>
      <c r="F231" t="s">
        <v>25</v>
      </c>
      <c r="G231" t="s">
        <v>30</v>
      </c>
      <c r="H231">
        <v>1</v>
      </c>
      <c r="I231">
        <v>1</v>
      </c>
      <c r="J231">
        <v>1</v>
      </c>
      <c r="K231">
        <v>0</v>
      </c>
      <c r="L231">
        <v>0</v>
      </c>
      <c r="M231">
        <v>1</v>
      </c>
      <c r="N231">
        <v>0</v>
      </c>
      <c r="P231">
        <v>70.599999999999994</v>
      </c>
      <c r="R231" t="str">
        <f t="shared" si="18"/>
        <v>Unique</v>
      </c>
      <c r="S231" t="str">
        <f t="shared" si="19"/>
        <v>Valid</v>
      </c>
      <c r="T231" t="str">
        <f t="shared" si="20"/>
        <v>Valid</v>
      </c>
      <c r="U231" t="str">
        <f t="shared" si="21"/>
        <v>Valid</v>
      </c>
      <c r="V231" t="str">
        <f t="shared" si="22"/>
        <v>Valid</v>
      </c>
      <c r="W231" t="str">
        <f t="shared" si="23"/>
        <v>Valid</v>
      </c>
    </row>
    <row r="232" spans="1:23">
      <c r="A232" t="s">
        <v>262</v>
      </c>
      <c r="B232" s="2">
        <v>45705</v>
      </c>
      <c r="C232" t="s">
        <v>17</v>
      </c>
      <c r="D232" t="s">
        <v>18</v>
      </c>
      <c r="E232" t="s">
        <v>24</v>
      </c>
      <c r="F232" t="s">
        <v>41</v>
      </c>
      <c r="G232" t="s">
        <v>26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P232">
        <v>69.400000000000006</v>
      </c>
      <c r="R232" t="str">
        <f t="shared" si="18"/>
        <v>Unique</v>
      </c>
      <c r="S232" t="str">
        <f t="shared" si="19"/>
        <v>Valid</v>
      </c>
      <c r="T232" t="str">
        <f t="shared" si="20"/>
        <v>Valid</v>
      </c>
      <c r="U232" t="str">
        <f t="shared" si="21"/>
        <v>Valid</v>
      </c>
      <c r="V232" t="str">
        <f t="shared" si="22"/>
        <v>Valid</v>
      </c>
      <c r="W232" t="str">
        <f t="shared" si="23"/>
        <v>Valid</v>
      </c>
    </row>
    <row r="233" spans="1:23">
      <c r="A233" t="s">
        <v>263</v>
      </c>
      <c r="B233" s="2">
        <v>45781</v>
      </c>
      <c r="C233" t="s">
        <v>17</v>
      </c>
      <c r="D233" t="s">
        <v>18</v>
      </c>
      <c r="E233" t="s">
        <v>19</v>
      </c>
      <c r="F233" t="s">
        <v>25</v>
      </c>
      <c r="G233" t="s">
        <v>21</v>
      </c>
      <c r="H233">
        <v>1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P233">
        <v>56.1</v>
      </c>
      <c r="R233" t="str">
        <f t="shared" si="18"/>
        <v>Unique</v>
      </c>
      <c r="S233" t="str">
        <f t="shared" si="19"/>
        <v>Valid</v>
      </c>
      <c r="T233" t="str">
        <f t="shared" si="20"/>
        <v>Valid</v>
      </c>
      <c r="U233" t="str">
        <f t="shared" si="21"/>
        <v>Valid</v>
      </c>
      <c r="V233" t="str">
        <f t="shared" si="22"/>
        <v>Valid</v>
      </c>
      <c r="W233" t="str">
        <f t="shared" si="23"/>
        <v>Valid</v>
      </c>
    </row>
    <row r="234" spans="1:23">
      <c r="A234" t="s">
        <v>264</v>
      </c>
      <c r="B234" s="2">
        <v>45669</v>
      </c>
      <c r="C234" t="s">
        <v>17</v>
      </c>
      <c r="D234" t="s">
        <v>23</v>
      </c>
      <c r="E234" t="s">
        <v>24</v>
      </c>
      <c r="F234" t="s">
        <v>25</v>
      </c>
      <c r="G234" t="s">
        <v>21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P234">
        <v>55.8</v>
      </c>
      <c r="R234" t="str">
        <f t="shared" si="18"/>
        <v>Unique</v>
      </c>
      <c r="S234" t="str">
        <f t="shared" si="19"/>
        <v>Valid</v>
      </c>
      <c r="T234" t="str">
        <f t="shared" si="20"/>
        <v>Valid</v>
      </c>
      <c r="U234" t="str">
        <f t="shared" si="21"/>
        <v>Valid</v>
      </c>
      <c r="V234" t="str">
        <f t="shared" si="22"/>
        <v>Valid</v>
      </c>
      <c r="W234" t="str">
        <f t="shared" si="23"/>
        <v>Valid</v>
      </c>
    </row>
    <row r="235" spans="1:23">
      <c r="A235" t="s">
        <v>265</v>
      </c>
      <c r="B235" s="2">
        <v>45775</v>
      </c>
      <c r="C235" t="s">
        <v>17</v>
      </c>
      <c r="D235" t="s">
        <v>18</v>
      </c>
      <c r="E235" t="s">
        <v>34</v>
      </c>
      <c r="F235" t="s">
        <v>25</v>
      </c>
      <c r="G235" t="s">
        <v>26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P235">
        <v>49.3</v>
      </c>
      <c r="R235" t="str">
        <f t="shared" si="18"/>
        <v>Unique</v>
      </c>
      <c r="S235" t="str">
        <f t="shared" si="19"/>
        <v>Valid</v>
      </c>
      <c r="T235" t="str">
        <f t="shared" si="20"/>
        <v>Valid</v>
      </c>
      <c r="U235" t="str">
        <f t="shared" si="21"/>
        <v>Valid</v>
      </c>
      <c r="V235" t="str">
        <f t="shared" si="22"/>
        <v>Valid</v>
      </c>
      <c r="W235" t="str">
        <f t="shared" si="23"/>
        <v>Valid</v>
      </c>
    </row>
    <row r="236" spans="1:23">
      <c r="A236" t="s">
        <v>266</v>
      </c>
      <c r="B236" s="2">
        <v>45714</v>
      </c>
      <c r="C236" t="s">
        <v>17</v>
      </c>
      <c r="D236" t="s">
        <v>18</v>
      </c>
      <c r="E236" t="s">
        <v>24</v>
      </c>
      <c r="F236" t="s">
        <v>25</v>
      </c>
      <c r="G236" t="s">
        <v>26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P236">
        <v>71.8</v>
      </c>
      <c r="R236" t="str">
        <f t="shared" si="18"/>
        <v>Unique</v>
      </c>
      <c r="S236" t="str">
        <f t="shared" si="19"/>
        <v>Valid</v>
      </c>
      <c r="T236" t="str">
        <f t="shared" si="20"/>
        <v>Valid</v>
      </c>
      <c r="U236" t="str">
        <f t="shared" si="21"/>
        <v>Valid</v>
      </c>
      <c r="V236" t="str">
        <f t="shared" si="22"/>
        <v>Valid</v>
      </c>
      <c r="W236" t="str">
        <f t="shared" si="23"/>
        <v>Valid</v>
      </c>
    </row>
    <row r="237" spans="1:23">
      <c r="A237" t="s">
        <v>267</v>
      </c>
      <c r="B237" s="2">
        <v>45734</v>
      </c>
      <c r="C237" t="s">
        <v>17</v>
      </c>
      <c r="D237" t="s">
        <v>23</v>
      </c>
      <c r="E237" t="s">
        <v>24</v>
      </c>
      <c r="F237" t="s">
        <v>41</v>
      </c>
      <c r="G237" t="s">
        <v>26</v>
      </c>
      <c r="H237">
        <v>1</v>
      </c>
      <c r="I237">
        <v>0</v>
      </c>
      <c r="J237">
        <v>0</v>
      </c>
      <c r="K237">
        <v>0</v>
      </c>
      <c r="L237">
        <v>0</v>
      </c>
      <c r="M237">
        <v>3</v>
      </c>
      <c r="N237">
        <v>0</v>
      </c>
      <c r="P237">
        <v>39.700000000000003</v>
      </c>
      <c r="R237" t="str">
        <f t="shared" si="18"/>
        <v>Unique</v>
      </c>
      <c r="S237" t="str">
        <f t="shared" si="19"/>
        <v>Valid</v>
      </c>
      <c r="T237" t="str">
        <f t="shared" si="20"/>
        <v>Valid</v>
      </c>
      <c r="U237" t="str">
        <f t="shared" si="21"/>
        <v>Valid</v>
      </c>
      <c r="V237" t="str">
        <f t="shared" si="22"/>
        <v>Valid</v>
      </c>
      <c r="W237" t="str">
        <f t="shared" si="23"/>
        <v>Valid</v>
      </c>
    </row>
    <row r="238" spans="1:23">
      <c r="A238" t="s">
        <v>268</v>
      </c>
      <c r="B238" s="2">
        <v>45717</v>
      </c>
      <c r="C238" t="s">
        <v>17</v>
      </c>
      <c r="D238" t="s">
        <v>32</v>
      </c>
      <c r="E238" t="s">
        <v>19</v>
      </c>
      <c r="F238" t="s">
        <v>25</v>
      </c>
      <c r="G238" t="s">
        <v>30</v>
      </c>
      <c r="H238">
        <v>1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P238">
        <v>45.4</v>
      </c>
      <c r="R238" t="str">
        <f t="shared" si="18"/>
        <v>Unique</v>
      </c>
      <c r="S238" t="str">
        <f t="shared" si="19"/>
        <v>Valid</v>
      </c>
      <c r="T238" t="str">
        <f t="shared" si="20"/>
        <v>Valid</v>
      </c>
      <c r="U238" t="str">
        <f t="shared" si="21"/>
        <v>Valid</v>
      </c>
      <c r="V238" t="str">
        <f t="shared" si="22"/>
        <v>Valid</v>
      </c>
      <c r="W238" t="str">
        <f t="shared" si="23"/>
        <v>Valid</v>
      </c>
    </row>
    <row r="239" spans="1:23">
      <c r="A239" t="s">
        <v>269</v>
      </c>
      <c r="B239" s="2">
        <v>45752</v>
      </c>
      <c r="C239" t="s">
        <v>17</v>
      </c>
      <c r="D239" t="s">
        <v>18</v>
      </c>
      <c r="E239" t="s">
        <v>19</v>
      </c>
      <c r="F239" t="s">
        <v>41</v>
      </c>
      <c r="G239" t="s">
        <v>30</v>
      </c>
      <c r="H239">
        <v>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P239">
        <v>69.900000000000006</v>
      </c>
      <c r="R239" t="str">
        <f t="shared" si="18"/>
        <v>Unique</v>
      </c>
      <c r="S239" t="str">
        <f t="shared" si="19"/>
        <v>Valid</v>
      </c>
      <c r="T239" t="str">
        <f t="shared" si="20"/>
        <v>Valid</v>
      </c>
      <c r="U239" t="str">
        <f t="shared" si="21"/>
        <v>Valid</v>
      </c>
      <c r="V239" t="str">
        <f t="shared" si="22"/>
        <v>Valid</v>
      </c>
      <c r="W239" t="str">
        <f t="shared" si="23"/>
        <v>Valid</v>
      </c>
    </row>
    <row r="240" spans="1:23">
      <c r="A240" t="s">
        <v>270</v>
      </c>
      <c r="B240" s="2">
        <v>45728</v>
      </c>
      <c r="C240" t="s">
        <v>17</v>
      </c>
      <c r="D240" t="s">
        <v>18</v>
      </c>
      <c r="E240" t="s">
        <v>19</v>
      </c>
      <c r="F240" t="s">
        <v>41</v>
      </c>
      <c r="G240" t="s">
        <v>26</v>
      </c>
      <c r="H240">
        <v>1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P240">
        <v>56.1</v>
      </c>
      <c r="R240" t="str">
        <f t="shared" si="18"/>
        <v>Unique</v>
      </c>
      <c r="S240" t="str">
        <f t="shared" si="19"/>
        <v>Valid</v>
      </c>
      <c r="T240" t="str">
        <f t="shared" si="20"/>
        <v>Valid</v>
      </c>
      <c r="U240" t="str">
        <f t="shared" si="21"/>
        <v>Valid</v>
      </c>
      <c r="V240" t="str">
        <f t="shared" si="22"/>
        <v>Valid</v>
      </c>
      <c r="W240" t="str">
        <f t="shared" si="23"/>
        <v>Valid</v>
      </c>
    </row>
    <row r="241" spans="1:23">
      <c r="A241" t="s">
        <v>271</v>
      </c>
      <c r="B241" s="2">
        <v>45731</v>
      </c>
      <c r="C241" t="s">
        <v>17</v>
      </c>
      <c r="D241" t="s">
        <v>23</v>
      </c>
      <c r="E241" t="s">
        <v>24</v>
      </c>
      <c r="F241" t="s">
        <v>39</v>
      </c>
      <c r="G241" t="s">
        <v>21</v>
      </c>
      <c r="H241">
        <v>1</v>
      </c>
      <c r="I241">
        <v>1</v>
      </c>
      <c r="J241">
        <v>0</v>
      </c>
      <c r="K241">
        <v>0</v>
      </c>
      <c r="L241">
        <v>0</v>
      </c>
      <c r="M241">
        <v>0</v>
      </c>
      <c r="N241">
        <v>0</v>
      </c>
      <c r="P241">
        <v>45.9</v>
      </c>
      <c r="R241" t="str">
        <f t="shared" si="18"/>
        <v>Unique</v>
      </c>
      <c r="S241" t="str">
        <f t="shared" si="19"/>
        <v>Valid</v>
      </c>
      <c r="T241" t="str">
        <f t="shared" si="20"/>
        <v>Valid</v>
      </c>
      <c r="U241" t="str">
        <f t="shared" si="21"/>
        <v>Valid</v>
      </c>
      <c r="V241" t="str">
        <f t="shared" si="22"/>
        <v>Valid</v>
      </c>
      <c r="W241" t="str">
        <f t="shared" si="23"/>
        <v>Valid</v>
      </c>
    </row>
    <row r="242" spans="1:23">
      <c r="A242" t="s">
        <v>272</v>
      </c>
      <c r="B242" s="2">
        <v>45711</v>
      </c>
      <c r="C242" t="s">
        <v>17</v>
      </c>
      <c r="D242" t="s">
        <v>23</v>
      </c>
      <c r="E242" t="s">
        <v>24</v>
      </c>
      <c r="F242" t="s">
        <v>20</v>
      </c>
      <c r="G242" t="s">
        <v>26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P242">
        <v>65.8</v>
      </c>
      <c r="R242" t="str">
        <f t="shared" si="18"/>
        <v>Unique</v>
      </c>
      <c r="S242" t="str">
        <f t="shared" si="19"/>
        <v>Valid</v>
      </c>
      <c r="T242" t="str">
        <f t="shared" si="20"/>
        <v>Valid</v>
      </c>
      <c r="U242" t="str">
        <f t="shared" si="21"/>
        <v>Valid</v>
      </c>
      <c r="V242" t="str">
        <f t="shared" si="22"/>
        <v>Valid</v>
      </c>
      <c r="W242" t="str">
        <f t="shared" si="23"/>
        <v>Valid</v>
      </c>
    </row>
    <row r="243" spans="1:23">
      <c r="A243" t="s">
        <v>273</v>
      </c>
      <c r="B243" s="2">
        <v>45769</v>
      </c>
      <c r="C243" t="s">
        <v>17</v>
      </c>
      <c r="D243" t="s">
        <v>18</v>
      </c>
      <c r="E243" t="s">
        <v>24</v>
      </c>
      <c r="F243" t="s">
        <v>25</v>
      </c>
      <c r="G243" t="s">
        <v>21</v>
      </c>
      <c r="H243">
        <v>1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P243">
        <v>48.2</v>
      </c>
      <c r="R243" t="str">
        <f t="shared" si="18"/>
        <v>Unique</v>
      </c>
      <c r="S243" t="str">
        <f t="shared" si="19"/>
        <v>Valid</v>
      </c>
      <c r="T243" t="str">
        <f t="shared" si="20"/>
        <v>Valid</v>
      </c>
      <c r="U243" t="str">
        <f t="shared" si="21"/>
        <v>Valid</v>
      </c>
      <c r="V243" t="str">
        <f t="shared" si="22"/>
        <v>Valid</v>
      </c>
      <c r="W243" t="str">
        <f t="shared" si="23"/>
        <v>Valid</v>
      </c>
    </row>
    <row r="244" spans="1:23">
      <c r="A244" t="s">
        <v>274</v>
      </c>
      <c r="B244" s="2">
        <v>45666</v>
      </c>
      <c r="C244" t="s">
        <v>17</v>
      </c>
      <c r="D244" t="s">
        <v>28</v>
      </c>
      <c r="E244" t="s">
        <v>24</v>
      </c>
      <c r="F244" t="s">
        <v>25</v>
      </c>
      <c r="G244" t="s">
        <v>21</v>
      </c>
      <c r="H244">
        <v>1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P244">
        <v>81.099999999999994</v>
      </c>
      <c r="R244" t="str">
        <f t="shared" si="18"/>
        <v>Unique</v>
      </c>
      <c r="S244" t="str">
        <f t="shared" si="19"/>
        <v>Valid</v>
      </c>
      <c r="T244" t="str">
        <f t="shared" si="20"/>
        <v>Valid</v>
      </c>
      <c r="U244" t="str">
        <f t="shared" si="21"/>
        <v>Valid</v>
      </c>
      <c r="V244" t="str">
        <f t="shared" si="22"/>
        <v>Valid</v>
      </c>
      <c r="W244" t="str">
        <f t="shared" si="23"/>
        <v>Valid</v>
      </c>
    </row>
    <row r="245" spans="1:23">
      <c r="A245" t="s">
        <v>275</v>
      </c>
      <c r="B245" s="2">
        <v>45721</v>
      </c>
      <c r="C245" t="s">
        <v>17</v>
      </c>
      <c r="D245" t="s">
        <v>28</v>
      </c>
      <c r="E245" t="s">
        <v>34</v>
      </c>
      <c r="F245" t="s">
        <v>41</v>
      </c>
      <c r="G245" t="s">
        <v>30</v>
      </c>
      <c r="H245">
        <v>1</v>
      </c>
      <c r="I245">
        <v>1</v>
      </c>
      <c r="J245">
        <v>0</v>
      </c>
      <c r="K245">
        <v>0</v>
      </c>
      <c r="L245">
        <v>0</v>
      </c>
      <c r="M245">
        <v>0</v>
      </c>
      <c r="N245">
        <v>0</v>
      </c>
      <c r="P245">
        <v>53.2</v>
      </c>
      <c r="R245" t="str">
        <f t="shared" si="18"/>
        <v>Unique</v>
      </c>
      <c r="S245" t="str">
        <f t="shared" si="19"/>
        <v>Valid</v>
      </c>
      <c r="T245" t="str">
        <f t="shared" si="20"/>
        <v>Valid</v>
      </c>
      <c r="U245" t="str">
        <f t="shared" si="21"/>
        <v>Valid</v>
      </c>
      <c r="V245" t="str">
        <f t="shared" si="22"/>
        <v>Valid</v>
      </c>
      <c r="W245" t="str">
        <f t="shared" si="23"/>
        <v>Valid</v>
      </c>
    </row>
    <row r="246" spans="1:23">
      <c r="A246" t="s">
        <v>276</v>
      </c>
      <c r="B246" s="2">
        <v>45685</v>
      </c>
      <c r="C246" t="s">
        <v>17</v>
      </c>
      <c r="D246" t="s">
        <v>18</v>
      </c>
      <c r="E246" t="s">
        <v>24</v>
      </c>
      <c r="F246" t="s">
        <v>41</v>
      </c>
      <c r="G246" t="s">
        <v>26</v>
      </c>
      <c r="H246">
        <v>1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P246">
        <v>57.7</v>
      </c>
      <c r="R246" t="str">
        <f t="shared" si="18"/>
        <v>Unique</v>
      </c>
      <c r="S246" t="str">
        <f t="shared" si="19"/>
        <v>Valid</v>
      </c>
      <c r="T246" t="str">
        <f t="shared" si="20"/>
        <v>Valid</v>
      </c>
      <c r="U246" t="str">
        <f t="shared" si="21"/>
        <v>Valid</v>
      </c>
      <c r="V246" t="str">
        <f t="shared" si="22"/>
        <v>Valid</v>
      </c>
      <c r="W246" t="str">
        <f t="shared" si="23"/>
        <v>Valid</v>
      </c>
    </row>
    <row r="247" spans="1:23">
      <c r="A247" t="s">
        <v>277</v>
      </c>
      <c r="B247" s="2">
        <v>45678</v>
      </c>
      <c r="C247" t="s">
        <v>17</v>
      </c>
      <c r="D247" t="s">
        <v>23</v>
      </c>
      <c r="E247" t="s">
        <v>24</v>
      </c>
      <c r="F247" t="s">
        <v>29</v>
      </c>
      <c r="G247" t="s">
        <v>30</v>
      </c>
      <c r="H247">
        <v>1</v>
      </c>
      <c r="I247">
        <v>1</v>
      </c>
      <c r="J247">
        <v>0</v>
      </c>
      <c r="K247">
        <v>0</v>
      </c>
      <c r="L247">
        <v>0</v>
      </c>
      <c r="M247">
        <v>0</v>
      </c>
      <c r="N247">
        <v>0</v>
      </c>
      <c r="P247">
        <v>78.900000000000006</v>
      </c>
      <c r="R247" t="str">
        <f t="shared" si="18"/>
        <v>Unique</v>
      </c>
      <c r="S247" t="str">
        <f t="shared" si="19"/>
        <v>Valid</v>
      </c>
      <c r="T247" t="str">
        <f t="shared" si="20"/>
        <v>Valid</v>
      </c>
      <c r="U247" t="str">
        <f t="shared" si="21"/>
        <v>Valid</v>
      </c>
      <c r="V247" t="str">
        <f t="shared" si="22"/>
        <v>Valid</v>
      </c>
      <c r="W247" t="str">
        <f t="shared" si="23"/>
        <v>Valid</v>
      </c>
    </row>
    <row r="248" spans="1:23">
      <c r="A248" t="s">
        <v>278</v>
      </c>
      <c r="B248" s="2">
        <v>45730</v>
      </c>
      <c r="C248" t="s">
        <v>17</v>
      </c>
      <c r="D248" t="s">
        <v>32</v>
      </c>
      <c r="E248" t="s">
        <v>24</v>
      </c>
      <c r="F248" t="s">
        <v>39</v>
      </c>
      <c r="G248" t="s">
        <v>21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P248">
        <v>55.7</v>
      </c>
      <c r="R248" t="str">
        <f t="shared" si="18"/>
        <v>Unique</v>
      </c>
      <c r="S248" t="str">
        <f t="shared" si="19"/>
        <v>Valid</v>
      </c>
      <c r="T248" t="str">
        <f t="shared" si="20"/>
        <v>Valid</v>
      </c>
      <c r="U248" t="str">
        <f t="shared" si="21"/>
        <v>Valid</v>
      </c>
      <c r="V248" t="str">
        <f t="shared" si="22"/>
        <v>Valid</v>
      </c>
      <c r="W248" t="str">
        <f t="shared" si="23"/>
        <v>Valid</v>
      </c>
    </row>
    <row r="249" spans="1:23">
      <c r="A249" t="s">
        <v>279</v>
      </c>
      <c r="B249" s="2">
        <v>45691</v>
      </c>
      <c r="C249" t="s">
        <v>17</v>
      </c>
      <c r="D249" t="s">
        <v>23</v>
      </c>
      <c r="E249" t="s">
        <v>24</v>
      </c>
      <c r="F249" t="s">
        <v>29</v>
      </c>
      <c r="G249" t="s">
        <v>26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P249">
        <v>52.3</v>
      </c>
      <c r="R249" t="str">
        <f t="shared" si="18"/>
        <v>Unique</v>
      </c>
      <c r="S249" t="str">
        <f t="shared" si="19"/>
        <v>Valid</v>
      </c>
      <c r="T249" t="str">
        <f t="shared" si="20"/>
        <v>Valid</v>
      </c>
      <c r="U249" t="str">
        <f t="shared" si="21"/>
        <v>Valid</v>
      </c>
      <c r="V249" t="str">
        <f t="shared" si="22"/>
        <v>Valid</v>
      </c>
      <c r="W249" t="str">
        <f t="shared" si="23"/>
        <v>Valid</v>
      </c>
    </row>
    <row r="250" spans="1:23">
      <c r="A250" t="s">
        <v>280</v>
      </c>
      <c r="B250" s="2">
        <v>45799</v>
      </c>
      <c r="C250" t="s">
        <v>17</v>
      </c>
      <c r="D250" t="s">
        <v>18</v>
      </c>
      <c r="E250" t="s">
        <v>24</v>
      </c>
      <c r="F250" t="s">
        <v>41</v>
      </c>
      <c r="G250" t="s">
        <v>26</v>
      </c>
      <c r="H250">
        <v>1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P250">
        <v>51.5</v>
      </c>
      <c r="R250" t="str">
        <f t="shared" si="18"/>
        <v>Unique</v>
      </c>
      <c r="S250" t="str">
        <f t="shared" si="19"/>
        <v>Valid</v>
      </c>
      <c r="T250" t="str">
        <f t="shared" si="20"/>
        <v>Valid</v>
      </c>
      <c r="U250" t="str">
        <f t="shared" si="21"/>
        <v>Valid</v>
      </c>
      <c r="V250" t="str">
        <f t="shared" si="22"/>
        <v>Valid</v>
      </c>
      <c r="W250" t="str">
        <f t="shared" si="23"/>
        <v>Valid</v>
      </c>
    </row>
    <row r="251" spans="1:23">
      <c r="A251" t="s">
        <v>281</v>
      </c>
      <c r="B251" s="2">
        <v>45772</v>
      </c>
      <c r="C251" t="s">
        <v>17</v>
      </c>
      <c r="D251" t="s">
        <v>18</v>
      </c>
      <c r="E251" t="s">
        <v>19</v>
      </c>
      <c r="F251" t="s">
        <v>20</v>
      </c>
      <c r="G251" t="s">
        <v>26</v>
      </c>
      <c r="H251">
        <v>1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P251">
        <v>70.8</v>
      </c>
      <c r="R251" t="str">
        <f t="shared" si="18"/>
        <v>Unique</v>
      </c>
      <c r="S251" t="str">
        <f t="shared" si="19"/>
        <v>Valid</v>
      </c>
      <c r="T251" t="str">
        <f t="shared" si="20"/>
        <v>Valid</v>
      </c>
      <c r="U251" t="str">
        <f t="shared" si="21"/>
        <v>Valid</v>
      </c>
      <c r="V251" t="str">
        <f t="shared" si="22"/>
        <v>Valid</v>
      </c>
      <c r="W251" t="str">
        <f t="shared" si="23"/>
        <v>Valid</v>
      </c>
    </row>
    <row r="252" spans="1:23">
      <c r="A252" t="s">
        <v>282</v>
      </c>
      <c r="B252" s="2">
        <v>45687</v>
      </c>
      <c r="C252" t="s">
        <v>17</v>
      </c>
      <c r="D252" t="s">
        <v>18</v>
      </c>
      <c r="E252" t="s">
        <v>19</v>
      </c>
      <c r="F252" t="s">
        <v>20</v>
      </c>
      <c r="G252" t="s">
        <v>21</v>
      </c>
      <c r="H252">
        <v>1</v>
      </c>
      <c r="I252">
        <v>1</v>
      </c>
      <c r="J252">
        <v>1</v>
      </c>
      <c r="K252">
        <v>1</v>
      </c>
      <c r="L252">
        <v>1250.78</v>
      </c>
      <c r="M252">
        <v>0</v>
      </c>
      <c r="N252">
        <v>0</v>
      </c>
      <c r="O252">
        <v>10</v>
      </c>
      <c r="P252">
        <v>39</v>
      </c>
      <c r="R252" t="str">
        <f t="shared" si="18"/>
        <v>Unique</v>
      </c>
      <c r="S252" t="str">
        <f t="shared" si="19"/>
        <v>Valid</v>
      </c>
      <c r="T252" t="str">
        <f t="shared" si="20"/>
        <v>Valid</v>
      </c>
      <c r="U252" t="str">
        <f t="shared" si="21"/>
        <v>Valid</v>
      </c>
      <c r="V252" t="str">
        <f t="shared" si="22"/>
        <v>Valid</v>
      </c>
      <c r="W252" t="str">
        <f t="shared" si="23"/>
        <v>Valid</v>
      </c>
    </row>
    <row r="253" spans="1:23">
      <c r="A253" t="s">
        <v>283</v>
      </c>
      <c r="B253" s="2">
        <v>45800</v>
      </c>
      <c r="C253" t="s">
        <v>17</v>
      </c>
      <c r="D253" t="s">
        <v>23</v>
      </c>
      <c r="E253" t="s">
        <v>24</v>
      </c>
      <c r="F253" t="s">
        <v>25</v>
      </c>
      <c r="G253" t="s">
        <v>26</v>
      </c>
      <c r="H253">
        <v>1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P253">
        <v>61.6</v>
      </c>
      <c r="R253" t="str">
        <f t="shared" si="18"/>
        <v>Unique</v>
      </c>
      <c r="S253" t="str">
        <f t="shared" si="19"/>
        <v>Valid</v>
      </c>
      <c r="T253" t="str">
        <f t="shared" si="20"/>
        <v>Valid</v>
      </c>
      <c r="U253" t="str">
        <f t="shared" si="21"/>
        <v>Valid</v>
      </c>
      <c r="V253" t="str">
        <f t="shared" si="22"/>
        <v>Valid</v>
      </c>
      <c r="W253" t="str">
        <f t="shared" si="23"/>
        <v>Valid</v>
      </c>
    </row>
    <row r="254" spans="1:23">
      <c r="A254" t="s">
        <v>284</v>
      </c>
      <c r="B254" s="2">
        <v>45702</v>
      </c>
      <c r="C254" t="s">
        <v>17</v>
      </c>
      <c r="D254" t="s">
        <v>28</v>
      </c>
      <c r="E254" t="s">
        <v>19</v>
      </c>
      <c r="F254" t="s">
        <v>25</v>
      </c>
      <c r="G254" t="s">
        <v>26</v>
      </c>
      <c r="H254">
        <v>1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P254">
        <v>46.8</v>
      </c>
      <c r="R254" t="str">
        <f t="shared" si="18"/>
        <v>Unique</v>
      </c>
      <c r="S254" t="str">
        <f t="shared" si="19"/>
        <v>Valid</v>
      </c>
      <c r="T254" t="str">
        <f t="shared" si="20"/>
        <v>Valid</v>
      </c>
      <c r="U254" t="str">
        <f t="shared" si="21"/>
        <v>Valid</v>
      </c>
      <c r="V254" t="str">
        <f t="shared" si="22"/>
        <v>Valid</v>
      </c>
      <c r="W254" t="str">
        <f t="shared" si="23"/>
        <v>Valid</v>
      </c>
    </row>
    <row r="255" spans="1:23">
      <c r="A255" t="s">
        <v>285</v>
      </c>
      <c r="B255" s="2">
        <v>45721</v>
      </c>
      <c r="C255" t="s">
        <v>17</v>
      </c>
      <c r="D255" t="s">
        <v>18</v>
      </c>
      <c r="E255" t="s">
        <v>24</v>
      </c>
      <c r="F255" t="s">
        <v>29</v>
      </c>
      <c r="G255" t="s">
        <v>30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1</v>
      </c>
      <c r="N255">
        <v>0</v>
      </c>
      <c r="P255">
        <v>58.5</v>
      </c>
      <c r="R255" t="str">
        <f t="shared" si="18"/>
        <v>Unique</v>
      </c>
      <c r="S255" t="str">
        <f t="shared" si="19"/>
        <v>Valid</v>
      </c>
      <c r="T255" t="str">
        <f t="shared" si="20"/>
        <v>Valid</v>
      </c>
      <c r="U255" t="str">
        <f t="shared" si="21"/>
        <v>Valid</v>
      </c>
      <c r="V255" t="str">
        <f t="shared" si="22"/>
        <v>Valid</v>
      </c>
      <c r="W255" t="str">
        <f t="shared" si="23"/>
        <v>Valid</v>
      </c>
    </row>
    <row r="256" spans="1:23">
      <c r="A256" t="s">
        <v>286</v>
      </c>
      <c r="B256" s="2">
        <v>45804</v>
      </c>
      <c r="C256" t="s">
        <v>17</v>
      </c>
      <c r="D256" t="s">
        <v>18</v>
      </c>
      <c r="E256" t="s">
        <v>24</v>
      </c>
      <c r="F256" t="s">
        <v>29</v>
      </c>
      <c r="G256" t="s">
        <v>21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P256">
        <v>70.900000000000006</v>
      </c>
      <c r="R256" t="str">
        <f t="shared" si="18"/>
        <v>Unique</v>
      </c>
      <c r="S256" t="str">
        <f t="shared" si="19"/>
        <v>Valid</v>
      </c>
      <c r="T256" t="str">
        <f t="shared" si="20"/>
        <v>Valid</v>
      </c>
      <c r="U256" t="str">
        <f t="shared" si="21"/>
        <v>Valid</v>
      </c>
      <c r="V256" t="str">
        <f t="shared" si="22"/>
        <v>Valid</v>
      </c>
      <c r="W256" t="str">
        <f t="shared" si="23"/>
        <v>Valid</v>
      </c>
    </row>
    <row r="257" spans="1:23">
      <c r="A257" t="s">
        <v>287</v>
      </c>
      <c r="B257" s="2">
        <v>45664</v>
      </c>
      <c r="C257" t="s">
        <v>17</v>
      </c>
      <c r="D257" t="s">
        <v>32</v>
      </c>
      <c r="E257" t="s">
        <v>24</v>
      </c>
      <c r="F257" t="s">
        <v>29</v>
      </c>
      <c r="G257" t="s">
        <v>26</v>
      </c>
      <c r="H257">
        <v>1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P257">
        <v>48.4</v>
      </c>
      <c r="R257" t="str">
        <f t="shared" si="18"/>
        <v>Unique</v>
      </c>
      <c r="S257" t="str">
        <f t="shared" si="19"/>
        <v>Valid</v>
      </c>
      <c r="T257" t="str">
        <f t="shared" si="20"/>
        <v>Valid</v>
      </c>
      <c r="U257" t="str">
        <f t="shared" si="21"/>
        <v>Valid</v>
      </c>
      <c r="V257" t="str">
        <f t="shared" si="22"/>
        <v>Valid</v>
      </c>
      <c r="W257" t="str">
        <f t="shared" si="23"/>
        <v>Valid</v>
      </c>
    </row>
    <row r="258" spans="1:23">
      <c r="A258" t="s">
        <v>288</v>
      </c>
      <c r="B258" s="2">
        <v>45768</v>
      </c>
      <c r="C258" t="s">
        <v>17</v>
      </c>
      <c r="D258" t="s">
        <v>18</v>
      </c>
      <c r="E258" t="s">
        <v>24</v>
      </c>
      <c r="F258" t="s">
        <v>20</v>
      </c>
      <c r="G258" t="s">
        <v>26</v>
      </c>
      <c r="H258">
        <v>1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P258">
        <v>58</v>
      </c>
      <c r="R258" t="str">
        <f t="shared" si="18"/>
        <v>Unique</v>
      </c>
      <c r="S258" t="str">
        <f t="shared" si="19"/>
        <v>Valid</v>
      </c>
      <c r="T258" t="str">
        <f t="shared" si="20"/>
        <v>Valid</v>
      </c>
      <c r="U258" t="str">
        <f t="shared" si="21"/>
        <v>Valid</v>
      </c>
      <c r="V258" t="str">
        <f t="shared" si="22"/>
        <v>Valid</v>
      </c>
      <c r="W258" t="str">
        <f t="shared" si="23"/>
        <v>Valid</v>
      </c>
    </row>
    <row r="259" spans="1:23">
      <c r="A259" t="s">
        <v>289</v>
      </c>
      <c r="B259" s="2">
        <v>45790</v>
      </c>
      <c r="C259" t="s">
        <v>17</v>
      </c>
      <c r="D259" t="s">
        <v>18</v>
      </c>
      <c r="E259" t="s">
        <v>24</v>
      </c>
      <c r="F259" t="s">
        <v>29</v>
      </c>
      <c r="G259" t="s">
        <v>26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P259">
        <v>61.6</v>
      </c>
      <c r="R259" t="str">
        <f t="shared" ref="R259:R322" si="24">IF(COUNTIF($A:$A,A259)&gt;1,"Duplicate","Unique")</f>
        <v>Unique</v>
      </c>
      <c r="S259" t="str">
        <f t="shared" ref="S259:S322" si="25">IF(OR(H259=0,H259=1),"Valid","Invalid")</f>
        <v>Valid</v>
      </c>
      <c r="T259" t="str">
        <f t="shared" ref="T259:T322" si="26">IF(OR(I259=0,I259=1),"Valid","Invalid")</f>
        <v>Valid</v>
      </c>
      <c r="U259" t="str">
        <f t="shared" ref="U259:U322" si="27">IF(OR(J259=0,J259=1),"Valid","Invalid")</f>
        <v>Valid</v>
      </c>
      <c r="V259" t="str">
        <f t="shared" ref="V259:V322" si="28">IF(OR(K259=0,K259=1),"Valid","Invalid")</f>
        <v>Valid</v>
      </c>
      <c r="W259" t="str">
        <f t="shared" ref="W259:W322" si="29">IF(OR(N259=0,N259=1),"Valid","Invalid")</f>
        <v>Valid</v>
      </c>
    </row>
    <row r="260" spans="1:23">
      <c r="A260" t="s">
        <v>290</v>
      </c>
      <c r="B260" s="2">
        <v>45685</v>
      </c>
      <c r="C260" t="s">
        <v>17</v>
      </c>
      <c r="D260" t="s">
        <v>28</v>
      </c>
      <c r="E260" t="s">
        <v>19</v>
      </c>
      <c r="F260" t="s">
        <v>25</v>
      </c>
      <c r="G260" t="s">
        <v>26</v>
      </c>
      <c r="H260">
        <v>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P260">
        <v>43.2</v>
      </c>
      <c r="R260" t="str">
        <f t="shared" si="24"/>
        <v>Unique</v>
      </c>
      <c r="S260" t="str">
        <f t="shared" si="25"/>
        <v>Valid</v>
      </c>
      <c r="T260" t="str">
        <f t="shared" si="26"/>
        <v>Valid</v>
      </c>
      <c r="U260" t="str">
        <f t="shared" si="27"/>
        <v>Valid</v>
      </c>
      <c r="V260" t="str">
        <f t="shared" si="28"/>
        <v>Valid</v>
      </c>
      <c r="W260" t="str">
        <f t="shared" si="29"/>
        <v>Valid</v>
      </c>
    </row>
    <row r="261" spans="1:23">
      <c r="A261" t="s">
        <v>291</v>
      </c>
      <c r="B261" s="2">
        <v>45732</v>
      </c>
      <c r="C261" t="s">
        <v>17</v>
      </c>
      <c r="D261" t="s">
        <v>28</v>
      </c>
      <c r="E261" t="s">
        <v>19</v>
      </c>
      <c r="F261" t="s">
        <v>29</v>
      </c>
      <c r="G261" t="s">
        <v>21</v>
      </c>
      <c r="H261">
        <v>1</v>
      </c>
      <c r="I261">
        <v>0</v>
      </c>
      <c r="J261">
        <v>0</v>
      </c>
      <c r="K261">
        <v>0</v>
      </c>
      <c r="L261">
        <v>0</v>
      </c>
      <c r="M261">
        <v>1</v>
      </c>
      <c r="N261">
        <v>0</v>
      </c>
      <c r="P261">
        <v>53.3</v>
      </c>
      <c r="R261" t="str">
        <f t="shared" si="24"/>
        <v>Unique</v>
      </c>
      <c r="S261" t="str">
        <f t="shared" si="25"/>
        <v>Valid</v>
      </c>
      <c r="T261" t="str">
        <f t="shared" si="26"/>
        <v>Valid</v>
      </c>
      <c r="U261" t="str">
        <f t="shared" si="27"/>
        <v>Valid</v>
      </c>
      <c r="V261" t="str">
        <f t="shared" si="28"/>
        <v>Valid</v>
      </c>
      <c r="W261" t="str">
        <f t="shared" si="29"/>
        <v>Valid</v>
      </c>
    </row>
    <row r="262" spans="1:23">
      <c r="A262" t="s">
        <v>292</v>
      </c>
      <c r="B262" s="2">
        <v>45757</v>
      </c>
      <c r="C262" t="s">
        <v>17</v>
      </c>
      <c r="D262" t="s">
        <v>28</v>
      </c>
      <c r="E262" t="s">
        <v>19</v>
      </c>
      <c r="F262" t="s">
        <v>41</v>
      </c>
      <c r="G262" t="s">
        <v>21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P262">
        <v>33.9</v>
      </c>
      <c r="R262" t="str">
        <f t="shared" si="24"/>
        <v>Unique</v>
      </c>
      <c r="S262" t="str">
        <f t="shared" si="25"/>
        <v>Valid</v>
      </c>
      <c r="T262" t="str">
        <f t="shared" si="26"/>
        <v>Valid</v>
      </c>
      <c r="U262" t="str">
        <f t="shared" si="27"/>
        <v>Valid</v>
      </c>
      <c r="V262" t="str">
        <f t="shared" si="28"/>
        <v>Valid</v>
      </c>
      <c r="W262" t="str">
        <f t="shared" si="29"/>
        <v>Valid</v>
      </c>
    </row>
    <row r="263" spans="1:23">
      <c r="A263" t="s">
        <v>293</v>
      </c>
      <c r="B263" s="2">
        <v>45731</v>
      </c>
      <c r="C263" t="s">
        <v>17</v>
      </c>
      <c r="D263" t="s">
        <v>28</v>
      </c>
      <c r="E263" t="s">
        <v>19</v>
      </c>
      <c r="F263" t="s">
        <v>39</v>
      </c>
      <c r="G263" t="s">
        <v>26</v>
      </c>
      <c r="H263">
        <v>1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P263">
        <v>35.4</v>
      </c>
      <c r="R263" t="str">
        <f t="shared" si="24"/>
        <v>Unique</v>
      </c>
      <c r="S263" t="str">
        <f t="shared" si="25"/>
        <v>Valid</v>
      </c>
      <c r="T263" t="str">
        <f t="shared" si="26"/>
        <v>Valid</v>
      </c>
      <c r="U263" t="str">
        <f t="shared" si="27"/>
        <v>Valid</v>
      </c>
      <c r="V263" t="str">
        <f t="shared" si="28"/>
        <v>Valid</v>
      </c>
      <c r="W263" t="str">
        <f t="shared" si="29"/>
        <v>Valid</v>
      </c>
    </row>
    <row r="264" spans="1:23">
      <c r="A264" t="s">
        <v>294</v>
      </c>
      <c r="B264" s="2">
        <v>45754</v>
      </c>
      <c r="C264" t="s">
        <v>17</v>
      </c>
      <c r="D264" t="s">
        <v>23</v>
      </c>
      <c r="E264" t="s">
        <v>19</v>
      </c>
      <c r="F264" t="s">
        <v>25</v>
      </c>
      <c r="G264" t="s">
        <v>21</v>
      </c>
      <c r="H264">
        <v>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P264">
        <v>45</v>
      </c>
      <c r="R264" t="str">
        <f t="shared" si="24"/>
        <v>Unique</v>
      </c>
      <c r="S264" t="str">
        <f t="shared" si="25"/>
        <v>Valid</v>
      </c>
      <c r="T264" t="str">
        <f t="shared" si="26"/>
        <v>Valid</v>
      </c>
      <c r="U264" t="str">
        <f t="shared" si="27"/>
        <v>Valid</v>
      </c>
      <c r="V264" t="str">
        <f t="shared" si="28"/>
        <v>Valid</v>
      </c>
      <c r="W264" t="str">
        <f t="shared" si="29"/>
        <v>Valid</v>
      </c>
    </row>
    <row r="265" spans="1:23">
      <c r="A265" t="s">
        <v>295</v>
      </c>
      <c r="B265" s="2">
        <v>45700</v>
      </c>
      <c r="C265" t="s">
        <v>17</v>
      </c>
      <c r="D265" t="s">
        <v>32</v>
      </c>
      <c r="E265" t="s">
        <v>24</v>
      </c>
      <c r="F265" t="s">
        <v>25</v>
      </c>
      <c r="G265" t="s">
        <v>26</v>
      </c>
      <c r="H265">
        <v>1</v>
      </c>
      <c r="I265">
        <v>1</v>
      </c>
      <c r="J265">
        <v>0</v>
      </c>
      <c r="K265">
        <v>0</v>
      </c>
      <c r="L265">
        <v>0</v>
      </c>
      <c r="M265">
        <v>0</v>
      </c>
      <c r="N265">
        <v>0</v>
      </c>
      <c r="P265">
        <v>86.5</v>
      </c>
      <c r="R265" t="str">
        <f t="shared" si="24"/>
        <v>Unique</v>
      </c>
      <c r="S265" t="str">
        <f t="shared" si="25"/>
        <v>Valid</v>
      </c>
      <c r="T265" t="str">
        <f t="shared" si="26"/>
        <v>Valid</v>
      </c>
      <c r="U265" t="str">
        <f t="shared" si="27"/>
        <v>Valid</v>
      </c>
      <c r="V265" t="str">
        <f t="shared" si="28"/>
        <v>Valid</v>
      </c>
      <c r="W265" t="str">
        <f t="shared" si="29"/>
        <v>Valid</v>
      </c>
    </row>
    <row r="266" spans="1:23">
      <c r="A266" t="s">
        <v>296</v>
      </c>
      <c r="B266" s="2">
        <v>45782</v>
      </c>
      <c r="C266" t="s">
        <v>17</v>
      </c>
      <c r="D266" t="s">
        <v>23</v>
      </c>
      <c r="E266" t="s">
        <v>24</v>
      </c>
      <c r="F266" t="s">
        <v>41</v>
      </c>
      <c r="G266" t="s">
        <v>26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P266">
        <v>58.1</v>
      </c>
      <c r="R266" t="str">
        <f t="shared" si="24"/>
        <v>Unique</v>
      </c>
      <c r="S266" t="str">
        <f t="shared" si="25"/>
        <v>Valid</v>
      </c>
      <c r="T266" t="str">
        <f t="shared" si="26"/>
        <v>Valid</v>
      </c>
      <c r="U266" t="str">
        <f t="shared" si="27"/>
        <v>Valid</v>
      </c>
      <c r="V266" t="str">
        <f t="shared" si="28"/>
        <v>Valid</v>
      </c>
      <c r="W266" t="str">
        <f t="shared" si="29"/>
        <v>Valid</v>
      </c>
    </row>
    <row r="267" spans="1:23">
      <c r="A267" t="s">
        <v>297</v>
      </c>
      <c r="B267" s="2">
        <v>45727</v>
      </c>
      <c r="C267" t="s">
        <v>17</v>
      </c>
      <c r="D267" t="s">
        <v>23</v>
      </c>
      <c r="E267" t="s">
        <v>24</v>
      </c>
      <c r="F267" t="s">
        <v>39</v>
      </c>
      <c r="G267" t="s">
        <v>26</v>
      </c>
      <c r="H267">
        <v>1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P267">
        <v>36.1</v>
      </c>
      <c r="R267" t="str">
        <f t="shared" si="24"/>
        <v>Unique</v>
      </c>
      <c r="S267" t="str">
        <f t="shared" si="25"/>
        <v>Valid</v>
      </c>
      <c r="T267" t="str">
        <f t="shared" si="26"/>
        <v>Valid</v>
      </c>
      <c r="U267" t="str">
        <f t="shared" si="27"/>
        <v>Valid</v>
      </c>
      <c r="V267" t="str">
        <f t="shared" si="28"/>
        <v>Valid</v>
      </c>
      <c r="W267" t="str">
        <f t="shared" si="29"/>
        <v>Valid</v>
      </c>
    </row>
    <row r="268" spans="1:23">
      <c r="A268" t="s">
        <v>298</v>
      </c>
      <c r="B268" s="2">
        <v>45698</v>
      </c>
      <c r="C268" t="s">
        <v>17</v>
      </c>
      <c r="D268" t="s">
        <v>28</v>
      </c>
      <c r="E268" t="s">
        <v>24</v>
      </c>
      <c r="F268" t="s">
        <v>41</v>
      </c>
      <c r="G268" t="s">
        <v>26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P268">
        <v>62.8</v>
      </c>
      <c r="R268" t="str">
        <f t="shared" si="24"/>
        <v>Unique</v>
      </c>
      <c r="S268" t="str">
        <f t="shared" si="25"/>
        <v>Valid</v>
      </c>
      <c r="T268" t="str">
        <f t="shared" si="26"/>
        <v>Valid</v>
      </c>
      <c r="U268" t="str">
        <f t="shared" si="27"/>
        <v>Valid</v>
      </c>
      <c r="V268" t="str">
        <f t="shared" si="28"/>
        <v>Valid</v>
      </c>
      <c r="W268" t="str">
        <f t="shared" si="29"/>
        <v>Valid</v>
      </c>
    </row>
    <row r="269" spans="1:23">
      <c r="A269" t="s">
        <v>299</v>
      </c>
      <c r="B269" s="2">
        <v>45753</v>
      </c>
      <c r="C269" t="s">
        <v>17</v>
      </c>
      <c r="D269" t="s">
        <v>32</v>
      </c>
      <c r="E269" t="s">
        <v>24</v>
      </c>
      <c r="F269" t="s">
        <v>25</v>
      </c>
      <c r="G269" t="s">
        <v>26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P269">
        <v>54.2</v>
      </c>
      <c r="R269" t="str">
        <f t="shared" si="24"/>
        <v>Unique</v>
      </c>
      <c r="S269" t="str">
        <f t="shared" si="25"/>
        <v>Valid</v>
      </c>
      <c r="T269" t="str">
        <f t="shared" si="26"/>
        <v>Valid</v>
      </c>
      <c r="U269" t="str">
        <f t="shared" si="27"/>
        <v>Valid</v>
      </c>
      <c r="V269" t="str">
        <f t="shared" si="28"/>
        <v>Valid</v>
      </c>
      <c r="W269" t="str">
        <f t="shared" si="29"/>
        <v>Valid</v>
      </c>
    </row>
    <row r="270" spans="1:23">
      <c r="A270" t="s">
        <v>300</v>
      </c>
      <c r="B270" s="2">
        <v>45663</v>
      </c>
      <c r="C270" t="s">
        <v>17</v>
      </c>
      <c r="D270" t="s">
        <v>28</v>
      </c>
      <c r="E270" t="s">
        <v>24</v>
      </c>
      <c r="F270" t="s">
        <v>39</v>
      </c>
      <c r="G270" t="s">
        <v>26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P270">
        <v>50</v>
      </c>
      <c r="R270" t="str">
        <f t="shared" si="24"/>
        <v>Unique</v>
      </c>
      <c r="S270" t="str">
        <f t="shared" si="25"/>
        <v>Valid</v>
      </c>
      <c r="T270" t="str">
        <f t="shared" si="26"/>
        <v>Valid</v>
      </c>
      <c r="U270" t="str">
        <f t="shared" si="27"/>
        <v>Valid</v>
      </c>
      <c r="V270" t="str">
        <f t="shared" si="28"/>
        <v>Valid</v>
      </c>
      <c r="W270" t="str">
        <f t="shared" si="29"/>
        <v>Valid</v>
      </c>
    </row>
    <row r="271" spans="1:23">
      <c r="A271" t="s">
        <v>301</v>
      </c>
      <c r="B271" s="2">
        <v>45741</v>
      </c>
      <c r="C271" t="s">
        <v>17</v>
      </c>
      <c r="D271" t="s">
        <v>28</v>
      </c>
      <c r="E271" t="s">
        <v>34</v>
      </c>
      <c r="F271" t="s">
        <v>29</v>
      </c>
      <c r="G271" t="s">
        <v>21</v>
      </c>
      <c r="H271">
        <v>1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P271">
        <v>62</v>
      </c>
      <c r="R271" t="str">
        <f t="shared" si="24"/>
        <v>Unique</v>
      </c>
      <c r="S271" t="str">
        <f t="shared" si="25"/>
        <v>Valid</v>
      </c>
      <c r="T271" t="str">
        <f t="shared" si="26"/>
        <v>Valid</v>
      </c>
      <c r="U271" t="str">
        <f t="shared" si="27"/>
        <v>Valid</v>
      </c>
      <c r="V271" t="str">
        <f t="shared" si="28"/>
        <v>Valid</v>
      </c>
      <c r="W271" t="str">
        <f t="shared" si="29"/>
        <v>Valid</v>
      </c>
    </row>
    <row r="272" spans="1:23">
      <c r="A272" t="s">
        <v>302</v>
      </c>
      <c r="B272" s="2">
        <v>45701</v>
      </c>
      <c r="C272" t="s">
        <v>17</v>
      </c>
      <c r="D272" t="s">
        <v>28</v>
      </c>
      <c r="E272" t="s">
        <v>19</v>
      </c>
      <c r="F272" t="s">
        <v>39</v>
      </c>
      <c r="G272" t="s">
        <v>26</v>
      </c>
      <c r="H272">
        <v>1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P272">
        <v>29.3</v>
      </c>
      <c r="R272" t="str">
        <f t="shared" si="24"/>
        <v>Unique</v>
      </c>
      <c r="S272" t="str">
        <f t="shared" si="25"/>
        <v>Valid</v>
      </c>
      <c r="T272" t="str">
        <f t="shared" si="26"/>
        <v>Valid</v>
      </c>
      <c r="U272" t="str">
        <f t="shared" si="27"/>
        <v>Valid</v>
      </c>
      <c r="V272" t="str">
        <f t="shared" si="28"/>
        <v>Valid</v>
      </c>
      <c r="W272" t="str">
        <f t="shared" si="29"/>
        <v>Valid</v>
      </c>
    </row>
    <row r="273" spans="1:23">
      <c r="A273" t="s">
        <v>303</v>
      </c>
      <c r="B273" s="2">
        <v>45733</v>
      </c>
      <c r="C273" t="s">
        <v>17</v>
      </c>
      <c r="D273" t="s">
        <v>23</v>
      </c>
      <c r="E273" t="s">
        <v>19</v>
      </c>
      <c r="F273" t="s">
        <v>25</v>
      </c>
      <c r="G273" t="s">
        <v>26</v>
      </c>
      <c r="H273">
        <v>1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P273">
        <v>67.900000000000006</v>
      </c>
      <c r="R273" t="str">
        <f t="shared" si="24"/>
        <v>Unique</v>
      </c>
      <c r="S273" t="str">
        <f t="shared" si="25"/>
        <v>Valid</v>
      </c>
      <c r="T273" t="str">
        <f t="shared" si="26"/>
        <v>Valid</v>
      </c>
      <c r="U273" t="str">
        <f t="shared" si="27"/>
        <v>Valid</v>
      </c>
      <c r="V273" t="str">
        <f t="shared" si="28"/>
        <v>Valid</v>
      </c>
      <c r="W273" t="str">
        <f t="shared" si="29"/>
        <v>Valid</v>
      </c>
    </row>
    <row r="274" spans="1:23">
      <c r="A274" t="s">
        <v>304</v>
      </c>
      <c r="B274" s="2">
        <v>45787</v>
      </c>
      <c r="C274" t="s">
        <v>17</v>
      </c>
      <c r="D274" t="s">
        <v>18</v>
      </c>
      <c r="E274" t="s">
        <v>24</v>
      </c>
      <c r="F274" t="s">
        <v>39</v>
      </c>
      <c r="G274" t="s">
        <v>26</v>
      </c>
      <c r="H274">
        <v>1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P274">
        <v>67.599999999999994</v>
      </c>
      <c r="R274" t="str">
        <f t="shared" si="24"/>
        <v>Unique</v>
      </c>
      <c r="S274" t="str">
        <f t="shared" si="25"/>
        <v>Valid</v>
      </c>
      <c r="T274" t="str">
        <f t="shared" si="26"/>
        <v>Valid</v>
      </c>
      <c r="U274" t="str">
        <f t="shared" si="27"/>
        <v>Valid</v>
      </c>
      <c r="V274" t="str">
        <f t="shared" si="28"/>
        <v>Valid</v>
      </c>
      <c r="W274" t="str">
        <f t="shared" si="29"/>
        <v>Valid</v>
      </c>
    </row>
    <row r="275" spans="1:23">
      <c r="A275" t="s">
        <v>305</v>
      </c>
      <c r="B275" s="2">
        <v>45784</v>
      </c>
      <c r="C275" t="s">
        <v>17</v>
      </c>
      <c r="D275" t="s">
        <v>32</v>
      </c>
      <c r="E275" t="s">
        <v>24</v>
      </c>
      <c r="F275" t="s">
        <v>29</v>
      </c>
      <c r="G275" t="s">
        <v>21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P275">
        <v>67.400000000000006</v>
      </c>
      <c r="R275" t="str">
        <f t="shared" si="24"/>
        <v>Unique</v>
      </c>
      <c r="S275" t="str">
        <f t="shared" si="25"/>
        <v>Valid</v>
      </c>
      <c r="T275" t="str">
        <f t="shared" si="26"/>
        <v>Valid</v>
      </c>
      <c r="U275" t="str">
        <f t="shared" si="27"/>
        <v>Valid</v>
      </c>
      <c r="V275" t="str">
        <f t="shared" si="28"/>
        <v>Valid</v>
      </c>
      <c r="W275" t="str">
        <f t="shared" si="29"/>
        <v>Valid</v>
      </c>
    </row>
    <row r="276" spans="1:23">
      <c r="A276" t="s">
        <v>306</v>
      </c>
      <c r="B276" s="2">
        <v>45714</v>
      </c>
      <c r="C276" t="s">
        <v>17</v>
      </c>
      <c r="D276" t="s">
        <v>23</v>
      </c>
      <c r="E276" t="s">
        <v>19</v>
      </c>
      <c r="F276" t="s">
        <v>29</v>
      </c>
      <c r="G276" t="s">
        <v>30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2</v>
      </c>
      <c r="N276">
        <v>0</v>
      </c>
      <c r="P276">
        <v>53</v>
      </c>
      <c r="R276" t="str">
        <f t="shared" si="24"/>
        <v>Unique</v>
      </c>
      <c r="S276" t="str">
        <f t="shared" si="25"/>
        <v>Valid</v>
      </c>
      <c r="T276" t="str">
        <f t="shared" si="26"/>
        <v>Valid</v>
      </c>
      <c r="U276" t="str">
        <f t="shared" si="27"/>
        <v>Valid</v>
      </c>
      <c r="V276" t="str">
        <f t="shared" si="28"/>
        <v>Valid</v>
      </c>
      <c r="W276" t="str">
        <f t="shared" si="29"/>
        <v>Valid</v>
      </c>
    </row>
    <row r="277" spans="1:23">
      <c r="A277" t="s">
        <v>307</v>
      </c>
      <c r="B277" s="2">
        <v>45788</v>
      </c>
      <c r="C277" t="s">
        <v>17</v>
      </c>
      <c r="D277" t="s">
        <v>18</v>
      </c>
      <c r="E277" t="s">
        <v>24</v>
      </c>
      <c r="F277" t="s">
        <v>25</v>
      </c>
      <c r="G277" t="s">
        <v>21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P277">
        <v>65.5</v>
      </c>
      <c r="R277" t="str">
        <f t="shared" si="24"/>
        <v>Unique</v>
      </c>
      <c r="S277" t="str">
        <f t="shared" si="25"/>
        <v>Valid</v>
      </c>
      <c r="T277" t="str">
        <f t="shared" si="26"/>
        <v>Valid</v>
      </c>
      <c r="U277" t="str">
        <f t="shared" si="27"/>
        <v>Valid</v>
      </c>
      <c r="V277" t="str">
        <f t="shared" si="28"/>
        <v>Valid</v>
      </c>
      <c r="W277" t="str">
        <f t="shared" si="29"/>
        <v>Valid</v>
      </c>
    </row>
    <row r="278" spans="1:23">
      <c r="A278" t="s">
        <v>308</v>
      </c>
      <c r="B278" s="2">
        <v>45736</v>
      </c>
      <c r="C278" t="s">
        <v>17</v>
      </c>
      <c r="D278" t="s">
        <v>32</v>
      </c>
      <c r="E278" t="s">
        <v>24</v>
      </c>
      <c r="F278" t="s">
        <v>25</v>
      </c>
      <c r="G278" t="s">
        <v>21</v>
      </c>
      <c r="H278">
        <v>1</v>
      </c>
      <c r="I278">
        <v>1</v>
      </c>
      <c r="J278">
        <v>0</v>
      </c>
      <c r="K278">
        <v>0</v>
      </c>
      <c r="L278">
        <v>0</v>
      </c>
      <c r="M278">
        <v>0</v>
      </c>
      <c r="N278">
        <v>0</v>
      </c>
      <c r="P278">
        <v>49.6</v>
      </c>
      <c r="R278" t="str">
        <f t="shared" si="24"/>
        <v>Unique</v>
      </c>
      <c r="S278" t="str">
        <f t="shared" si="25"/>
        <v>Valid</v>
      </c>
      <c r="T278" t="str">
        <f t="shared" si="26"/>
        <v>Valid</v>
      </c>
      <c r="U278" t="str">
        <f t="shared" si="27"/>
        <v>Valid</v>
      </c>
      <c r="V278" t="str">
        <f t="shared" si="28"/>
        <v>Valid</v>
      </c>
      <c r="W278" t="str">
        <f t="shared" si="29"/>
        <v>Valid</v>
      </c>
    </row>
    <row r="279" spans="1:23">
      <c r="A279" t="s">
        <v>309</v>
      </c>
      <c r="B279" s="2">
        <v>45676</v>
      </c>
      <c r="C279" t="s">
        <v>17</v>
      </c>
      <c r="D279" t="s">
        <v>18</v>
      </c>
      <c r="E279" t="s">
        <v>24</v>
      </c>
      <c r="F279" t="s">
        <v>20</v>
      </c>
      <c r="G279" t="s">
        <v>26</v>
      </c>
      <c r="H279">
        <v>1</v>
      </c>
      <c r="I279">
        <v>1</v>
      </c>
      <c r="J279">
        <v>0</v>
      </c>
      <c r="K279">
        <v>0</v>
      </c>
      <c r="L279">
        <v>0</v>
      </c>
      <c r="M279">
        <v>0</v>
      </c>
      <c r="N279">
        <v>0</v>
      </c>
      <c r="P279">
        <v>74.5</v>
      </c>
      <c r="R279" t="str">
        <f t="shared" si="24"/>
        <v>Unique</v>
      </c>
      <c r="S279" t="str">
        <f t="shared" si="25"/>
        <v>Valid</v>
      </c>
      <c r="T279" t="str">
        <f t="shared" si="26"/>
        <v>Valid</v>
      </c>
      <c r="U279" t="str">
        <f t="shared" si="27"/>
        <v>Valid</v>
      </c>
      <c r="V279" t="str">
        <f t="shared" si="28"/>
        <v>Valid</v>
      </c>
      <c r="W279" t="str">
        <f t="shared" si="29"/>
        <v>Valid</v>
      </c>
    </row>
    <row r="280" spans="1:23">
      <c r="A280" t="s">
        <v>310</v>
      </c>
      <c r="B280" s="2">
        <v>45724</v>
      </c>
      <c r="C280" t="s">
        <v>17</v>
      </c>
      <c r="D280" t="s">
        <v>18</v>
      </c>
      <c r="E280" t="s">
        <v>34</v>
      </c>
      <c r="F280" t="s">
        <v>29</v>
      </c>
      <c r="G280" t="s">
        <v>30</v>
      </c>
      <c r="H280">
        <v>1</v>
      </c>
      <c r="I280">
        <v>0</v>
      </c>
      <c r="J280">
        <v>0</v>
      </c>
      <c r="K280">
        <v>0</v>
      </c>
      <c r="L280">
        <v>0</v>
      </c>
      <c r="M280">
        <v>1</v>
      </c>
      <c r="N280">
        <v>0</v>
      </c>
      <c r="P280">
        <v>46.9</v>
      </c>
      <c r="R280" t="str">
        <f t="shared" si="24"/>
        <v>Unique</v>
      </c>
      <c r="S280" t="str">
        <f t="shared" si="25"/>
        <v>Valid</v>
      </c>
      <c r="T280" t="str">
        <f t="shared" si="26"/>
        <v>Valid</v>
      </c>
      <c r="U280" t="str">
        <f t="shared" si="27"/>
        <v>Valid</v>
      </c>
      <c r="V280" t="str">
        <f t="shared" si="28"/>
        <v>Valid</v>
      </c>
      <c r="W280" t="str">
        <f t="shared" si="29"/>
        <v>Valid</v>
      </c>
    </row>
    <row r="281" spans="1:23">
      <c r="A281" t="s">
        <v>311</v>
      </c>
      <c r="B281" s="2">
        <v>45772</v>
      </c>
      <c r="C281" t="s">
        <v>17</v>
      </c>
      <c r="D281" t="s">
        <v>18</v>
      </c>
      <c r="E281" t="s">
        <v>24</v>
      </c>
      <c r="F281" t="s">
        <v>25</v>
      </c>
      <c r="G281" t="s">
        <v>26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P281">
        <v>87.1</v>
      </c>
      <c r="R281" t="str">
        <f t="shared" si="24"/>
        <v>Unique</v>
      </c>
      <c r="S281" t="str">
        <f t="shared" si="25"/>
        <v>Valid</v>
      </c>
      <c r="T281" t="str">
        <f t="shared" si="26"/>
        <v>Valid</v>
      </c>
      <c r="U281" t="str">
        <f t="shared" si="27"/>
        <v>Valid</v>
      </c>
      <c r="V281" t="str">
        <f t="shared" si="28"/>
        <v>Valid</v>
      </c>
      <c r="W281" t="str">
        <f t="shared" si="29"/>
        <v>Valid</v>
      </c>
    </row>
    <row r="282" spans="1:23">
      <c r="A282" t="s">
        <v>312</v>
      </c>
      <c r="B282" s="2">
        <v>45751</v>
      </c>
      <c r="C282" t="s">
        <v>17</v>
      </c>
      <c r="D282" t="s">
        <v>18</v>
      </c>
      <c r="E282" t="s">
        <v>19</v>
      </c>
      <c r="F282" t="s">
        <v>25</v>
      </c>
      <c r="G282" t="s">
        <v>26</v>
      </c>
      <c r="H282">
        <v>1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P282">
        <v>56</v>
      </c>
      <c r="R282" t="str">
        <f t="shared" si="24"/>
        <v>Unique</v>
      </c>
      <c r="S282" t="str">
        <f t="shared" si="25"/>
        <v>Valid</v>
      </c>
      <c r="T282" t="str">
        <f t="shared" si="26"/>
        <v>Valid</v>
      </c>
      <c r="U282" t="str">
        <f t="shared" si="27"/>
        <v>Valid</v>
      </c>
      <c r="V282" t="str">
        <f t="shared" si="28"/>
        <v>Valid</v>
      </c>
      <c r="W282" t="str">
        <f t="shared" si="29"/>
        <v>Valid</v>
      </c>
    </row>
    <row r="283" spans="1:23">
      <c r="A283" t="s">
        <v>313</v>
      </c>
      <c r="B283" s="2">
        <v>45778</v>
      </c>
      <c r="C283" t="s">
        <v>17</v>
      </c>
      <c r="D283" t="s">
        <v>28</v>
      </c>
      <c r="E283" t="s">
        <v>24</v>
      </c>
      <c r="F283" t="s">
        <v>29</v>
      </c>
      <c r="G283" t="s">
        <v>30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1</v>
      </c>
      <c r="N283">
        <v>0</v>
      </c>
      <c r="P283">
        <v>61.7</v>
      </c>
      <c r="R283" t="str">
        <f t="shared" si="24"/>
        <v>Unique</v>
      </c>
      <c r="S283" t="str">
        <f t="shared" si="25"/>
        <v>Valid</v>
      </c>
      <c r="T283" t="str">
        <f t="shared" si="26"/>
        <v>Valid</v>
      </c>
      <c r="U283" t="str">
        <f t="shared" si="27"/>
        <v>Valid</v>
      </c>
      <c r="V283" t="str">
        <f t="shared" si="28"/>
        <v>Valid</v>
      </c>
      <c r="W283" t="str">
        <f t="shared" si="29"/>
        <v>Valid</v>
      </c>
    </row>
    <row r="284" spans="1:23">
      <c r="A284" t="s">
        <v>314</v>
      </c>
      <c r="B284" s="2">
        <v>45678</v>
      </c>
      <c r="C284" t="s">
        <v>17</v>
      </c>
      <c r="D284" t="s">
        <v>32</v>
      </c>
      <c r="E284" t="s">
        <v>24</v>
      </c>
      <c r="F284" t="s">
        <v>41</v>
      </c>
      <c r="G284" t="s">
        <v>26</v>
      </c>
      <c r="H284">
        <v>1</v>
      </c>
      <c r="I284">
        <v>0</v>
      </c>
      <c r="J284">
        <v>0</v>
      </c>
      <c r="K284">
        <v>0</v>
      </c>
      <c r="L284">
        <v>0</v>
      </c>
      <c r="M284">
        <v>1</v>
      </c>
      <c r="N284">
        <v>0</v>
      </c>
      <c r="P284">
        <v>70.5</v>
      </c>
      <c r="R284" t="str">
        <f t="shared" si="24"/>
        <v>Unique</v>
      </c>
      <c r="S284" t="str">
        <f t="shared" si="25"/>
        <v>Valid</v>
      </c>
      <c r="T284" t="str">
        <f t="shared" si="26"/>
        <v>Valid</v>
      </c>
      <c r="U284" t="str">
        <f t="shared" si="27"/>
        <v>Valid</v>
      </c>
      <c r="V284" t="str">
        <f t="shared" si="28"/>
        <v>Valid</v>
      </c>
      <c r="W284" t="str">
        <f t="shared" si="29"/>
        <v>Valid</v>
      </c>
    </row>
    <row r="285" spans="1:23">
      <c r="A285" t="s">
        <v>315</v>
      </c>
      <c r="B285" s="2">
        <v>45698</v>
      </c>
      <c r="C285" t="s">
        <v>17</v>
      </c>
      <c r="D285" t="s">
        <v>18</v>
      </c>
      <c r="E285" t="s">
        <v>19</v>
      </c>
      <c r="F285" t="s">
        <v>39</v>
      </c>
      <c r="G285" t="s">
        <v>21</v>
      </c>
      <c r="H285">
        <v>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P285">
        <v>33.4</v>
      </c>
      <c r="R285" t="str">
        <f t="shared" si="24"/>
        <v>Unique</v>
      </c>
      <c r="S285" t="str">
        <f t="shared" si="25"/>
        <v>Valid</v>
      </c>
      <c r="T285" t="str">
        <f t="shared" si="26"/>
        <v>Valid</v>
      </c>
      <c r="U285" t="str">
        <f t="shared" si="27"/>
        <v>Valid</v>
      </c>
      <c r="V285" t="str">
        <f t="shared" si="28"/>
        <v>Valid</v>
      </c>
      <c r="W285" t="str">
        <f t="shared" si="29"/>
        <v>Valid</v>
      </c>
    </row>
    <row r="286" spans="1:23">
      <c r="A286" t="s">
        <v>316</v>
      </c>
      <c r="B286" s="2">
        <v>45783</v>
      </c>
      <c r="C286" t="s">
        <v>17</v>
      </c>
      <c r="D286" t="s">
        <v>32</v>
      </c>
      <c r="E286" t="s">
        <v>19</v>
      </c>
      <c r="F286" t="s">
        <v>25</v>
      </c>
      <c r="G286" t="s">
        <v>26</v>
      </c>
      <c r="H286">
        <v>1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P286">
        <v>57.5</v>
      </c>
      <c r="R286" t="str">
        <f t="shared" si="24"/>
        <v>Unique</v>
      </c>
      <c r="S286" t="str">
        <f t="shared" si="25"/>
        <v>Valid</v>
      </c>
      <c r="T286" t="str">
        <f t="shared" si="26"/>
        <v>Valid</v>
      </c>
      <c r="U286" t="str">
        <f t="shared" si="27"/>
        <v>Valid</v>
      </c>
      <c r="V286" t="str">
        <f t="shared" si="28"/>
        <v>Valid</v>
      </c>
      <c r="W286" t="str">
        <f t="shared" si="29"/>
        <v>Valid</v>
      </c>
    </row>
    <row r="287" spans="1:23">
      <c r="A287" t="s">
        <v>317</v>
      </c>
      <c r="B287" s="2">
        <v>45696</v>
      </c>
      <c r="C287" t="s">
        <v>17</v>
      </c>
      <c r="D287" t="s">
        <v>18</v>
      </c>
      <c r="E287" t="s">
        <v>19</v>
      </c>
      <c r="F287" t="s">
        <v>29</v>
      </c>
      <c r="G287" t="s">
        <v>21</v>
      </c>
      <c r="H287">
        <v>1</v>
      </c>
      <c r="I287">
        <v>1</v>
      </c>
      <c r="J287">
        <v>0</v>
      </c>
      <c r="K287">
        <v>0</v>
      </c>
      <c r="L287">
        <v>0</v>
      </c>
      <c r="M287">
        <v>0</v>
      </c>
      <c r="N287">
        <v>0</v>
      </c>
      <c r="P287">
        <v>85.7</v>
      </c>
      <c r="R287" t="str">
        <f t="shared" si="24"/>
        <v>Unique</v>
      </c>
      <c r="S287" t="str">
        <f t="shared" si="25"/>
        <v>Valid</v>
      </c>
      <c r="T287" t="str">
        <f t="shared" si="26"/>
        <v>Valid</v>
      </c>
      <c r="U287" t="str">
        <f t="shared" si="27"/>
        <v>Valid</v>
      </c>
      <c r="V287" t="str">
        <f t="shared" si="28"/>
        <v>Valid</v>
      </c>
      <c r="W287" t="str">
        <f t="shared" si="29"/>
        <v>Valid</v>
      </c>
    </row>
    <row r="288" spans="1:23">
      <c r="A288" t="s">
        <v>318</v>
      </c>
      <c r="B288" s="2">
        <v>45808</v>
      </c>
      <c r="C288" t="s">
        <v>17</v>
      </c>
      <c r="D288" t="s">
        <v>28</v>
      </c>
      <c r="E288" t="s">
        <v>24</v>
      </c>
      <c r="F288" t="s">
        <v>41</v>
      </c>
      <c r="G288" t="s">
        <v>26</v>
      </c>
      <c r="H288">
        <v>1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P288">
        <v>41.9</v>
      </c>
      <c r="R288" t="str">
        <f t="shared" si="24"/>
        <v>Unique</v>
      </c>
      <c r="S288" t="str">
        <f t="shared" si="25"/>
        <v>Valid</v>
      </c>
      <c r="T288" t="str">
        <f t="shared" si="26"/>
        <v>Valid</v>
      </c>
      <c r="U288" t="str">
        <f t="shared" si="27"/>
        <v>Valid</v>
      </c>
      <c r="V288" t="str">
        <f t="shared" si="28"/>
        <v>Valid</v>
      </c>
      <c r="W288" t="str">
        <f t="shared" si="29"/>
        <v>Valid</v>
      </c>
    </row>
    <row r="289" spans="1:23">
      <c r="A289" t="s">
        <v>319</v>
      </c>
      <c r="B289" s="2">
        <v>45695</v>
      </c>
      <c r="C289" t="s">
        <v>17</v>
      </c>
      <c r="D289" t="s">
        <v>23</v>
      </c>
      <c r="E289" t="s">
        <v>24</v>
      </c>
      <c r="F289" t="s">
        <v>20</v>
      </c>
      <c r="G289" t="s">
        <v>21</v>
      </c>
      <c r="H289">
        <v>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P289">
        <v>70.2</v>
      </c>
      <c r="R289" t="str">
        <f t="shared" si="24"/>
        <v>Unique</v>
      </c>
      <c r="S289" t="str">
        <f t="shared" si="25"/>
        <v>Valid</v>
      </c>
      <c r="T289" t="str">
        <f t="shared" si="26"/>
        <v>Valid</v>
      </c>
      <c r="U289" t="str">
        <f t="shared" si="27"/>
        <v>Valid</v>
      </c>
      <c r="V289" t="str">
        <f t="shared" si="28"/>
        <v>Valid</v>
      </c>
      <c r="W289" t="str">
        <f t="shared" si="29"/>
        <v>Valid</v>
      </c>
    </row>
    <row r="290" spans="1:23">
      <c r="A290" t="s">
        <v>320</v>
      </c>
      <c r="B290" s="2">
        <v>45698</v>
      </c>
      <c r="C290" t="s">
        <v>17</v>
      </c>
      <c r="D290" t="s">
        <v>18</v>
      </c>
      <c r="E290" t="s">
        <v>24</v>
      </c>
      <c r="F290" t="s">
        <v>41</v>
      </c>
      <c r="G290" t="s">
        <v>26</v>
      </c>
      <c r="H290">
        <v>1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P290">
        <v>42.6</v>
      </c>
      <c r="R290" t="str">
        <f t="shared" si="24"/>
        <v>Unique</v>
      </c>
      <c r="S290" t="str">
        <f t="shared" si="25"/>
        <v>Valid</v>
      </c>
      <c r="T290" t="str">
        <f t="shared" si="26"/>
        <v>Valid</v>
      </c>
      <c r="U290" t="str">
        <f t="shared" si="27"/>
        <v>Valid</v>
      </c>
      <c r="V290" t="str">
        <f t="shared" si="28"/>
        <v>Valid</v>
      </c>
      <c r="W290" t="str">
        <f t="shared" si="29"/>
        <v>Valid</v>
      </c>
    </row>
    <row r="291" spans="1:23">
      <c r="A291" t="s">
        <v>321</v>
      </c>
      <c r="B291" s="2">
        <v>45688</v>
      </c>
      <c r="C291" t="s">
        <v>17</v>
      </c>
      <c r="D291" t="s">
        <v>23</v>
      </c>
      <c r="E291" t="s">
        <v>24</v>
      </c>
      <c r="F291" t="s">
        <v>41</v>
      </c>
      <c r="G291" t="s">
        <v>21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2</v>
      </c>
      <c r="N291">
        <v>0</v>
      </c>
      <c r="P291">
        <v>30.4</v>
      </c>
      <c r="R291" t="str">
        <f t="shared" si="24"/>
        <v>Unique</v>
      </c>
      <c r="S291" t="str">
        <f t="shared" si="25"/>
        <v>Valid</v>
      </c>
      <c r="T291" t="str">
        <f t="shared" si="26"/>
        <v>Valid</v>
      </c>
      <c r="U291" t="str">
        <f t="shared" si="27"/>
        <v>Valid</v>
      </c>
      <c r="V291" t="str">
        <f t="shared" si="28"/>
        <v>Valid</v>
      </c>
      <c r="W291" t="str">
        <f t="shared" si="29"/>
        <v>Valid</v>
      </c>
    </row>
    <row r="292" spans="1:23">
      <c r="A292" t="s">
        <v>322</v>
      </c>
      <c r="B292" s="2">
        <v>45732</v>
      </c>
      <c r="C292" t="s">
        <v>17</v>
      </c>
      <c r="D292" t="s">
        <v>28</v>
      </c>
      <c r="E292" t="s">
        <v>24</v>
      </c>
      <c r="F292" t="s">
        <v>29</v>
      </c>
      <c r="G292" t="s">
        <v>21</v>
      </c>
      <c r="H292">
        <v>1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P292">
        <v>63.7</v>
      </c>
      <c r="R292" t="str">
        <f t="shared" si="24"/>
        <v>Unique</v>
      </c>
      <c r="S292" t="str">
        <f t="shared" si="25"/>
        <v>Valid</v>
      </c>
      <c r="T292" t="str">
        <f t="shared" si="26"/>
        <v>Valid</v>
      </c>
      <c r="U292" t="str">
        <f t="shared" si="27"/>
        <v>Valid</v>
      </c>
      <c r="V292" t="str">
        <f t="shared" si="28"/>
        <v>Valid</v>
      </c>
      <c r="W292" t="str">
        <f t="shared" si="29"/>
        <v>Valid</v>
      </c>
    </row>
    <row r="293" spans="1:23">
      <c r="A293" t="s">
        <v>323</v>
      </c>
      <c r="B293" s="2">
        <v>45771</v>
      </c>
      <c r="C293" t="s">
        <v>17</v>
      </c>
      <c r="D293" t="s">
        <v>32</v>
      </c>
      <c r="E293" t="s">
        <v>24</v>
      </c>
      <c r="F293" t="s">
        <v>41</v>
      </c>
      <c r="G293" t="s">
        <v>21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P293">
        <v>42.7</v>
      </c>
      <c r="R293" t="str">
        <f t="shared" si="24"/>
        <v>Unique</v>
      </c>
      <c r="S293" t="str">
        <f t="shared" si="25"/>
        <v>Valid</v>
      </c>
      <c r="T293" t="str">
        <f t="shared" si="26"/>
        <v>Valid</v>
      </c>
      <c r="U293" t="str">
        <f t="shared" si="27"/>
        <v>Valid</v>
      </c>
      <c r="V293" t="str">
        <f t="shared" si="28"/>
        <v>Valid</v>
      </c>
      <c r="W293" t="str">
        <f t="shared" si="29"/>
        <v>Valid</v>
      </c>
    </row>
    <row r="294" spans="1:23">
      <c r="A294" t="s">
        <v>324</v>
      </c>
      <c r="B294" s="2">
        <v>45685</v>
      </c>
      <c r="C294" t="s">
        <v>17</v>
      </c>
      <c r="D294" t="s">
        <v>18</v>
      </c>
      <c r="E294" t="s">
        <v>24</v>
      </c>
      <c r="F294" t="s">
        <v>25</v>
      </c>
      <c r="G294" t="s">
        <v>26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P294">
        <v>74.3</v>
      </c>
      <c r="R294" t="str">
        <f t="shared" si="24"/>
        <v>Unique</v>
      </c>
      <c r="S294" t="str">
        <f t="shared" si="25"/>
        <v>Valid</v>
      </c>
      <c r="T294" t="str">
        <f t="shared" si="26"/>
        <v>Valid</v>
      </c>
      <c r="U294" t="str">
        <f t="shared" si="27"/>
        <v>Valid</v>
      </c>
      <c r="V294" t="str">
        <f t="shared" si="28"/>
        <v>Valid</v>
      </c>
      <c r="W294" t="str">
        <f t="shared" si="29"/>
        <v>Valid</v>
      </c>
    </row>
    <row r="295" spans="1:23">
      <c r="A295" t="s">
        <v>325</v>
      </c>
      <c r="B295" s="2">
        <v>45704</v>
      </c>
      <c r="C295" t="s">
        <v>17</v>
      </c>
      <c r="D295" t="s">
        <v>23</v>
      </c>
      <c r="E295" t="s">
        <v>19</v>
      </c>
      <c r="F295" t="s">
        <v>20</v>
      </c>
      <c r="G295" t="s">
        <v>26</v>
      </c>
      <c r="H295">
        <v>1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P295">
        <v>40.6</v>
      </c>
      <c r="R295" t="str">
        <f t="shared" si="24"/>
        <v>Unique</v>
      </c>
      <c r="S295" t="str">
        <f t="shared" si="25"/>
        <v>Valid</v>
      </c>
      <c r="T295" t="str">
        <f t="shared" si="26"/>
        <v>Valid</v>
      </c>
      <c r="U295" t="str">
        <f t="shared" si="27"/>
        <v>Valid</v>
      </c>
      <c r="V295" t="str">
        <f t="shared" si="28"/>
        <v>Valid</v>
      </c>
      <c r="W295" t="str">
        <f t="shared" si="29"/>
        <v>Valid</v>
      </c>
    </row>
    <row r="296" spans="1:23">
      <c r="A296" t="s">
        <v>326</v>
      </c>
      <c r="B296" s="2">
        <v>45739</v>
      </c>
      <c r="C296" t="s">
        <v>17</v>
      </c>
      <c r="D296" t="s">
        <v>28</v>
      </c>
      <c r="E296" t="s">
        <v>24</v>
      </c>
      <c r="F296" t="s">
        <v>25</v>
      </c>
      <c r="G296" t="s">
        <v>30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P296">
        <v>67</v>
      </c>
      <c r="R296" t="str">
        <f t="shared" si="24"/>
        <v>Unique</v>
      </c>
      <c r="S296" t="str">
        <f t="shared" si="25"/>
        <v>Valid</v>
      </c>
      <c r="T296" t="str">
        <f t="shared" si="26"/>
        <v>Valid</v>
      </c>
      <c r="U296" t="str">
        <f t="shared" si="27"/>
        <v>Valid</v>
      </c>
      <c r="V296" t="str">
        <f t="shared" si="28"/>
        <v>Valid</v>
      </c>
      <c r="W296" t="str">
        <f t="shared" si="29"/>
        <v>Valid</v>
      </c>
    </row>
    <row r="297" spans="1:23">
      <c r="A297" t="s">
        <v>327</v>
      </c>
      <c r="B297" s="2">
        <v>45808</v>
      </c>
      <c r="C297" t="s">
        <v>17</v>
      </c>
      <c r="D297" t="s">
        <v>28</v>
      </c>
      <c r="E297" t="s">
        <v>24</v>
      </c>
      <c r="F297" t="s">
        <v>29</v>
      </c>
      <c r="G297" t="s">
        <v>30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P297">
        <v>51</v>
      </c>
      <c r="R297" t="str">
        <f t="shared" si="24"/>
        <v>Unique</v>
      </c>
      <c r="S297" t="str">
        <f t="shared" si="25"/>
        <v>Valid</v>
      </c>
      <c r="T297" t="str">
        <f t="shared" si="26"/>
        <v>Valid</v>
      </c>
      <c r="U297" t="str">
        <f t="shared" si="27"/>
        <v>Valid</v>
      </c>
      <c r="V297" t="str">
        <f t="shared" si="28"/>
        <v>Valid</v>
      </c>
      <c r="W297" t="str">
        <f t="shared" si="29"/>
        <v>Valid</v>
      </c>
    </row>
    <row r="298" spans="1:23">
      <c r="A298" t="s">
        <v>328</v>
      </c>
      <c r="B298" s="2">
        <v>45760</v>
      </c>
      <c r="C298" t="s">
        <v>17</v>
      </c>
      <c r="D298" t="s">
        <v>23</v>
      </c>
      <c r="E298" t="s">
        <v>24</v>
      </c>
      <c r="F298" t="s">
        <v>41</v>
      </c>
      <c r="G298" t="s">
        <v>21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1</v>
      </c>
      <c r="N298">
        <v>0</v>
      </c>
      <c r="P298">
        <v>54.8</v>
      </c>
      <c r="R298" t="str">
        <f t="shared" si="24"/>
        <v>Unique</v>
      </c>
      <c r="S298" t="str">
        <f t="shared" si="25"/>
        <v>Valid</v>
      </c>
      <c r="T298" t="str">
        <f t="shared" si="26"/>
        <v>Valid</v>
      </c>
      <c r="U298" t="str">
        <f t="shared" si="27"/>
        <v>Valid</v>
      </c>
      <c r="V298" t="str">
        <f t="shared" si="28"/>
        <v>Valid</v>
      </c>
      <c r="W298" t="str">
        <f t="shared" si="29"/>
        <v>Valid</v>
      </c>
    </row>
    <row r="299" spans="1:23">
      <c r="A299" t="s">
        <v>329</v>
      </c>
      <c r="B299" s="2">
        <v>45791</v>
      </c>
      <c r="C299" t="s">
        <v>17</v>
      </c>
      <c r="D299" t="s">
        <v>18</v>
      </c>
      <c r="E299" t="s">
        <v>34</v>
      </c>
      <c r="F299" t="s">
        <v>20</v>
      </c>
      <c r="G299" t="s">
        <v>21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P299">
        <v>40.799999999999997</v>
      </c>
      <c r="R299" t="str">
        <f t="shared" si="24"/>
        <v>Unique</v>
      </c>
      <c r="S299" t="str">
        <f t="shared" si="25"/>
        <v>Valid</v>
      </c>
      <c r="T299" t="str">
        <f t="shared" si="26"/>
        <v>Valid</v>
      </c>
      <c r="U299" t="str">
        <f t="shared" si="27"/>
        <v>Valid</v>
      </c>
      <c r="V299" t="str">
        <f t="shared" si="28"/>
        <v>Valid</v>
      </c>
      <c r="W299" t="str">
        <f t="shared" si="29"/>
        <v>Valid</v>
      </c>
    </row>
    <row r="300" spans="1:23">
      <c r="A300" t="s">
        <v>330</v>
      </c>
      <c r="B300" s="2">
        <v>45707</v>
      </c>
      <c r="C300" t="s">
        <v>17</v>
      </c>
      <c r="D300" t="s">
        <v>28</v>
      </c>
      <c r="E300" t="s">
        <v>24</v>
      </c>
      <c r="F300" t="s">
        <v>29</v>
      </c>
      <c r="G300" t="s">
        <v>26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P300">
        <v>48.8</v>
      </c>
      <c r="R300" t="str">
        <f t="shared" si="24"/>
        <v>Unique</v>
      </c>
      <c r="S300" t="str">
        <f t="shared" si="25"/>
        <v>Valid</v>
      </c>
      <c r="T300" t="str">
        <f t="shared" si="26"/>
        <v>Valid</v>
      </c>
      <c r="U300" t="str">
        <f t="shared" si="27"/>
        <v>Valid</v>
      </c>
      <c r="V300" t="str">
        <f t="shared" si="28"/>
        <v>Valid</v>
      </c>
      <c r="W300" t="str">
        <f t="shared" si="29"/>
        <v>Valid</v>
      </c>
    </row>
    <row r="301" spans="1:23">
      <c r="A301" t="s">
        <v>331</v>
      </c>
      <c r="B301" s="2">
        <v>45681</v>
      </c>
      <c r="C301" t="s">
        <v>17</v>
      </c>
      <c r="D301" t="s">
        <v>32</v>
      </c>
      <c r="E301" t="s">
        <v>24</v>
      </c>
      <c r="F301" t="s">
        <v>1451</v>
      </c>
      <c r="G301" t="s">
        <v>21</v>
      </c>
      <c r="H301">
        <v>1</v>
      </c>
      <c r="I301">
        <v>1</v>
      </c>
      <c r="J301">
        <v>1</v>
      </c>
      <c r="K301">
        <v>1</v>
      </c>
      <c r="L301">
        <v>1198.69</v>
      </c>
      <c r="M301">
        <v>1</v>
      </c>
      <c r="N301">
        <v>0</v>
      </c>
      <c r="O301">
        <v>6</v>
      </c>
      <c r="P301">
        <v>88.9</v>
      </c>
      <c r="R301" t="str">
        <f t="shared" si="24"/>
        <v>Unique</v>
      </c>
      <c r="S301" t="str">
        <f t="shared" si="25"/>
        <v>Valid</v>
      </c>
      <c r="T301" t="str">
        <f t="shared" si="26"/>
        <v>Valid</v>
      </c>
      <c r="U301" t="str">
        <f t="shared" si="27"/>
        <v>Valid</v>
      </c>
      <c r="V301" t="str">
        <f t="shared" si="28"/>
        <v>Valid</v>
      </c>
      <c r="W301" t="str">
        <f t="shared" si="29"/>
        <v>Valid</v>
      </c>
    </row>
    <row r="302" spans="1:23">
      <c r="A302" t="s">
        <v>332</v>
      </c>
      <c r="B302" s="2">
        <v>45786</v>
      </c>
      <c r="C302" t="s">
        <v>17</v>
      </c>
      <c r="D302" t="s">
        <v>18</v>
      </c>
      <c r="E302" t="s">
        <v>24</v>
      </c>
      <c r="F302" t="s">
        <v>20</v>
      </c>
      <c r="G302" t="s">
        <v>21</v>
      </c>
      <c r="H302">
        <v>1</v>
      </c>
      <c r="I302">
        <v>1</v>
      </c>
      <c r="J302">
        <v>1</v>
      </c>
      <c r="K302">
        <v>0</v>
      </c>
      <c r="L302">
        <v>0</v>
      </c>
      <c r="M302">
        <v>1</v>
      </c>
      <c r="N302">
        <v>0</v>
      </c>
      <c r="P302">
        <v>60.5</v>
      </c>
      <c r="R302" t="str">
        <f t="shared" si="24"/>
        <v>Unique</v>
      </c>
      <c r="S302" t="str">
        <f t="shared" si="25"/>
        <v>Valid</v>
      </c>
      <c r="T302" t="str">
        <f t="shared" si="26"/>
        <v>Valid</v>
      </c>
      <c r="U302" t="str">
        <f t="shared" si="27"/>
        <v>Valid</v>
      </c>
      <c r="V302" t="str">
        <f t="shared" si="28"/>
        <v>Valid</v>
      </c>
      <c r="W302" t="str">
        <f t="shared" si="29"/>
        <v>Valid</v>
      </c>
    </row>
    <row r="303" spans="1:23">
      <c r="A303" t="s">
        <v>333</v>
      </c>
      <c r="B303" s="2">
        <v>45699</v>
      </c>
      <c r="C303" t="s">
        <v>17</v>
      </c>
      <c r="D303" t="s">
        <v>18</v>
      </c>
      <c r="E303" t="s">
        <v>24</v>
      </c>
      <c r="F303" t="s">
        <v>25</v>
      </c>
      <c r="G303" t="s">
        <v>21</v>
      </c>
      <c r="H303">
        <v>1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P303">
        <v>63.6</v>
      </c>
      <c r="R303" t="str">
        <f t="shared" si="24"/>
        <v>Unique</v>
      </c>
      <c r="S303" t="str">
        <f t="shared" si="25"/>
        <v>Valid</v>
      </c>
      <c r="T303" t="str">
        <f t="shared" si="26"/>
        <v>Valid</v>
      </c>
      <c r="U303" t="str">
        <f t="shared" si="27"/>
        <v>Valid</v>
      </c>
      <c r="V303" t="str">
        <f t="shared" si="28"/>
        <v>Valid</v>
      </c>
      <c r="W303" t="str">
        <f t="shared" si="29"/>
        <v>Valid</v>
      </c>
    </row>
    <row r="304" spans="1:23">
      <c r="A304" t="s">
        <v>334</v>
      </c>
      <c r="B304" s="2">
        <v>45714</v>
      </c>
      <c r="C304" t="s">
        <v>17</v>
      </c>
      <c r="D304" t="s">
        <v>18</v>
      </c>
      <c r="E304" t="s">
        <v>19</v>
      </c>
      <c r="F304" t="s">
        <v>25</v>
      </c>
      <c r="G304" t="s">
        <v>21</v>
      </c>
      <c r="H304">
        <v>1</v>
      </c>
      <c r="I304">
        <v>1</v>
      </c>
      <c r="J304">
        <v>1</v>
      </c>
      <c r="K304">
        <v>1</v>
      </c>
      <c r="L304">
        <v>6788.95</v>
      </c>
      <c r="M304">
        <v>0</v>
      </c>
      <c r="N304">
        <v>0</v>
      </c>
      <c r="O304">
        <v>17</v>
      </c>
      <c r="P304">
        <v>58.4</v>
      </c>
      <c r="R304" t="str">
        <f t="shared" si="24"/>
        <v>Unique</v>
      </c>
      <c r="S304" t="str">
        <f t="shared" si="25"/>
        <v>Valid</v>
      </c>
      <c r="T304" t="str">
        <f t="shared" si="26"/>
        <v>Valid</v>
      </c>
      <c r="U304" t="str">
        <f t="shared" si="27"/>
        <v>Valid</v>
      </c>
      <c r="V304" t="str">
        <f t="shared" si="28"/>
        <v>Valid</v>
      </c>
      <c r="W304" t="str">
        <f t="shared" si="29"/>
        <v>Valid</v>
      </c>
    </row>
    <row r="305" spans="1:23">
      <c r="A305" t="s">
        <v>335</v>
      </c>
      <c r="B305" s="2">
        <v>45700</v>
      </c>
      <c r="C305" t="s">
        <v>17</v>
      </c>
      <c r="D305" t="s">
        <v>32</v>
      </c>
      <c r="E305" t="s">
        <v>24</v>
      </c>
      <c r="F305" t="s">
        <v>41</v>
      </c>
      <c r="G305" t="s">
        <v>30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P305">
        <v>52.7</v>
      </c>
      <c r="R305" t="str">
        <f t="shared" si="24"/>
        <v>Unique</v>
      </c>
      <c r="S305" t="str">
        <f t="shared" si="25"/>
        <v>Valid</v>
      </c>
      <c r="T305" t="str">
        <f t="shared" si="26"/>
        <v>Valid</v>
      </c>
      <c r="U305" t="str">
        <f t="shared" si="27"/>
        <v>Valid</v>
      </c>
      <c r="V305" t="str">
        <f t="shared" si="28"/>
        <v>Valid</v>
      </c>
      <c r="W305" t="str">
        <f t="shared" si="29"/>
        <v>Valid</v>
      </c>
    </row>
    <row r="306" spans="1:23">
      <c r="A306" t="s">
        <v>336</v>
      </c>
      <c r="B306" s="2">
        <v>45662</v>
      </c>
      <c r="C306" t="s">
        <v>17</v>
      </c>
      <c r="D306" t="s">
        <v>32</v>
      </c>
      <c r="E306" t="s">
        <v>34</v>
      </c>
      <c r="F306" t="s">
        <v>41</v>
      </c>
      <c r="G306" t="s">
        <v>30</v>
      </c>
      <c r="H306">
        <v>1</v>
      </c>
      <c r="I306">
        <v>1</v>
      </c>
      <c r="J306">
        <v>1</v>
      </c>
      <c r="K306">
        <v>0</v>
      </c>
      <c r="L306">
        <v>0</v>
      </c>
      <c r="M306">
        <v>2</v>
      </c>
      <c r="N306">
        <v>0</v>
      </c>
      <c r="P306">
        <v>48.9</v>
      </c>
      <c r="R306" t="str">
        <f t="shared" si="24"/>
        <v>Unique</v>
      </c>
      <c r="S306" t="str">
        <f t="shared" si="25"/>
        <v>Valid</v>
      </c>
      <c r="T306" t="str">
        <f t="shared" si="26"/>
        <v>Valid</v>
      </c>
      <c r="U306" t="str">
        <f t="shared" si="27"/>
        <v>Valid</v>
      </c>
      <c r="V306" t="str">
        <f t="shared" si="28"/>
        <v>Valid</v>
      </c>
      <c r="W306" t="str">
        <f t="shared" si="29"/>
        <v>Valid</v>
      </c>
    </row>
    <row r="307" spans="1:23">
      <c r="A307" t="s">
        <v>337</v>
      </c>
      <c r="B307" s="2">
        <v>45796</v>
      </c>
      <c r="C307" t="s">
        <v>17</v>
      </c>
      <c r="D307" t="s">
        <v>23</v>
      </c>
      <c r="E307" t="s">
        <v>24</v>
      </c>
      <c r="F307" t="s">
        <v>25</v>
      </c>
      <c r="G307" t="s">
        <v>30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P307">
        <v>79.7</v>
      </c>
      <c r="R307" t="str">
        <f t="shared" si="24"/>
        <v>Unique</v>
      </c>
      <c r="S307" t="str">
        <f t="shared" si="25"/>
        <v>Valid</v>
      </c>
      <c r="T307" t="str">
        <f t="shared" si="26"/>
        <v>Valid</v>
      </c>
      <c r="U307" t="str">
        <f t="shared" si="27"/>
        <v>Valid</v>
      </c>
      <c r="V307" t="str">
        <f t="shared" si="28"/>
        <v>Valid</v>
      </c>
      <c r="W307" t="str">
        <f t="shared" si="29"/>
        <v>Valid</v>
      </c>
    </row>
    <row r="308" spans="1:23">
      <c r="A308" t="s">
        <v>338</v>
      </c>
      <c r="B308" s="2">
        <v>45690</v>
      </c>
      <c r="C308" t="s">
        <v>17</v>
      </c>
      <c r="D308" t="s">
        <v>18</v>
      </c>
      <c r="E308" t="s">
        <v>24</v>
      </c>
      <c r="F308" t="s">
        <v>41</v>
      </c>
      <c r="G308" t="s">
        <v>26</v>
      </c>
      <c r="H308">
        <v>1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P308">
        <v>44.9</v>
      </c>
      <c r="R308" t="str">
        <f t="shared" si="24"/>
        <v>Unique</v>
      </c>
      <c r="S308" t="str">
        <f t="shared" si="25"/>
        <v>Valid</v>
      </c>
      <c r="T308" t="str">
        <f t="shared" si="26"/>
        <v>Valid</v>
      </c>
      <c r="U308" t="str">
        <f t="shared" si="27"/>
        <v>Valid</v>
      </c>
      <c r="V308" t="str">
        <f t="shared" si="28"/>
        <v>Valid</v>
      </c>
      <c r="W308" t="str">
        <f t="shared" si="29"/>
        <v>Valid</v>
      </c>
    </row>
    <row r="309" spans="1:23">
      <c r="A309" t="s">
        <v>339</v>
      </c>
      <c r="B309" s="2">
        <v>45687</v>
      </c>
      <c r="C309" t="s">
        <v>17</v>
      </c>
      <c r="D309" t="s">
        <v>23</v>
      </c>
      <c r="E309" t="s">
        <v>34</v>
      </c>
      <c r="F309" t="s">
        <v>29</v>
      </c>
      <c r="G309" t="s">
        <v>26</v>
      </c>
      <c r="H309">
        <v>1</v>
      </c>
      <c r="I309">
        <v>1</v>
      </c>
      <c r="J309">
        <v>1</v>
      </c>
      <c r="K309">
        <v>1</v>
      </c>
      <c r="L309">
        <v>409.39</v>
      </c>
      <c r="M309">
        <v>0</v>
      </c>
      <c r="N309">
        <v>0</v>
      </c>
      <c r="O309">
        <v>10</v>
      </c>
      <c r="P309">
        <v>38.799999999999997</v>
      </c>
      <c r="R309" t="str">
        <f t="shared" si="24"/>
        <v>Unique</v>
      </c>
      <c r="S309" t="str">
        <f t="shared" si="25"/>
        <v>Valid</v>
      </c>
      <c r="T309" t="str">
        <f t="shared" si="26"/>
        <v>Valid</v>
      </c>
      <c r="U309" t="str">
        <f t="shared" si="27"/>
        <v>Valid</v>
      </c>
      <c r="V309" t="str">
        <f t="shared" si="28"/>
        <v>Valid</v>
      </c>
      <c r="W309" t="str">
        <f t="shared" si="29"/>
        <v>Valid</v>
      </c>
    </row>
    <row r="310" spans="1:23">
      <c r="A310" t="s">
        <v>340</v>
      </c>
      <c r="B310" s="2">
        <v>45778</v>
      </c>
      <c r="C310" t="s">
        <v>17</v>
      </c>
      <c r="D310" t="s">
        <v>32</v>
      </c>
      <c r="E310" t="s">
        <v>19</v>
      </c>
      <c r="F310" t="s">
        <v>20</v>
      </c>
      <c r="G310" t="s">
        <v>26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P310">
        <v>70</v>
      </c>
      <c r="R310" t="str">
        <f t="shared" si="24"/>
        <v>Unique</v>
      </c>
      <c r="S310" t="str">
        <f t="shared" si="25"/>
        <v>Valid</v>
      </c>
      <c r="T310" t="str">
        <f t="shared" si="26"/>
        <v>Valid</v>
      </c>
      <c r="U310" t="str">
        <f t="shared" si="27"/>
        <v>Valid</v>
      </c>
      <c r="V310" t="str">
        <f t="shared" si="28"/>
        <v>Valid</v>
      </c>
      <c r="W310" t="str">
        <f t="shared" si="29"/>
        <v>Valid</v>
      </c>
    </row>
    <row r="311" spans="1:23">
      <c r="A311" t="s">
        <v>341</v>
      </c>
      <c r="B311" s="2">
        <v>45793</v>
      </c>
      <c r="C311" t="s">
        <v>17</v>
      </c>
      <c r="D311" t="s">
        <v>32</v>
      </c>
      <c r="E311" t="s">
        <v>19</v>
      </c>
      <c r="F311" t="s">
        <v>39</v>
      </c>
      <c r="G311" t="s">
        <v>21</v>
      </c>
      <c r="H311">
        <v>1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P311">
        <v>77.7</v>
      </c>
      <c r="R311" t="str">
        <f t="shared" si="24"/>
        <v>Unique</v>
      </c>
      <c r="S311" t="str">
        <f t="shared" si="25"/>
        <v>Valid</v>
      </c>
      <c r="T311" t="str">
        <f t="shared" si="26"/>
        <v>Valid</v>
      </c>
      <c r="U311" t="str">
        <f t="shared" si="27"/>
        <v>Valid</v>
      </c>
      <c r="V311" t="str">
        <f t="shared" si="28"/>
        <v>Valid</v>
      </c>
      <c r="W311" t="str">
        <f t="shared" si="29"/>
        <v>Valid</v>
      </c>
    </row>
    <row r="312" spans="1:23">
      <c r="A312" t="s">
        <v>342</v>
      </c>
      <c r="B312" s="2">
        <v>45724</v>
      </c>
      <c r="C312" t="s">
        <v>17</v>
      </c>
      <c r="D312" t="s">
        <v>23</v>
      </c>
      <c r="E312" t="s">
        <v>24</v>
      </c>
      <c r="F312" t="s">
        <v>25</v>
      </c>
      <c r="G312" t="s">
        <v>26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P312">
        <v>71.2</v>
      </c>
      <c r="R312" t="str">
        <f t="shared" si="24"/>
        <v>Unique</v>
      </c>
      <c r="S312" t="str">
        <f t="shared" si="25"/>
        <v>Valid</v>
      </c>
      <c r="T312" t="str">
        <f t="shared" si="26"/>
        <v>Valid</v>
      </c>
      <c r="U312" t="str">
        <f t="shared" si="27"/>
        <v>Valid</v>
      </c>
      <c r="V312" t="str">
        <f t="shared" si="28"/>
        <v>Valid</v>
      </c>
      <c r="W312" t="str">
        <f t="shared" si="29"/>
        <v>Valid</v>
      </c>
    </row>
    <row r="313" spans="1:23">
      <c r="A313" t="s">
        <v>343</v>
      </c>
      <c r="B313" s="2">
        <v>45751</v>
      </c>
      <c r="C313" t="s">
        <v>17</v>
      </c>
      <c r="D313" t="s">
        <v>18</v>
      </c>
      <c r="E313" t="s">
        <v>24</v>
      </c>
      <c r="F313" t="s">
        <v>25</v>
      </c>
      <c r="G313" t="s">
        <v>21</v>
      </c>
      <c r="H313">
        <v>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P313">
        <v>43.8</v>
      </c>
      <c r="R313" t="str">
        <f t="shared" si="24"/>
        <v>Unique</v>
      </c>
      <c r="S313" t="str">
        <f t="shared" si="25"/>
        <v>Valid</v>
      </c>
      <c r="T313" t="str">
        <f t="shared" si="26"/>
        <v>Valid</v>
      </c>
      <c r="U313" t="str">
        <f t="shared" si="27"/>
        <v>Valid</v>
      </c>
      <c r="V313" t="str">
        <f t="shared" si="28"/>
        <v>Valid</v>
      </c>
      <c r="W313" t="str">
        <f t="shared" si="29"/>
        <v>Valid</v>
      </c>
    </row>
    <row r="314" spans="1:23">
      <c r="A314" t="s">
        <v>344</v>
      </c>
      <c r="B314" s="2">
        <v>45807</v>
      </c>
      <c r="C314" t="s">
        <v>17</v>
      </c>
      <c r="D314" t="s">
        <v>32</v>
      </c>
      <c r="E314" t="s">
        <v>34</v>
      </c>
      <c r="F314" t="s">
        <v>25</v>
      </c>
      <c r="G314" t="s">
        <v>26</v>
      </c>
      <c r="H314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P314">
        <v>50.9</v>
      </c>
      <c r="R314" t="str">
        <f t="shared" si="24"/>
        <v>Unique</v>
      </c>
      <c r="S314" t="str">
        <f t="shared" si="25"/>
        <v>Valid</v>
      </c>
      <c r="T314" t="str">
        <f t="shared" si="26"/>
        <v>Valid</v>
      </c>
      <c r="U314" t="str">
        <f t="shared" si="27"/>
        <v>Valid</v>
      </c>
      <c r="V314" t="str">
        <f t="shared" si="28"/>
        <v>Valid</v>
      </c>
      <c r="W314" t="str">
        <f t="shared" si="29"/>
        <v>Valid</v>
      </c>
    </row>
    <row r="315" spans="1:23">
      <c r="A315" t="s">
        <v>345</v>
      </c>
      <c r="B315" s="2">
        <v>45662</v>
      </c>
      <c r="C315" t="s">
        <v>17</v>
      </c>
      <c r="D315" t="s">
        <v>23</v>
      </c>
      <c r="E315" t="s">
        <v>24</v>
      </c>
      <c r="F315" t="s">
        <v>25</v>
      </c>
      <c r="G315" t="s">
        <v>30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P315">
        <v>58.5</v>
      </c>
      <c r="R315" t="str">
        <f t="shared" si="24"/>
        <v>Unique</v>
      </c>
      <c r="S315" t="str">
        <f t="shared" si="25"/>
        <v>Valid</v>
      </c>
      <c r="T315" t="str">
        <f t="shared" si="26"/>
        <v>Valid</v>
      </c>
      <c r="U315" t="str">
        <f t="shared" si="27"/>
        <v>Valid</v>
      </c>
      <c r="V315" t="str">
        <f t="shared" si="28"/>
        <v>Valid</v>
      </c>
      <c r="W315" t="str">
        <f t="shared" si="29"/>
        <v>Valid</v>
      </c>
    </row>
    <row r="316" spans="1:23">
      <c r="A316" t="s">
        <v>346</v>
      </c>
      <c r="B316" s="2">
        <v>45677</v>
      </c>
      <c r="C316" t="s">
        <v>17</v>
      </c>
      <c r="D316" t="s">
        <v>28</v>
      </c>
      <c r="E316" t="s">
        <v>24</v>
      </c>
      <c r="F316" t="s">
        <v>25</v>
      </c>
      <c r="G316" t="s">
        <v>26</v>
      </c>
      <c r="H316">
        <v>1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P316">
        <v>53.6</v>
      </c>
      <c r="R316" t="str">
        <f t="shared" si="24"/>
        <v>Unique</v>
      </c>
      <c r="S316" t="str">
        <f t="shared" si="25"/>
        <v>Valid</v>
      </c>
      <c r="T316" t="str">
        <f t="shared" si="26"/>
        <v>Valid</v>
      </c>
      <c r="U316" t="str">
        <f t="shared" si="27"/>
        <v>Valid</v>
      </c>
      <c r="V316" t="str">
        <f t="shared" si="28"/>
        <v>Valid</v>
      </c>
      <c r="W316" t="str">
        <f t="shared" si="29"/>
        <v>Valid</v>
      </c>
    </row>
    <row r="317" spans="1:23">
      <c r="A317" t="s">
        <v>347</v>
      </c>
      <c r="B317" s="2">
        <v>45778</v>
      </c>
      <c r="C317" t="s">
        <v>17</v>
      </c>
      <c r="D317" t="s">
        <v>28</v>
      </c>
      <c r="E317" t="s">
        <v>24</v>
      </c>
      <c r="F317" t="s">
        <v>20</v>
      </c>
      <c r="G317" t="s">
        <v>26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P317">
        <v>54.9</v>
      </c>
      <c r="R317" t="str">
        <f t="shared" si="24"/>
        <v>Unique</v>
      </c>
      <c r="S317" t="str">
        <f t="shared" si="25"/>
        <v>Valid</v>
      </c>
      <c r="T317" t="str">
        <f t="shared" si="26"/>
        <v>Valid</v>
      </c>
      <c r="U317" t="str">
        <f t="shared" si="27"/>
        <v>Valid</v>
      </c>
      <c r="V317" t="str">
        <f t="shared" si="28"/>
        <v>Valid</v>
      </c>
      <c r="W317" t="str">
        <f t="shared" si="29"/>
        <v>Valid</v>
      </c>
    </row>
    <row r="318" spans="1:23">
      <c r="A318" t="s">
        <v>348</v>
      </c>
      <c r="B318" s="2">
        <v>45721</v>
      </c>
      <c r="C318" t="s">
        <v>17</v>
      </c>
      <c r="D318" t="s">
        <v>18</v>
      </c>
      <c r="E318" t="s">
        <v>19</v>
      </c>
      <c r="F318" t="s">
        <v>25</v>
      </c>
      <c r="G318" t="s">
        <v>30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P318">
        <v>57.3</v>
      </c>
      <c r="R318" t="str">
        <f t="shared" si="24"/>
        <v>Unique</v>
      </c>
      <c r="S318" t="str">
        <f t="shared" si="25"/>
        <v>Valid</v>
      </c>
      <c r="T318" t="str">
        <f t="shared" si="26"/>
        <v>Valid</v>
      </c>
      <c r="U318" t="str">
        <f t="shared" si="27"/>
        <v>Valid</v>
      </c>
      <c r="V318" t="str">
        <f t="shared" si="28"/>
        <v>Valid</v>
      </c>
      <c r="W318" t="str">
        <f t="shared" si="29"/>
        <v>Valid</v>
      </c>
    </row>
    <row r="319" spans="1:23">
      <c r="A319" t="s">
        <v>349</v>
      </c>
      <c r="B319" s="2">
        <v>45748</v>
      </c>
      <c r="C319" t="s">
        <v>17</v>
      </c>
      <c r="D319" t="s">
        <v>28</v>
      </c>
      <c r="E319" t="s">
        <v>19</v>
      </c>
      <c r="F319" t="s">
        <v>39</v>
      </c>
      <c r="G319" t="s">
        <v>26</v>
      </c>
      <c r="H319">
        <v>1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P319">
        <v>52.1</v>
      </c>
      <c r="R319" t="str">
        <f t="shared" si="24"/>
        <v>Unique</v>
      </c>
      <c r="S319" t="str">
        <f t="shared" si="25"/>
        <v>Valid</v>
      </c>
      <c r="T319" t="str">
        <f t="shared" si="26"/>
        <v>Valid</v>
      </c>
      <c r="U319" t="str">
        <f t="shared" si="27"/>
        <v>Valid</v>
      </c>
      <c r="V319" t="str">
        <f t="shared" si="28"/>
        <v>Valid</v>
      </c>
      <c r="W319" t="str">
        <f t="shared" si="29"/>
        <v>Valid</v>
      </c>
    </row>
    <row r="320" spans="1:23">
      <c r="A320" t="s">
        <v>350</v>
      </c>
      <c r="B320" s="2">
        <v>45780</v>
      </c>
      <c r="C320" t="s">
        <v>17</v>
      </c>
      <c r="D320" t="s">
        <v>18</v>
      </c>
      <c r="E320" t="s">
        <v>24</v>
      </c>
      <c r="F320" t="s">
        <v>25</v>
      </c>
      <c r="G320" t="s">
        <v>26</v>
      </c>
      <c r="H320">
        <v>1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P320">
        <v>80</v>
      </c>
      <c r="R320" t="str">
        <f t="shared" si="24"/>
        <v>Unique</v>
      </c>
      <c r="S320" t="str">
        <f t="shared" si="25"/>
        <v>Valid</v>
      </c>
      <c r="T320" t="str">
        <f t="shared" si="26"/>
        <v>Valid</v>
      </c>
      <c r="U320" t="str">
        <f t="shared" si="27"/>
        <v>Valid</v>
      </c>
      <c r="V320" t="str">
        <f t="shared" si="28"/>
        <v>Valid</v>
      </c>
      <c r="W320" t="str">
        <f t="shared" si="29"/>
        <v>Valid</v>
      </c>
    </row>
    <row r="321" spans="1:23">
      <c r="A321" t="s">
        <v>351</v>
      </c>
      <c r="B321" s="2">
        <v>45722</v>
      </c>
      <c r="C321" t="s">
        <v>17</v>
      </c>
      <c r="D321" t="s">
        <v>32</v>
      </c>
      <c r="E321" t="s">
        <v>19</v>
      </c>
      <c r="F321" t="s">
        <v>29</v>
      </c>
      <c r="G321" t="s">
        <v>30</v>
      </c>
      <c r="H321">
        <v>1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P321">
        <v>39.299999999999997</v>
      </c>
      <c r="R321" t="str">
        <f t="shared" si="24"/>
        <v>Unique</v>
      </c>
      <c r="S321" t="str">
        <f t="shared" si="25"/>
        <v>Valid</v>
      </c>
      <c r="T321" t="str">
        <f t="shared" si="26"/>
        <v>Valid</v>
      </c>
      <c r="U321" t="str">
        <f t="shared" si="27"/>
        <v>Valid</v>
      </c>
      <c r="V321" t="str">
        <f t="shared" si="28"/>
        <v>Valid</v>
      </c>
      <c r="W321" t="str">
        <f t="shared" si="29"/>
        <v>Valid</v>
      </c>
    </row>
    <row r="322" spans="1:23">
      <c r="A322" t="s">
        <v>352</v>
      </c>
      <c r="B322" s="2">
        <v>45748</v>
      </c>
      <c r="C322" t="s">
        <v>17</v>
      </c>
      <c r="D322" t="s">
        <v>18</v>
      </c>
      <c r="E322" t="s">
        <v>19</v>
      </c>
      <c r="F322" t="s">
        <v>39</v>
      </c>
      <c r="G322" t="s">
        <v>30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P322">
        <v>45.7</v>
      </c>
      <c r="R322" t="str">
        <f t="shared" si="24"/>
        <v>Unique</v>
      </c>
      <c r="S322" t="str">
        <f t="shared" si="25"/>
        <v>Valid</v>
      </c>
      <c r="T322" t="str">
        <f t="shared" si="26"/>
        <v>Valid</v>
      </c>
      <c r="U322" t="str">
        <f t="shared" si="27"/>
        <v>Valid</v>
      </c>
      <c r="V322" t="str">
        <f t="shared" si="28"/>
        <v>Valid</v>
      </c>
      <c r="W322" t="str">
        <f t="shared" si="29"/>
        <v>Valid</v>
      </c>
    </row>
    <row r="323" spans="1:23">
      <c r="A323" t="s">
        <v>353</v>
      </c>
      <c r="B323" s="2">
        <v>45697</v>
      </c>
      <c r="C323" t="s">
        <v>17</v>
      </c>
      <c r="D323" t="s">
        <v>18</v>
      </c>
      <c r="E323" t="s">
        <v>19</v>
      </c>
      <c r="F323" t="s">
        <v>41</v>
      </c>
      <c r="G323" t="s">
        <v>21</v>
      </c>
      <c r="H323">
        <v>1</v>
      </c>
      <c r="I323">
        <v>0</v>
      </c>
      <c r="J323">
        <v>0</v>
      </c>
      <c r="K323">
        <v>0</v>
      </c>
      <c r="L323">
        <v>0</v>
      </c>
      <c r="M323">
        <v>2</v>
      </c>
      <c r="N323">
        <v>0</v>
      </c>
      <c r="P323">
        <v>61.2</v>
      </c>
      <c r="R323" t="str">
        <f t="shared" ref="R323:R386" si="30">IF(COUNTIF($A:$A,A323)&gt;1,"Duplicate","Unique")</f>
        <v>Unique</v>
      </c>
      <c r="S323" t="str">
        <f t="shared" ref="S323:S386" si="31">IF(OR(H323=0,H323=1),"Valid","Invalid")</f>
        <v>Valid</v>
      </c>
      <c r="T323" t="str">
        <f t="shared" ref="T323:T386" si="32">IF(OR(I323=0,I323=1),"Valid","Invalid")</f>
        <v>Valid</v>
      </c>
      <c r="U323" t="str">
        <f t="shared" ref="U323:U386" si="33">IF(OR(J323=0,J323=1),"Valid","Invalid")</f>
        <v>Valid</v>
      </c>
      <c r="V323" t="str">
        <f t="shared" ref="V323:V386" si="34">IF(OR(K323=0,K323=1),"Valid","Invalid")</f>
        <v>Valid</v>
      </c>
      <c r="W323" t="str">
        <f t="shared" ref="W323:W386" si="35">IF(OR(N323=0,N323=1),"Valid","Invalid")</f>
        <v>Valid</v>
      </c>
    </row>
    <row r="324" spans="1:23">
      <c r="A324" t="s">
        <v>354</v>
      </c>
      <c r="B324" s="2">
        <v>45759</v>
      </c>
      <c r="C324" t="s">
        <v>17</v>
      </c>
      <c r="D324" t="s">
        <v>23</v>
      </c>
      <c r="E324" t="s">
        <v>24</v>
      </c>
      <c r="F324" t="s">
        <v>25</v>
      </c>
      <c r="G324" t="s">
        <v>21</v>
      </c>
      <c r="H324">
        <v>1</v>
      </c>
      <c r="I324">
        <v>1</v>
      </c>
      <c r="J324">
        <v>0</v>
      </c>
      <c r="K324">
        <v>0</v>
      </c>
      <c r="L324">
        <v>0</v>
      </c>
      <c r="M324">
        <v>0</v>
      </c>
      <c r="N324">
        <v>0</v>
      </c>
      <c r="P324">
        <v>66.2</v>
      </c>
      <c r="R324" t="str">
        <f t="shared" si="30"/>
        <v>Unique</v>
      </c>
      <c r="S324" t="str">
        <f t="shared" si="31"/>
        <v>Valid</v>
      </c>
      <c r="T324" t="str">
        <f t="shared" si="32"/>
        <v>Valid</v>
      </c>
      <c r="U324" t="str">
        <f t="shared" si="33"/>
        <v>Valid</v>
      </c>
      <c r="V324" t="str">
        <f t="shared" si="34"/>
        <v>Valid</v>
      </c>
      <c r="W324" t="str">
        <f t="shared" si="35"/>
        <v>Valid</v>
      </c>
    </row>
    <row r="325" spans="1:23">
      <c r="A325" t="s">
        <v>355</v>
      </c>
      <c r="B325" s="2">
        <v>45734</v>
      </c>
      <c r="C325" t="s">
        <v>17</v>
      </c>
      <c r="D325" t="s">
        <v>28</v>
      </c>
      <c r="E325" t="s">
        <v>24</v>
      </c>
      <c r="F325" t="s">
        <v>41</v>
      </c>
      <c r="G325" t="s">
        <v>26</v>
      </c>
      <c r="H325">
        <v>1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P325">
        <v>61.3</v>
      </c>
      <c r="R325" t="str">
        <f t="shared" si="30"/>
        <v>Unique</v>
      </c>
      <c r="S325" t="str">
        <f t="shared" si="31"/>
        <v>Valid</v>
      </c>
      <c r="T325" t="str">
        <f t="shared" si="32"/>
        <v>Valid</v>
      </c>
      <c r="U325" t="str">
        <f t="shared" si="33"/>
        <v>Valid</v>
      </c>
      <c r="V325" t="str">
        <f t="shared" si="34"/>
        <v>Valid</v>
      </c>
      <c r="W325" t="str">
        <f t="shared" si="35"/>
        <v>Valid</v>
      </c>
    </row>
    <row r="326" spans="1:23">
      <c r="A326" t="s">
        <v>356</v>
      </c>
      <c r="B326" s="2">
        <v>45750</v>
      </c>
      <c r="C326" t="s">
        <v>17</v>
      </c>
      <c r="D326" t="s">
        <v>28</v>
      </c>
      <c r="E326" t="s">
        <v>24</v>
      </c>
      <c r="F326" t="s">
        <v>29</v>
      </c>
      <c r="G326" t="s">
        <v>26</v>
      </c>
      <c r="H326">
        <v>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P326">
        <v>72.2</v>
      </c>
      <c r="R326" t="str">
        <f t="shared" si="30"/>
        <v>Unique</v>
      </c>
      <c r="S326" t="str">
        <f t="shared" si="31"/>
        <v>Valid</v>
      </c>
      <c r="T326" t="str">
        <f t="shared" si="32"/>
        <v>Valid</v>
      </c>
      <c r="U326" t="str">
        <f t="shared" si="33"/>
        <v>Valid</v>
      </c>
      <c r="V326" t="str">
        <f t="shared" si="34"/>
        <v>Valid</v>
      </c>
      <c r="W326" t="str">
        <f t="shared" si="35"/>
        <v>Valid</v>
      </c>
    </row>
    <row r="327" spans="1:23">
      <c r="A327" t="s">
        <v>357</v>
      </c>
      <c r="B327" s="2">
        <v>45749</v>
      </c>
      <c r="C327" t="s">
        <v>17</v>
      </c>
      <c r="D327" t="s">
        <v>23</v>
      </c>
      <c r="E327" t="s">
        <v>24</v>
      </c>
      <c r="F327" t="s">
        <v>20</v>
      </c>
      <c r="G327" t="s">
        <v>30</v>
      </c>
      <c r="H327">
        <v>1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P327">
        <v>84</v>
      </c>
      <c r="R327" t="str">
        <f t="shared" si="30"/>
        <v>Unique</v>
      </c>
      <c r="S327" t="str">
        <f t="shared" si="31"/>
        <v>Valid</v>
      </c>
      <c r="T327" t="str">
        <f t="shared" si="32"/>
        <v>Valid</v>
      </c>
      <c r="U327" t="str">
        <f t="shared" si="33"/>
        <v>Valid</v>
      </c>
      <c r="V327" t="str">
        <f t="shared" si="34"/>
        <v>Valid</v>
      </c>
      <c r="W327" t="str">
        <f t="shared" si="35"/>
        <v>Valid</v>
      </c>
    </row>
    <row r="328" spans="1:23">
      <c r="A328" t="s">
        <v>358</v>
      </c>
      <c r="B328" s="2">
        <v>45787</v>
      </c>
      <c r="C328" t="s">
        <v>17</v>
      </c>
      <c r="D328" t="s">
        <v>23</v>
      </c>
      <c r="E328" t="s">
        <v>19</v>
      </c>
      <c r="F328" t="s">
        <v>20</v>
      </c>
      <c r="G328" t="s">
        <v>21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P328">
        <v>59.8</v>
      </c>
      <c r="R328" t="str">
        <f t="shared" si="30"/>
        <v>Unique</v>
      </c>
      <c r="S328" t="str">
        <f t="shared" si="31"/>
        <v>Valid</v>
      </c>
      <c r="T328" t="str">
        <f t="shared" si="32"/>
        <v>Valid</v>
      </c>
      <c r="U328" t="str">
        <f t="shared" si="33"/>
        <v>Valid</v>
      </c>
      <c r="V328" t="str">
        <f t="shared" si="34"/>
        <v>Valid</v>
      </c>
      <c r="W328" t="str">
        <f t="shared" si="35"/>
        <v>Valid</v>
      </c>
    </row>
    <row r="329" spans="1:23">
      <c r="A329" t="s">
        <v>359</v>
      </c>
      <c r="B329" s="2">
        <v>45776</v>
      </c>
      <c r="C329" t="s">
        <v>17</v>
      </c>
      <c r="D329" t="s">
        <v>23</v>
      </c>
      <c r="E329" t="s">
        <v>19</v>
      </c>
      <c r="F329" t="s">
        <v>29</v>
      </c>
      <c r="G329" t="s">
        <v>26</v>
      </c>
      <c r="H329">
        <v>1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P329">
        <v>64.900000000000006</v>
      </c>
      <c r="R329" t="str">
        <f t="shared" si="30"/>
        <v>Unique</v>
      </c>
      <c r="S329" t="str">
        <f t="shared" si="31"/>
        <v>Valid</v>
      </c>
      <c r="T329" t="str">
        <f t="shared" si="32"/>
        <v>Valid</v>
      </c>
      <c r="U329" t="str">
        <f t="shared" si="33"/>
        <v>Valid</v>
      </c>
      <c r="V329" t="str">
        <f t="shared" si="34"/>
        <v>Valid</v>
      </c>
      <c r="W329" t="str">
        <f t="shared" si="35"/>
        <v>Valid</v>
      </c>
    </row>
    <row r="330" spans="1:23">
      <c r="A330" t="s">
        <v>360</v>
      </c>
      <c r="B330" s="2">
        <v>45715</v>
      </c>
      <c r="C330" t="s">
        <v>17</v>
      </c>
      <c r="D330" t="s">
        <v>32</v>
      </c>
      <c r="E330" t="s">
        <v>24</v>
      </c>
      <c r="F330" t="s">
        <v>29</v>
      </c>
      <c r="G330" t="s">
        <v>26</v>
      </c>
      <c r="H330">
        <v>1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P330">
        <v>66.8</v>
      </c>
      <c r="R330" t="str">
        <f t="shared" si="30"/>
        <v>Unique</v>
      </c>
      <c r="S330" t="str">
        <f t="shared" si="31"/>
        <v>Valid</v>
      </c>
      <c r="T330" t="str">
        <f t="shared" si="32"/>
        <v>Valid</v>
      </c>
      <c r="U330" t="str">
        <f t="shared" si="33"/>
        <v>Valid</v>
      </c>
      <c r="V330" t="str">
        <f t="shared" si="34"/>
        <v>Valid</v>
      </c>
      <c r="W330" t="str">
        <f t="shared" si="35"/>
        <v>Valid</v>
      </c>
    </row>
    <row r="331" spans="1:23">
      <c r="A331" t="s">
        <v>361</v>
      </c>
      <c r="B331" s="2">
        <v>45757</v>
      </c>
      <c r="C331" t="s">
        <v>17</v>
      </c>
      <c r="D331" t="s">
        <v>18</v>
      </c>
      <c r="E331" t="s">
        <v>19</v>
      </c>
      <c r="F331" t="s">
        <v>25</v>
      </c>
      <c r="G331" t="s">
        <v>30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P331">
        <v>70.900000000000006</v>
      </c>
      <c r="R331" t="str">
        <f t="shared" si="30"/>
        <v>Unique</v>
      </c>
      <c r="S331" t="str">
        <f t="shared" si="31"/>
        <v>Valid</v>
      </c>
      <c r="T331" t="str">
        <f t="shared" si="32"/>
        <v>Valid</v>
      </c>
      <c r="U331" t="str">
        <f t="shared" si="33"/>
        <v>Valid</v>
      </c>
      <c r="V331" t="str">
        <f t="shared" si="34"/>
        <v>Valid</v>
      </c>
      <c r="W331" t="str">
        <f t="shared" si="35"/>
        <v>Valid</v>
      </c>
    </row>
    <row r="332" spans="1:23">
      <c r="A332" t="s">
        <v>362</v>
      </c>
      <c r="B332" s="2">
        <v>45701</v>
      </c>
      <c r="C332" t="s">
        <v>17</v>
      </c>
      <c r="D332" t="s">
        <v>28</v>
      </c>
      <c r="E332" t="s">
        <v>24</v>
      </c>
      <c r="F332" t="s">
        <v>25</v>
      </c>
      <c r="G332" t="s">
        <v>26</v>
      </c>
      <c r="H332">
        <v>1</v>
      </c>
      <c r="I332">
        <v>1</v>
      </c>
      <c r="J332">
        <v>1</v>
      </c>
      <c r="K332">
        <v>1</v>
      </c>
      <c r="L332">
        <v>426.82</v>
      </c>
      <c r="M332">
        <v>1</v>
      </c>
      <c r="N332">
        <v>0</v>
      </c>
      <c r="O332">
        <v>14</v>
      </c>
      <c r="P332">
        <v>68.8</v>
      </c>
      <c r="R332" t="str">
        <f t="shared" si="30"/>
        <v>Unique</v>
      </c>
      <c r="S332" t="str">
        <f t="shared" si="31"/>
        <v>Valid</v>
      </c>
      <c r="T332" t="str">
        <f t="shared" si="32"/>
        <v>Valid</v>
      </c>
      <c r="U332" t="str">
        <f t="shared" si="33"/>
        <v>Valid</v>
      </c>
      <c r="V332" t="str">
        <f t="shared" si="34"/>
        <v>Valid</v>
      </c>
      <c r="W332" t="str">
        <f t="shared" si="35"/>
        <v>Valid</v>
      </c>
    </row>
    <row r="333" spans="1:23">
      <c r="A333" t="s">
        <v>363</v>
      </c>
      <c r="B333" s="2">
        <v>45780</v>
      </c>
      <c r="C333" t="s">
        <v>17</v>
      </c>
      <c r="D333" t="s">
        <v>18</v>
      </c>
      <c r="E333" t="s">
        <v>24</v>
      </c>
      <c r="F333" t="s">
        <v>25</v>
      </c>
      <c r="G333" t="s">
        <v>21</v>
      </c>
      <c r="H333">
        <v>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P333">
        <v>72.400000000000006</v>
      </c>
      <c r="R333" t="str">
        <f t="shared" si="30"/>
        <v>Unique</v>
      </c>
      <c r="S333" t="str">
        <f t="shared" si="31"/>
        <v>Valid</v>
      </c>
      <c r="T333" t="str">
        <f t="shared" si="32"/>
        <v>Valid</v>
      </c>
      <c r="U333" t="str">
        <f t="shared" si="33"/>
        <v>Valid</v>
      </c>
      <c r="V333" t="str">
        <f t="shared" si="34"/>
        <v>Valid</v>
      </c>
      <c r="W333" t="str">
        <f t="shared" si="35"/>
        <v>Valid</v>
      </c>
    </row>
    <row r="334" spans="1:23">
      <c r="A334" t="s">
        <v>364</v>
      </c>
      <c r="B334" s="2">
        <v>45726</v>
      </c>
      <c r="C334" t="s">
        <v>17</v>
      </c>
      <c r="D334" t="s">
        <v>28</v>
      </c>
      <c r="E334" t="s">
        <v>24</v>
      </c>
      <c r="F334" t="s">
        <v>25</v>
      </c>
      <c r="G334" t="s">
        <v>21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P334">
        <v>63.3</v>
      </c>
      <c r="R334" t="str">
        <f t="shared" si="30"/>
        <v>Unique</v>
      </c>
      <c r="S334" t="str">
        <f t="shared" si="31"/>
        <v>Valid</v>
      </c>
      <c r="T334" t="str">
        <f t="shared" si="32"/>
        <v>Valid</v>
      </c>
      <c r="U334" t="str">
        <f t="shared" si="33"/>
        <v>Valid</v>
      </c>
      <c r="V334" t="str">
        <f t="shared" si="34"/>
        <v>Valid</v>
      </c>
      <c r="W334" t="str">
        <f t="shared" si="35"/>
        <v>Valid</v>
      </c>
    </row>
    <row r="335" spans="1:23">
      <c r="A335" t="s">
        <v>365</v>
      </c>
      <c r="B335" s="2">
        <v>45667</v>
      </c>
      <c r="C335" t="s">
        <v>17</v>
      </c>
      <c r="D335" t="s">
        <v>23</v>
      </c>
      <c r="E335" t="s">
        <v>34</v>
      </c>
      <c r="F335" t="s">
        <v>41</v>
      </c>
      <c r="G335" t="s">
        <v>26</v>
      </c>
      <c r="H335">
        <v>1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P335">
        <v>30.8</v>
      </c>
      <c r="R335" t="str">
        <f t="shared" si="30"/>
        <v>Unique</v>
      </c>
      <c r="S335" t="str">
        <f t="shared" si="31"/>
        <v>Valid</v>
      </c>
      <c r="T335" t="str">
        <f t="shared" si="32"/>
        <v>Valid</v>
      </c>
      <c r="U335" t="str">
        <f t="shared" si="33"/>
        <v>Valid</v>
      </c>
      <c r="V335" t="str">
        <f t="shared" si="34"/>
        <v>Valid</v>
      </c>
      <c r="W335" t="str">
        <f t="shared" si="35"/>
        <v>Valid</v>
      </c>
    </row>
    <row r="336" spans="1:23">
      <c r="A336" t="s">
        <v>366</v>
      </c>
      <c r="B336" s="2">
        <v>45673</v>
      </c>
      <c r="C336" t="s">
        <v>17</v>
      </c>
      <c r="D336" t="s">
        <v>32</v>
      </c>
      <c r="E336" t="s">
        <v>24</v>
      </c>
      <c r="F336" t="s">
        <v>20</v>
      </c>
      <c r="G336" t="s">
        <v>21</v>
      </c>
      <c r="H336">
        <v>1</v>
      </c>
      <c r="I336">
        <v>1</v>
      </c>
      <c r="J336">
        <v>1</v>
      </c>
      <c r="K336">
        <v>1</v>
      </c>
      <c r="L336">
        <v>874.55</v>
      </c>
      <c r="M336">
        <v>0</v>
      </c>
      <c r="N336">
        <v>0</v>
      </c>
      <c r="O336">
        <v>9</v>
      </c>
      <c r="P336">
        <v>44.2</v>
      </c>
      <c r="R336" t="str">
        <f t="shared" si="30"/>
        <v>Unique</v>
      </c>
      <c r="S336" t="str">
        <f t="shared" si="31"/>
        <v>Valid</v>
      </c>
      <c r="T336" t="str">
        <f t="shared" si="32"/>
        <v>Valid</v>
      </c>
      <c r="U336" t="str">
        <f t="shared" si="33"/>
        <v>Valid</v>
      </c>
      <c r="V336" t="str">
        <f t="shared" si="34"/>
        <v>Valid</v>
      </c>
      <c r="W336" t="str">
        <f t="shared" si="35"/>
        <v>Valid</v>
      </c>
    </row>
    <row r="337" spans="1:23">
      <c r="A337" t="s">
        <v>367</v>
      </c>
      <c r="B337" s="2">
        <v>45699</v>
      </c>
      <c r="C337" t="s">
        <v>17</v>
      </c>
      <c r="D337" t="s">
        <v>32</v>
      </c>
      <c r="E337" t="s">
        <v>19</v>
      </c>
      <c r="F337" t="s">
        <v>25</v>
      </c>
      <c r="G337" t="s">
        <v>30</v>
      </c>
      <c r="H337">
        <v>1</v>
      </c>
      <c r="I337">
        <v>1</v>
      </c>
      <c r="J337">
        <v>1</v>
      </c>
      <c r="K337">
        <v>1</v>
      </c>
      <c r="L337">
        <v>2206.88</v>
      </c>
      <c r="M337">
        <v>0</v>
      </c>
      <c r="N337">
        <v>0</v>
      </c>
      <c r="O337">
        <v>10</v>
      </c>
      <c r="P337">
        <v>56.2</v>
      </c>
      <c r="R337" t="str">
        <f t="shared" si="30"/>
        <v>Unique</v>
      </c>
      <c r="S337" t="str">
        <f t="shared" si="31"/>
        <v>Valid</v>
      </c>
      <c r="T337" t="str">
        <f t="shared" si="32"/>
        <v>Valid</v>
      </c>
      <c r="U337" t="str">
        <f t="shared" si="33"/>
        <v>Valid</v>
      </c>
      <c r="V337" t="str">
        <f t="shared" si="34"/>
        <v>Valid</v>
      </c>
      <c r="W337" t="str">
        <f t="shared" si="35"/>
        <v>Valid</v>
      </c>
    </row>
    <row r="338" spans="1:23">
      <c r="A338" t="s">
        <v>368</v>
      </c>
      <c r="B338" s="2">
        <v>45760</v>
      </c>
      <c r="C338" t="s">
        <v>17</v>
      </c>
      <c r="D338" t="s">
        <v>23</v>
      </c>
      <c r="E338" t="s">
        <v>24</v>
      </c>
      <c r="F338" t="s">
        <v>25</v>
      </c>
      <c r="G338" t="s">
        <v>26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P338">
        <v>40.4</v>
      </c>
      <c r="R338" t="str">
        <f t="shared" si="30"/>
        <v>Unique</v>
      </c>
      <c r="S338" t="str">
        <f t="shared" si="31"/>
        <v>Valid</v>
      </c>
      <c r="T338" t="str">
        <f t="shared" si="32"/>
        <v>Valid</v>
      </c>
      <c r="U338" t="str">
        <f t="shared" si="33"/>
        <v>Valid</v>
      </c>
      <c r="V338" t="str">
        <f t="shared" si="34"/>
        <v>Valid</v>
      </c>
      <c r="W338" t="str">
        <f t="shared" si="35"/>
        <v>Valid</v>
      </c>
    </row>
    <row r="339" spans="1:23">
      <c r="A339" t="s">
        <v>369</v>
      </c>
      <c r="B339" s="2">
        <v>45696</v>
      </c>
      <c r="C339" t="s">
        <v>17</v>
      </c>
      <c r="D339" t="s">
        <v>28</v>
      </c>
      <c r="E339" t="s">
        <v>24</v>
      </c>
      <c r="F339" t="s">
        <v>29</v>
      </c>
      <c r="G339" t="s">
        <v>26</v>
      </c>
      <c r="H339">
        <v>1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P339">
        <v>68.099999999999994</v>
      </c>
      <c r="R339" t="str">
        <f t="shared" si="30"/>
        <v>Unique</v>
      </c>
      <c r="S339" t="str">
        <f t="shared" si="31"/>
        <v>Valid</v>
      </c>
      <c r="T339" t="str">
        <f t="shared" si="32"/>
        <v>Valid</v>
      </c>
      <c r="U339" t="str">
        <f t="shared" si="33"/>
        <v>Valid</v>
      </c>
      <c r="V339" t="str">
        <f t="shared" si="34"/>
        <v>Valid</v>
      </c>
      <c r="W339" t="str">
        <f t="shared" si="35"/>
        <v>Valid</v>
      </c>
    </row>
    <row r="340" spans="1:23">
      <c r="A340" t="s">
        <v>370</v>
      </c>
      <c r="B340" s="2">
        <v>45747</v>
      </c>
      <c r="C340" t="s">
        <v>17</v>
      </c>
      <c r="D340" t="s">
        <v>23</v>
      </c>
      <c r="E340" t="s">
        <v>19</v>
      </c>
      <c r="F340" t="s">
        <v>39</v>
      </c>
      <c r="G340" t="s">
        <v>26</v>
      </c>
      <c r="H340">
        <v>1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P340">
        <v>86.3</v>
      </c>
      <c r="R340" t="str">
        <f t="shared" si="30"/>
        <v>Unique</v>
      </c>
      <c r="S340" t="str">
        <f t="shared" si="31"/>
        <v>Valid</v>
      </c>
      <c r="T340" t="str">
        <f t="shared" si="32"/>
        <v>Valid</v>
      </c>
      <c r="U340" t="str">
        <f t="shared" si="33"/>
        <v>Valid</v>
      </c>
      <c r="V340" t="str">
        <f t="shared" si="34"/>
        <v>Valid</v>
      </c>
      <c r="W340" t="str">
        <f t="shared" si="35"/>
        <v>Valid</v>
      </c>
    </row>
    <row r="341" spans="1:23">
      <c r="A341" t="s">
        <v>371</v>
      </c>
      <c r="B341" s="2">
        <v>45688</v>
      </c>
      <c r="C341" t="s">
        <v>17</v>
      </c>
      <c r="D341" t="s">
        <v>23</v>
      </c>
      <c r="E341" t="s">
        <v>19</v>
      </c>
      <c r="F341" t="s">
        <v>39</v>
      </c>
      <c r="G341" t="s">
        <v>26</v>
      </c>
      <c r="H341">
        <v>1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P341">
        <v>42.9</v>
      </c>
      <c r="R341" t="str">
        <f t="shared" si="30"/>
        <v>Unique</v>
      </c>
      <c r="S341" t="str">
        <f t="shared" si="31"/>
        <v>Valid</v>
      </c>
      <c r="T341" t="str">
        <f t="shared" si="32"/>
        <v>Valid</v>
      </c>
      <c r="U341" t="str">
        <f t="shared" si="33"/>
        <v>Valid</v>
      </c>
      <c r="V341" t="str">
        <f t="shared" si="34"/>
        <v>Valid</v>
      </c>
      <c r="W341" t="str">
        <f t="shared" si="35"/>
        <v>Valid</v>
      </c>
    </row>
    <row r="342" spans="1:23">
      <c r="A342" t="s">
        <v>372</v>
      </c>
      <c r="B342" s="2">
        <v>45785</v>
      </c>
      <c r="C342" t="s">
        <v>17</v>
      </c>
      <c r="D342" t="s">
        <v>23</v>
      </c>
      <c r="E342" t="s">
        <v>34</v>
      </c>
      <c r="F342" t="s">
        <v>25</v>
      </c>
      <c r="G342" t="s">
        <v>26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P342">
        <v>61.4</v>
      </c>
      <c r="R342" t="str">
        <f t="shared" si="30"/>
        <v>Unique</v>
      </c>
      <c r="S342" t="str">
        <f t="shared" si="31"/>
        <v>Valid</v>
      </c>
      <c r="T342" t="str">
        <f t="shared" si="32"/>
        <v>Valid</v>
      </c>
      <c r="U342" t="str">
        <f t="shared" si="33"/>
        <v>Valid</v>
      </c>
      <c r="V342" t="str">
        <f t="shared" si="34"/>
        <v>Valid</v>
      </c>
      <c r="W342" t="str">
        <f t="shared" si="35"/>
        <v>Valid</v>
      </c>
    </row>
    <row r="343" spans="1:23">
      <c r="A343" t="s">
        <v>373</v>
      </c>
      <c r="B343" s="2">
        <v>45731</v>
      </c>
      <c r="C343" t="s">
        <v>17</v>
      </c>
      <c r="D343" t="s">
        <v>18</v>
      </c>
      <c r="E343" t="s">
        <v>24</v>
      </c>
      <c r="F343" t="s">
        <v>29</v>
      </c>
      <c r="G343" t="s">
        <v>26</v>
      </c>
      <c r="H343">
        <v>1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P343">
        <v>73.3</v>
      </c>
      <c r="R343" t="str">
        <f t="shared" si="30"/>
        <v>Unique</v>
      </c>
      <c r="S343" t="str">
        <f t="shared" si="31"/>
        <v>Valid</v>
      </c>
      <c r="T343" t="str">
        <f t="shared" si="32"/>
        <v>Valid</v>
      </c>
      <c r="U343" t="str">
        <f t="shared" si="33"/>
        <v>Valid</v>
      </c>
      <c r="V343" t="str">
        <f t="shared" si="34"/>
        <v>Valid</v>
      </c>
      <c r="W343" t="str">
        <f t="shared" si="35"/>
        <v>Valid</v>
      </c>
    </row>
    <row r="344" spans="1:23">
      <c r="A344" t="s">
        <v>374</v>
      </c>
      <c r="B344" s="2">
        <v>45670</v>
      </c>
      <c r="C344" t="s">
        <v>17</v>
      </c>
      <c r="D344" t="s">
        <v>32</v>
      </c>
      <c r="E344" t="s">
        <v>24</v>
      </c>
      <c r="F344" t="s">
        <v>39</v>
      </c>
      <c r="G344" t="s">
        <v>21</v>
      </c>
      <c r="H344">
        <v>1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P344">
        <v>59.4</v>
      </c>
      <c r="R344" t="str">
        <f t="shared" si="30"/>
        <v>Unique</v>
      </c>
      <c r="S344" t="str">
        <f t="shared" si="31"/>
        <v>Valid</v>
      </c>
      <c r="T344" t="str">
        <f t="shared" si="32"/>
        <v>Valid</v>
      </c>
      <c r="U344" t="str">
        <f t="shared" si="33"/>
        <v>Valid</v>
      </c>
      <c r="V344" t="str">
        <f t="shared" si="34"/>
        <v>Valid</v>
      </c>
      <c r="W344" t="str">
        <f t="shared" si="35"/>
        <v>Valid</v>
      </c>
    </row>
    <row r="345" spans="1:23">
      <c r="A345" t="s">
        <v>375</v>
      </c>
      <c r="B345" s="2">
        <v>45723</v>
      </c>
      <c r="C345" t="s">
        <v>17</v>
      </c>
      <c r="D345" t="s">
        <v>32</v>
      </c>
      <c r="E345" t="s">
        <v>34</v>
      </c>
      <c r="F345" t="s">
        <v>25</v>
      </c>
      <c r="G345" t="s">
        <v>21</v>
      </c>
      <c r="H345">
        <v>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P345">
        <v>35.200000000000003</v>
      </c>
      <c r="R345" t="str">
        <f t="shared" si="30"/>
        <v>Unique</v>
      </c>
      <c r="S345" t="str">
        <f t="shared" si="31"/>
        <v>Valid</v>
      </c>
      <c r="T345" t="str">
        <f t="shared" si="32"/>
        <v>Valid</v>
      </c>
      <c r="U345" t="str">
        <f t="shared" si="33"/>
        <v>Valid</v>
      </c>
      <c r="V345" t="str">
        <f t="shared" si="34"/>
        <v>Valid</v>
      </c>
      <c r="W345" t="str">
        <f t="shared" si="35"/>
        <v>Valid</v>
      </c>
    </row>
    <row r="346" spans="1:23">
      <c r="A346" t="s">
        <v>376</v>
      </c>
      <c r="B346" s="2">
        <v>45698</v>
      </c>
      <c r="C346" t="s">
        <v>17</v>
      </c>
      <c r="D346" t="s">
        <v>32</v>
      </c>
      <c r="E346" t="s">
        <v>24</v>
      </c>
      <c r="F346" t="s">
        <v>41</v>
      </c>
      <c r="G346" t="s">
        <v>30</v>
      </c>
      <c r="H346">
        <v>1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P346">
        <v>55.3</v>
      </c>
      <c r="R346" t="str">
        <f t="shared" si="30"/>
        <v>Unique</v>
      </c>
      <c r="S346" t="str">
        <f t="shared" si="31"/>
        <v>Valid</v>
      </c>
      <c r="T346" t="str">
        <f t="shared" si="32"/>
        <v>Valid</v>
      </c>
      <c r="U346" t="str">
        <f t="shared" si="33"/>
        <v>Valid</v>
      </c>
      <c r="V346" t="str">
        <f t="shared" si="34"/>
        <v>Valid</v>
      </c>
      <c r="W346" t="str">
        <f t="shared" si="35"/>
        <v>Valid</v>
      </c>
    </row>
    <row r="347" spans="1:23">
      <c r="A347" t="s">
        <v>377</v>
      </c>
      <c r="B347" s="2">
        <v>45728</v>
      </c>
      <c r="C347" t="s">
        <v>17</v>
      </c>
      <c r="D347" t="s">
        <v>28</v>
      </c>
      <c r="E347" t="s">
        <v>24</v>
      </c>
      <c r="F347" t="s">
        <v>29</v>
      </c>
      <c r="G347" t="s">
        <v>26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P347">
        <v>37.5</v>
      </c>
      <c r="R347" t="str">
        <f t="shared" si="30"/>
        <v>Unique</v>
      </c>
      <c r="S347" t="str">
        <f t="shared" si="31"/>
        <v>Valid</v>
      </c>
      <c r="T347" t="str">
        <f t="shared" si="32"/>
        <v>Valid</v>
      </c>
      <c r="U347" t="str">
        <f t="shared" si="33"/>
        <v>Valid</v>
      </c>
      <c r="V347" t="str">
        <f t="shared" si="34"/>
        <v>Valid</v>
      </c>
      <c r="W347" t="str">
        <f t="shared" si="35"/>
        <v>Valid</v>
      </c>
    </row>
    <row r="348" spans="1:23">
      <c r="A348" t="s">
        <v>378</v>
      </c>
      <c r="B348" s="2">
        <v>45660</v>
      </c>
      <c r="C348" t="s">
        <v>17</v>
      </c>
      <c r="D348" t="s">
        <v>32</v>
      </c>
      <c r="E348" t="s">
        <v>19</v>
      </c>
      <c r="F348" t="s">
        <v>29</v>
      </c>
      <c r="G348" t="s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1</v>
      </c>
      <c r="N348">
        <v>0</v>
      </c>
      <c r="P348">
        <v>66.400000000000006</v>
      </c>
      <c r="R348" t="str">
        <f t="shared" si="30"/>
        <v>Unique</v>
      </c>
      <c r="S348" t="str">
        <f t="shared" si="31"/>
        <v>Valid</v>
      </c>
      <c r="T348" t="str">
        <f t="shared" si="32"/>
        <v>Valid</v>
      </c>
      <c r="U348" t="str">
        <f t="shared" si="33"/>
        <v>Valid</v>
      </c>
      <c r="V348" t="str">
        <f t="shared" si="34"/>
        <v>Valid</v>
      </c>
      <c r="W348" t="str">
        <f t="shared" si="35"/>
        <v>Valid</v>
      </c>
    </row>
    <row r="349" spans="1:23">
      <c r="A349" t="s">
        <v>379</v>
      </c>
      <c r="B349" s="2">
        <v>45775</v>
      </c>
      <c r="C349" t="s">
        <v>17</v>
      </c>
      <c r="D349" t="s">
        <v>18</v>
      </c>
      <c r="E349" t="s">
        <v>34</v>
      </c>
      <c r="F349" t="s">
        <v>41</v>
      </c>
      <c r="G349" t="s">
        <v>21</v>
      </c>
      <c r="H349">
        <v>1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P349">
        <v>61.9</v>
      </c>
      <c r="R349" t="str">
        <f t="shared" si="30"/>
        <v>Unique</v>
      </c>
      <c r="S349" t="str">
        <f t="shared" si="31"/>
        <v>Valid</v>
      </c>
      <c r="T349" t="str">
        <f t="shared" si="32"/>
        <v>Valid</v>
      </c>
      <c r="U349" t="str">
        <f t="shared" si="33"/>
        <v>Valid</v>
      </c>
      <c r="V349" t="str">
        <f t="shared" si="34"/>
        <v>Valid</v>
      </c>
      <c r="W349" t="str">
        <f t="shared" si="35"/>
        <v>Valid</v>
      </c>
    </row>
    <row r="350" spans="1:23">
      <c r="A350" t="s">
        <v>380</v>
      </c>
      <c r="B350" s="2">
        <v>45764</v>
      </c>
      <c r="C350" t="s">
        <v>17</v>
      </c>
      <c r="D350" t="s">
        <v>28</v>
      </c>
      <c r="E350" t="s">
        <v>24</v>
      </c>
      <c r="F350" t="s">
        <v>25</v>
      </c>
      <c r="G350" t="s">
        <v>26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P350">
        <v>56</v>
      </c>
      <c r="R350" t="str">
        <f t="shared" si="30"/>
        <v>Unique</v>
      </c>
      <c r="S350" t="str">
        <f t="shared" si="31"/>
        <v>Valid</v>
      </c>
      <c r="T350" t="str">
        <f t="shared" si="32"/>
        <v>Valid</v>
      </c>
      <c r="U350" t="str">
        <f t="shared" si="33"/>
        <v>Valid</v>
      </c>
      <c r="V350" t="str">
        <f t="shared" si="34"/>
        <v>Valid</v>
      </c>
      <c r="W350" t="str">
        <f t="shared" si="35"/>
        <v>Valid</v>
      </c>
    </row>
    <row r="351" spans="1:23">
      <c r="A351" t="s">
        <v>381</v>
      </c>
      <c r="B351" s="2">
        <v>45800</v>
      </c>
      <c r="C351" t="s">
        <v>17</v>
      </c>
      <c r="D351" t="s">
        <v>32</v>
      </c>
      <c r="E351" t="s">
        <v>19</v>
      </c>
      <c r="F351" t="s">
        <v>41</v>
      </c>
      <c r="G351" t="s">
        <v>21</v>
      </c>
      <c r="H351">
        <v>1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P351">
        <v>55.5</v>
      </c>
      <c r="R351" t="str">
        <f t="shared" si="30"/>
        <v>Unique</v>
      </c>
      <c r="S351" t="str">
        <f t="shared" si="31"/>
        <v>Valid</v>
      </c>
      <c r="T351" t="str">
        <f t="shared" si="32"/>
        <v>Valid</v>
      </c>
      <c r="U351" t="str">
        <f t="shared" si="33"/>
        <v>Valid</v>
      </c>
      <c r="V351" t="str">
        <f t="shared" si="34"/>
        <v>Valid</v>
      </c>
      <c r="W351" t="str">
        <f t="shared" si="35"/>
        <v>Valid</v>
      </c>
    </row>
    <row r="352" spans="1:23">
      <c r="A352" t="s">
        <v>382</v>
      </c>
      <c r="B352" s="2">
        <v>45707</v>
      </c>
      <c r="C352" t="s">
        <v>17</v>
      </c>
      <c r="D352" t="s">
        <v>23</v>
      </c>
      <c r="E352" t="s">
        <v>34</v>
      </c>
      <c r="F352" t="s">
        <v>39</v>
      </c>
      <c r="G352" t="s">
        <v>21</v>
      </c>
      <c r="H352">
        <v>1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P352">
        <v>37.200000000000003</v>
      </c>
      <c r="R352" t="str">
        <f t="shared" si="30"/>
        <v>Unique</v>
      </c>
      <c r="S352" t="str">
        <f t="shared" si="31"/>
        <v>Valid</v>
      </c>
      <c r="T352" t="str">
        <f t="shared" si="32"/>
        <v>Valid</v>
      </c>
      <c r="U352" t="str">
        <f t="shared" si="33"/>
        <v>Valid</v>
      </c>
      <c r="V352" t="str">
        <f t="shared" si="34"/>
        <v>Valid</v>
      </c>
      <c r="W352" t="str">
        <f t="shared" si="35"/>
        <v>Valid</v>
      </c>
    </row>
    <row r="353" spans="1:23">
      <c r="A353" t="s">
        <v>383</v>
      </c>
      <c r="B353" s="2">
        <v>45675</v>
      </c>
      <c r="C353" t="s">
        <v>17</v>
      </c>
      <c r="D353" t="s">
        <v>32</v>
      </c>
      <c r="E353" t="s">
        <v>19</v>
      </c>
      <c r="F353" t="s">
        <v>25</v>
      </c>
      <c r="G353" t="s">
        <v>26</v>
      </c>
      <c r="H353">
        <v>1</v>
      </c>
      <c r="I353">
        <v>1</v>
      </c>
      <c r="J353">
        <v>0</v>
      </c>
      <c r="K353">
        <v>0</v>
      </c>
      <c r="L353">
        <v>0</v>
      </c>
      <c r="M353">
        <v>1</v>
      </c>
      <c r="N353">
        <v>0</v>
      </c>
      <c r="P353">
        <v>70.5</v>
      </c>
      <c r="R353" t="str">
        <f t="shared" si="30"/>
        <v>Unique</v>
      </c>
      <c r="S353" t="str">
        <f t="shared" si="31"/>
        <v>Valid</v>
      </c>
      <c r="T353" t="str">
        <f t="shared" si="32"/>
        <v>Valid</v>
      </c>
      <c r="U353" t="str">
        <f t="shared" si="33"/>
        <v>Valid</v>
      </c>
      <c r="V353" t="str">
        <f t="shared" si="34"/>
        <v>Valid</v>
      </c>
      <c r="W353" t="str">
        <f t="shared" si="35"/>
        <v>Valid</v>
      </c>
    </row>
    <row r="354" spans="1:23">
      <c r="A354" t="s">
        <v>384</v>
      </c>
      <c r="B354" s="2">
        <v>45764</v>
      </c>
      <c r="C354" t="s">
        <v>17</v>
      </c>
      <c r="D354" t="s">
        <v>18</v>
      </c>
      <c r="E354" t="s">
        <v>24</v>
      </c>
      <c r="F354" t="s">
        <v>25</v>
      </c>
      <c r="G354" t="s">
        <v>26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P354">
        <v>61.2</v>
      </c>
      <c r="R354" t="str">
        <f t="shared" si="30"/>
        <v>Unique</v>
      </c>
      <c r="S354" t="str">
        <f t="shared" si="31"/>
        <v>Valid</v>
      </c>
      <c r="T354" t="str">
        <f t="shared" si="32"/>
        <v>Valid</v>
      </c>
      <c r="U354" t="str">
        <f t="shared" si="33"/>
        <v>Valid</v>
      </c>
      <c r="V354" t="str">
        <f t="shared" si="34"/>
        <v>Valid</v>
      </c>
      <c r="W354" t="str">
        <f t="shared" si="35"/>
        <v>Valid</v>
      </c>
    </row>
    <row r="355" spans="1:23">
      <c r="A355" t="s">
        <v>385</v>
      </c>
      <c r="B355" s="2">
        <v>45759</v>
      </c>
      <c r="C355" t="s">
        <v>17</v>
      </c>
      <c r="D355" t="s">
        <v>28</v>
      </c>
      <c r="E355" t="s">
        <v>34</v>
      </c>
      <c r="F355" t="s">
        <v>41</v>
      </c>
      <c r="G355" t="s">
        <v>26</v>
      </c>
      <c r="H355">
        <v>1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P355">
        <v>64.599999999999994</v>
      </c>
      <c r="R355" t="str">
        <f t="shared" si="30"/>
        <v>Unique</v>
      </c>
      <c r="S355" t="str">
        <f t="shared" si="31"/>
        <v>Valid</v>
      </c>
      <c r="T355" t="str">
        <f t="shared" si="32"/>
        <v>Valid</v>
      </c>
      <c r="U355" t="str">
        <f t="shared" si="33"/>
        <v>Valid</v>
      </c>
      <c r="V355" t="str">
        <f t="shared" si="34"/>
        <v>Valid</v>
      </c>
      <c r="W355" t="str">
        <f t="shared" si="35"/>
        <v>Valid</v>
      </c>
    </row>
    <row r="356" spans="1:23">
      <c r="A356" t="s">
        <v>386</v>
      </c>
      <c r="B356" s="2">
        <v>45793</v>
      </c>
      <c r="C356" t="s">
        <v>17</v>
      </c>
      <c r="D356" t="s">
        <v>28</v>
      </c>
      <c r="E356" t="s">
        <v>24</v>
      </c>
      <c r="F356" t="s">
        <v>20</v>
      </c>
      <c r="G356" t="s">
        <v>26</v>
      </c>
      <c r="H356">
        <v>1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P356">
        <v>91.7</v>
      </c>
      <c r="R356" t="str">
        <f t="shared" si="30"/>
        <v>Unique</v>
      </c>
      <c r="S356" t="str">
        <f t="shared" si="31"/>
        <v>Valid</v>
      </c>
      <c r="T356" t="str">
        <f t="shared" si="32"/>
        <v>Valid</v>
      </c>
      <c r="U356" t="str">
        <f t="shared" si="33"/>
        <v>Valid</v>
      </c>
      <c r="V356" t="str">
        <f t="shared" si="34"/>
        <v>Valid</v>
      </c>
      <c r="W356" t="str">
        <f t="shared" si="35"/>
        <v>Valid</v>
      </c>
    </row>
    <row r="357" spans="1:23">
      <c r="A357" t="s">
        <v>387</v>
      </c>
      <c r="B357" s="2">
        <v>45740</v>
      </c>
      <c r="C357" t="s">
        <v>17</v>
      </c>
      <c r="D357" t="s">
        <v>23</v>
      </c>
      <c r="E357" t="s">
        <v>24</v>
      </c>
      <c r="F357" t="s">
        <v>41</v>
      </c>
      <c r="G357" t="s">
        <v>26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P357">
        <v>46</v>
      </c>
      <c r="R357" t="str">
        <f t="shared" si="30"/>
        <v>Unique</v>
      </c>
      <c r="S357" t="str">
        <f t="shared" si="31"/>
        <v>Valid</v>
      </c>
      <c r="T357" t="str">
        <f t="shared" si="32"/>
        <v>Valid</v>
      </c>
      <c r="U357" t="str">
        <f t="shared" si="33"/>
        <v>Valid</v>
      </c>
      <c r="V357" t="str">
        <f t="shared" si="34"/>
        <v>Valid</v>
      </c>
      <c r="W357" t="str">
        <f t="shared" si="35"/>
        <v>Valid</v>
      </c>
    </row>
    <row r="358" spans="1:23">
      <c r="A358" t="s">
        <v>388</v>
      </c>
      <c r="B358" s="2">
        <v>45704</v>
      </c>
      <c r="C358" t="s">
        <v>17</v>
      </c>
      <c r="D358" t="s">
        <v>23</v>
      </c>
      <c r="E358" t="s">
        <v>24</v>
      </c>
      <c r="F358" t="s">
        <v>25</v>
      </c>
      <c r="G358" t="s">
        <v>21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P358">
        <v>50.8</v>
      </c>
      <c r="R358" t="str">
        <f t="shared" si="30"/>
        <v>Unique</v>
      </c>
      <c r="S358" t="str">
        <f t="shared" si="31"/>
        <v>Valid</v>
      </c>
      <c r="T358" t="str">
        <f t="shared" si="32"/>
        <v>Valid</v>
      </c>
      <c r="U358" t="str">
        <f t="shared" si="33"/>
        <v>Valid</v>
      </c>
      <c r="V358" t="str">
        <f t="shared" si="34"/>
        <v>Valid</v>
      </c>
      <c r="W358" t="str">
        <f t="shared" si="35"/>
        <v>Valid</v>
      </c>
    </row>
    <row r="359" spans="1:23">
      <c r="A359" t="s">
        <v>389</v>
      </c>
      <c r="B359" s="2">
        <v>45735</v>
      </c>
      <c r="C359" t="s">
        <v>17</v>
      </c>
      <c r="D359" t="s">
        <v>18</v>
      </c>
      <c r="E359" t="s">
        <v>34</v>
      </c>
      <c r="F359" t="s">
        <v>25</v>
      </c>
      <c r="G359" t="s">
        <v>26</v>
      </c>
      <c r="H359">
        <v>1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P359">
        <v>52.8</v>
      </c>
      <c r="R359" t="str">
        <f t="shared" si="30"/>
        <v>Unique</v>
      </c>
      <c r="S359" t="str">
        <f t="shared" si="31"/>
        <v>Valid</v>
      </c>
      <c r="T359" t="str">
        <f t="shared" si="32"/>
        <v>Valid</v>
      </c>
      <c r="U359" t="str">
        <f t="shared" si="33"/>
        <v>Valid</v>
      </c>
      <c r="V359" t="str">
        <f t="shared" si="34"/>
        <v>Valid</v>
      </c>
      <c r="W359" t="str">
        <f t="shared" si="35"/>
        <v>Valid</v>
      </c>
    </row>
    <row r="360" spans="1:23">
      <c r="A360" t="s">
        <v>390</v>
      </c>
      <c r="B360" s="2">
        <v>45768</v>
      </c>
      <c r="C360" t="s">
        <v>17</v>
      </c>
      <c r="D360" t="s">
        <v>32</v>
      </c>
      <c r="E360" t="s">
        <v>24</v>
      </c>
      <c r="F360" t="s">
        <v>25</v>
      </c>
      <c r="G360" t="s">
        <v>21</v>
      </c>
      <c r="H360">
        <v>1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P360">
        <v>63</v>
      </c>
      <c r="R360" t="str">
        <f t="shared" si="30"/>
        <v>Unique</v>
      </c>
      <c r="S360" t="str">
        <f t="shared" si="31"/>
        <v>Valid</v>
      </c>
      <c r="T360" t="str">
        <f t="shared" si="32"/>
        <v>Valid</v>
      </c>
      <c r="U360" t="str">
        <f t="shared" si="33"/>
        <v>Valid</v>
      </c>
      <c r="V360" t="str">
        <f t="shared" si="34"/>
        <v>Valid</v>
      </c>
      <c r="W360" t="str">
        <f t="shared" si="35"/>
        <v>Valid</v>
      </c>
    </row>
    <row r="361" spans="1:23">
      <c r="A361" t="s">
        <v>391</v>
      </c>
      <c r="B361" s="2">
        <v>45668</v>
      </c>
      <c r="C361" t="s">
        <v>17</v>
      </c>
      <c r="D361" t="s">
        <v>23</v>
      </c>
      <c r="E361" t="s">
        <v>24</v>
      </c>
      <c r="F361" t="s">
        <v>25</v>
      </c>
      <c r="G361" t="s">
        <v>26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P361">
        <v>28.4</v>
      </c>
      <c r="R361" t="str">
        <f t="shared" si="30"/>
        <v>Unique</v>
      </c>
      <c r="S361" t="str">
        <f t="shared" si="31"/>
        <v>Valid</v>
      </c>
      <c r="T361" t="str">
        <f t="shared" si="32"/>
        <v>Valid</v>
      </c>
      <c r="U361" t="str">
        <f t="shared" si="33"/>
        <v>Valid</v>
      </c>
      <c r="V361" t="str">
        <f t="shared" si="34"/>
        <v>Valid</v>
      </c>
      <c r="W361" t="str">
        <f t="shared" si="35"/>
        <v>Valid</v>
      </c>
    </row>
    <row r="362" spans="1:23">
      <c r="A362" t="s">
        <v>392</v>
      </c>
      <c r="B362" s="2">
        <v>45771</v>
      </c>
      <c r="C362" t="s">
        <v>17</v>
      </c>
      <c r="D362" t="s">
        <v>23</v>
      </c>
      <c r="E362" t="s">
        <v>19</v>
      </c>
      <c r="F362" t="s">
        <v>25</v>
      </c>
      <c r="G362" t="s">
        <v>26</v>
      </c>
      <c r="H362">
        <v>1</v>
      </c>
      <c r="I362">
        <v>1</v>
      </c>
      <c r="J362">
        <v>0</v>
      </c>
      <c r="K362">
        <v>0</v>
      </c>
      <c r="L362">
        <v>0</v>
      </c>
      <c r="M362">
        <v>0</v>
      </c>
      <c r="N362">
        <v>0</v>
      </c>
      <c r="P362">
        <v>65.599999999999994</v>
      </c>
      <c r="R362" t="str">
        <f t="shared" si="30"/>
        <v>Unique</v>
      </c>
      <c r="S362" t="str">
        <f t="shared" si="31"/>
        <v>Valid</v>
      </c>
      <c r="T362" t="str">
        <f t="shared" si="32"/>
        <v>Valid</v>
      </c>
      <c r="U362" t="str">
        <f t="shared" si="33"/>
        <v>Valid</v>
      </c>
      <c r="V362" t="str">
        <f t="shared" si="34"/>
        <v>Valid</v>
      </c>
      <c r="W362" t="str">
        <f t="shared" si="35"/>
        <v>Valid</v>
      </c>
    </row>
    <row r="363" spans="1:23">
      <c r="A363" t="s">
        <v>393</v>
      </c>
      <c r="B363" s="2">
        <v>45729</v>
      </c>
      <c r="C363" t="s">
        <v>17</v>
      </c>
      <c r="D363" t="s">
        <v>18</v>
      </c>
      <c r="E363" t="s">
        <v>24</v>
      </c>
      <c r="F363" t="s">
        <v>41</v>
      </c>
      <c r="G363" t="s">
        <v>30</v>
      </c>
      <c r="H363">
        <v>1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P363">
        <v>54.7</v>
      </c>
      <c r="R363" t="str">
        <f t="shared" si="30"/>
        <v>Unique</v>
      </c>
      <c r="S363" t="str">
        <f t="shared" si="31"/>
        <v>Valid</v>
      </c>
      <c r="T363" t="str">
        <f t="shared" si="32"/>
        <v>Valid</v>
      </c>
      <c r="U363" t="str">
        <f t="shared" si="33"/>
        <v>Valid</v>
      </c>
      <c r="V363" t="str">
        <f t="shared" si="34"/>
        <v>Valid</v>
      </c>
      <c r="W363" t="str">
        <f t="shared" si="35"/>
        <v>Valid</v>
      </c>
    </row>
    <row r="364" spans="1:23">
      <c r="A364" t="s">
        <v>394</v>
      </c>
      <c r="B364" s="2">
        <v>45687</v>
      </c>
      <c r="C364" t="s">
        <v>17</v>
      </c>
      <c r="D364" t="s">
        <v>18</v>
      </c>
      <c r="E364" t="s">
        <v>24</v>
      </c>
      <c r="F364" t="s">
        <v>41</v>
      </c>
      <c r="G364" t="s">
        <v>21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P364">
        <v>36.1</v>
      </c>
      <c r="R364" t="str">
        <f t="shared" si="30"/>
        <v>Unique</v>
      </c>
      <c r="S364" t="str">
        <f t="shared" si="31"/>
        <v>Valid</v>
      </c>
      <c r="T364" t="str">
        <f t="shared" si="32"/>
        <v>Valid</v>
      </c>
      <c r="U364" t="str">
        <f t="shared" si="33"/>
        <v>Valid</v>
      </c>
      <c r="V364" t="str">
        <f t="shared" si="34"/>
        <v>Valid</v>
      </c>
      <c r="W364" t="str">
        <f t="shared" si="35"/>
        <v>Valid</v>
      </c>
    </row>
    <row r="365" spans="1:23">
      <c r="A365" t="s">
        <v>395</v>
      </c>
      <c r="B365" s="2">
        <v>45785</v>
      </c>
      <c r="C365" t="s">
        <v>17</v>
      </c>
      <c r="D365" t="s">
        <v>32</v>
      </c>
      <c r="E365" t="s">
        <v>24</v>
      </c>
      <c r="F365" t="s">
        <v>41</v>
      </c>
      <c r="G365" t="s">
        <v>21</v>
      </c>
      <c r="H365">
        <v>1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P365">
        <v>70.400000000000006</v>
      </c>
      <c r="R365" t="str">
        <f t="shared" si="30"/>
        <v>Unique</v>
      </c>
      <c r="S365" t="str">
        <f t="shared" si="31"/>
        <v>Valid</v>
      </c>
      <c r="T365" t="str">
        <f t="shared" si="32"/>
        <v>Valid</v>
      </c>
      <c r="U365" t="str">
        <f t="shared" si="33"/>
        <v>Valid</v>
      </c>
      <c r="V365" t="str">
        <f t="shared" si="34"/>
        <v>Valid</v>
      </c>
      <c r="W365" t="str">
        <f t="shared" si="35"/>
        <v>Valid</v>
      </c>
    </row>
    <row r="366" spans="1:23">
      <c r="A366" t="s">
        <v>396</v>
      </c>
      <c r="B366" s="2">
        <v>45665</v>
      </c>
      <c r="C366" t="s">
        <v>17</v>
      </c>
      <c r="D366" t="s">
        <v>28</v>
      </c>
      <c r="E366" t="s">
        <v>19</v>
      </c>
      <c r="F366" t="s">
        <v>41</v>
      </c>
      <c r="G366" t="s">
        <v>26</v>
      </c>
      <c r="H366">
        <v>1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P366">
        <v>56.4</v>
      </c>
      <c r="R366" t="str">
        <f t="shared" si="30"/>
        <v>Unique</v>
      </c>
      <c r="S366" t="str">
        <f t="shared" si="31"/>
        <v>Valid</v>
      </c>
      <c r="T366" t="str">
        <f t="shared" si="32"/>
        <v>Valid</v>
      </c>
      <c r="U366" t="str">
        <f t="shared" si="33"/>
        <v>Valid</v>
      </c>
      <c r="V366" t="str">
        <f t="shared" si="34"/>
        <v>Valid</v>
      </c>
      <c r="W366" t="str">
        <f t="shared" si="35"/>
        <v>Valid</v>
      </c>
    </row>
    <row r="367" spans="1:23">
      <c r="A367" t="s">
        <v>397</v>
      </c>
      <c r="B367" s="2">
        <v>45780</v>
      </c>
      <c r="C367" t="s">
        <v>17</v>
      </c>
      <c r="D367" t="s">
        <v>32</v>
      </c>
      <c r="E367" t="s">
        <v>24</v>
      </c>
      <c r="F367" t="s">
        <v>25</v>
      </c>
      <c r="G367" t="s">
        <v>26</v>
      </c>
      <c r="H367">
        <v>1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P367">
        <v>79.2</v>
      </c>
      <c r="R367" t="str">
        <f t="shared" si="30"/>
        <v>Unique</v>
      </c>
      <c r="S367" t="str">
        <f t="shared" si="31"/>
        <v>Valid</v>
      </c>
      <c r="T367" t="str">
        <f t="shared" si="32"/>
        <v>Valid</v>
      </c>
      <c r="U367" t="str">
        <f t="shared" si="33"/>
        <v>Valid</v>
      </c>
      <c r="V367" t="str">
        <f t="shared" si="34"/>
        <v>Valid</v>
      </c>
      <c r="W367" t="str">
        <f t="shared" si="35"/>
        <v>Valid</v>
      </c>
    </row>
    <row r="368" spans="1:23">
      <c r="A368" t="s">
        <v>398</v>
      </c>
      <c r="B368" s="2">
        <v>45700</v>
      </c>
      <c r="C368" t="s">
        <v>17</v>
      </c>
      <c r="D368" t="s">
        <v>28</v>
      </c>
      <c r="E368" t="s">
        <v>24</v>
      </c>
      <c r="F368" t="s">
        <v>29</v>
      </c>
      <c r="G368" t="s">
        <v>26</v>
      </c>
      <c r="H368">
        <v>1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P368">
        <v>60.1</v>
      </c>
      <c r="R368" t="str">
        <f t="shared" si="30"/>
        <v>Unique</v>
      </c>
      <c r="S368" t="str">
        <f t="shared" si="31"/>
        <v>Valid</v>
      </c>
      <c r="T368" t="str">
        <f t="shared" si="32"/>
        <v>Valid</v>
      </c>
      <c r="U368" t="str">
        <f t="shared" si="33"/>
        <v>Valid</v>
      </c>
      <c r="V368" t="str">
        <f t="shared" si="34"/>
        <v>Valid</v>
      </c>
      <c r="W368" t="str">
        <f t="shared" si="35"/>
        <v>Valid</v>
      </c>
    </row>
    <row r="369" spans="1:23">
      <c r="A369" t="s">
        <v>399</v>
      </c>
      <c r="B369" s="2">
        <v>45713</v>
      </c>
      <c r="C369" t="s">
        <v>17</v>
      </c>
      <c r="D369" t="s">
        <v>32</v>
      </c>
      <c r="E369" t="s">
        <v>34</v>
      </c>
      <c r="F369" t="s">
        <v>25</v>
      </c>
      <c r="G369" t="s">
        <v>26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P369">
        <v>58</v>
      </c>
      <c r="R369" t="str">
        <f t="shared" si="30"/>
        <v>Unique</v>
      </c>
      <c r="S369" t="str">
        <f t="shared" si="31"/>
        <v>Valid</v>
      </c>
      <c r="T369" t="str">
        <f t="shared" si="32"/>
        <v>Valid</v>
      </c>
      <c r="U369" t="str">
        <f t="shared" si="33"/>
        <v>Valid</v>
      </c>
      <c r="V369" t="str">
        <f t="shared" si="34"/>
        <v>Valid</v>
      </c>
      <c r="W369" t="str">
        <f t="shared" si="35"/>
        <v>Valid</v>
      </c>
    </row>
    <row r="370" spans="1:23">
      <c r="A370" t="s">
        <v>400</v>
      </c>
      <c r="B370" s="2">
        <v>45761</v>
      </c>
      <c r="C370" t="s">
        <v>17</v>
      </c>
      <c r="D370" t="s">
        <v>32</v>
      </c>
      <c r="E370" t="s">
        <v>24</v>
      </c>
      <c r="F370" t="s">
        <v>39</v>
      </c>
      <c r="G370" t="s">
        <v>26</v>
      </c>
      <c r="H370">
        <v>1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P370">
        <v>69</v>
      </c>
      <c r="R370" t="str">
        <f t="shared" si="30"/>
        <v>Unique</v>
      </c>
      <c r="S370" t="str">
        <f t="shared" si="31"/>
        <v>Valid</v>
      </c>
      <c r="T370" t="str">
        <f t="shared" si="32"/>
        <v>Valid</v>
      </c>
      <c r="U370" t="str">
        <f t="shared" si="33"/>
        <v>Valid</v>
      </c>
      <c r="V370" t="str">
        <f t="shared" si="34"/>
        <v>Valid</v>
      </c>
      <c r="W370" t="str">
        <f t="shared" si="35"/>
        <v>Valid</v>
      </c>
    </row>
    <row r="371" spans="1:23">
      <c r="A371" t="s">
        <v>401</v>
      </c>
      <c r="B371" s="2">
        <v>45665</v>
      </c>
      <c r="C371" t="s">
        <v>17</v>
      </c>
      <c r="D371" t="s">
        <v>18</v>
      </c>
      <c r="E371" t="s">
        <v>24</v>
      </c>
      <c r="F371" t="s">
        <v>39</v>
      </c>
      <c r="G371" t="s">
        <v>30</v>
      </c>
      <c r="H371">
        <v>1</v>
      </c>
      <c r="I371">
        <v>1</v>
      </c>
      <c r="J371">
        <v>1</v>
      </c>
      <c r="K371">
        <v>0</v>
      </c>
      <c r="L371">
        <v>0</v>
      </c>
      <c r="M371">
        <v>1</v>
      </c>
      <c r="N371">
        <v>0</v>
      </c>
      <c r="P371">
        <v>80.8</v>
      </c>
      <c r="R371" t="str">
        <f t="shared" si="30"/>
        <v>Unique</v>
      </c>
      <c r="S371" t="str">
        <f t="shared" si="31"/>
        <v>Valid</v>
      </c>
      <c r="T371" t="str">
        <f t="shared" si="32"/>
        <v>Valid</v>
      </c>
      <c r="U371" t="str">
        <f t="shared" si="33"/>
        <v>Valid</v>
      </c>
      <c r="V371" t="str">
        <f t="shared" si="34"/>
        <v>Valid</v>
      </c>
      <c r="W371" t="str">
        <f t="shared" si="35"/>
        <v>Valid</v>
      </c>
    </row>
    <row r="372" spans="1:23">
      <c r="A372" t="s">
        <v>402</v>
      </c>
      <c r="B372" s="2">
        <v>45730</v>
      </c>
      <c r="C372" t="s">
        <v>17</v>
      </c>
      <c r="D372" t="s">
        <v>28</v>
      </c>
      <c r="E372" t="s">
        <v>24</v>
      </c>
      <c r="F372" t="s">
        <v>20</v>
      </c>
      <c r="G372" t="s">
        <v>26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P372">
        <v>32.799999999999997</v>
      </c>
      <c r="R372" t="str">
        <f t="shared" si="30"/>
        <v>Unique</v>
      </c>
      <c r="S372" t="str">
        <f t="shared" si="31"/>
        <v>Valid</v>
      </c>
      <c r="T372" t="str">
        <f t="shared" si="32"/>
        <v>Valid</v>
      </c>
      <c r="U372" t="str">
        <f t="shared" si="33"/>
        <v>Valid</v>
      </c>
      <c r="V372" t="str">
        <f t="shared" si="34"/>
        <v>Valid</v>
      </c>
      <c r="W372" t="str">
        <f t="shared" si="35"/>
        <v>Valid</v>
      </c>
    </row>
    <row r="373" spans="1:23">
      <c r="A373" t="s">
        <v>403</v>
      </c>
      <c r="B373" s="2">
        <v>45776</v>
      </c>
      <c r="C373" t="s">
        <v>17</v>
      </c>
      <c r="D373" t="s">
        <v>18</v>
      </c>
      <c r="E373" t="s">
        <v>19</v>
      </c>
      <c r="F373" t="s">
        <v>29</v>
      </c>
      <c r="G373" t="s">
        <v>30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P373">
        <v>56</v>
      </c>
      <c r="R373" t="str">
        <f t="shared" si="30"/>
        <v>Unique</v>
      </c>
      <c r="S373" t="str">
        <f t="shared" si="31"/>
        <v>Valid</v>
      </c>
      <c r="T373" t="str">
        <f t="shared" si="32"/>
        <v>Valid</v>
      </c>
      <c r="U373" t="str">
        <f t="shared" si="33"/>
        <v>Valid</v>
      </c>
      <c r="V373" t="str">
        <f t="shared" si="34"/>
        <v>Valid</v>
      </c>
      <c r="W373" t="str">
        <f t="shared" si="35"/>
        <v>Valid</v>
      </c>
    </row>
    <row r="374" spans="1:23">
      <c r="A374" t="s">
        <v>404</v>
      </c>
      <c r="B374" s="2">
        <v>45778</v>
      </c>
      <c r="C374" t="s">
        <v>17</v>
      </c>
      <c r="D374" t="s">
        <v>28</v>
      </c>
      <c r="E374" t="s">
        <v>19</v>
      </c>
      <c r="F374" t="s">
        <v>41</v>
      </c>
      <c r="G374" t="s">
        <v>26</v>
      </c>
      <c r="H374">
        <v>1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P374">
        <v>76.400000000000006</v>
      </c>
      <c r="R374" t="str">
        <f t="shared" si="30"/>
        <v>Unique</v>
      </c>
      <c r="S374" t="str">
        <f t="shared" si="31"/>
        <v>Valid</v>
      </c>
      <c r="T374" t="str">
        <f t="shared" si="32"/>
        <v>Valid</v>
      </c>
      <c r="U374" t="str">
        <f t="shared" si="33"/>
        <v>Valid</v>
      </c>
      <c r="V374" t="str">
        <f t="shared" si="34"/>
        <v>Valid</v>
      </c>
      <c r="W374" t="str">
        <f t="shared" si="35"/>
        <v>Valid</v>
      </c>
    </row>
    <row r="375" spans="1:23">
      <c r="A375" t="s">
        <v>405</v>
      </c>
      <c r="B375" s="2">
        <v>45735</v>
      </c>
      <c r="C375" t="s">
        <v>17</v>
      </c>
      <c r="D375" t="s">
        <v>18</v>
      </c>
      <c r="E375" t="s">
        <v>24</v>
      </c>
      <c r="F375" t="s">
        <v>39</v>
      </c>
      <c r="G375" t="s">
        <v>26</v>
      </c>
      <c r="H375">
        <v>1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P375">
        <v>28.5</v>
      </c>
      <c r="R375" t="str">
        <f t="shared" si="30"/>
        <v>Unique</v>
      </c>
      <c r="S375" t="str">
        <f t="shared" si="31"/>
        <v>Valid</v>
      </c>
      <c r="T375" t="str">
        <f t="shared" si="32"/>
        <v>Valid</v>
      </c>
      <c r="U375" t="str">
        <f t="shared" si="33"/>
        <v>Valid</v>
      </c>
      <c r="V375" t="str">
        <f t="shared" si="34"/>
        <v>Valid</v>
      </c>
      <c r="W375" t="str">
        <f t="shared" si="35"/>
        <v>Valid</v>
      </c>
    </row>
    <row r="376" spans="1:23">
      <c r="A376" t="s">
        <v>406</v>
      </c>
      <c r="B376" s="2">
        <v>45778</v>
      </c>
      <c r="C376" t="s">
        <v>17</v>
      </c>
      <c r="D376" t="s">
        <v>32</v>
      </c>
      <c r="E376" t="s">
        <v>19</v>
      </c>
      <c r="F376" t="s">
        <v>41</v>
      </c>
      <c r="G376" t="s">
        <v>21</v>
      </c>
      <c r="H376">
        <v>1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P376">
        <v>48.3</v>
      </c>
      <c r="R376" t="str">
        <f t="shared" si="30"/>
        <v>Unique</v>
      </c>
      <c r="S376" t="str">
        <f t="shared" si="31"/>
        <v>Valid</v>
      </c>
      <c r="T376" t="str">
        <f t="shared" si="32"/>
        <v>Valid</v>
      </c>
      <c r="U376" t="str">
        <f t="shared" si="33"/>
        <v>Valid</v>
      </c>
      <c r="V376" t="str">
        <f t="shared" si="34"/>
        <v>Valid</v>
      </c>
      <c r="W376" t="str">
        <f t="shared" si="35"/>
        <v>Valid</v>
      </c>
    </row>
    <row r="377" spans="1:23">
      <c r="A377" t="s">
        <v>407</v>
      </c>
      <c r="B377" s="2">
        <v>45730</v>
      </c>
      <c r="C377" t="s">
        <v>17</v>
      </c>
      <c r="D377" t="s">
        <v>23</v>
      </c>
      <c r="E377" t="s">
        <v>24</v>
      </c>
      <c r="F377" t="s">
        <v>25</v>
      </c>
      <c r="G377" t="s">
        <v>26</v>
      </c>
      <c r="H377">
        <v>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P377">
        <v>43.4</v>
      </c>
      <c r="R377" t="str">
        <f t="shared" si="30"/>
        <v>Unique</v>
      </c>
      <c r="S377" t="str">
        <f t="shared" si="31"/>
        <v>Valid</v>
      </c>
      <c r="T377" t="str">
        <f t="shared" si="32"/>
        <v>Valid</v>
      </c>
      <c r="U377" t="str">
        <f t="shared" si="33"/>
        <v>Valid</v>
      </c>
      <c r="V377" t="str">
        <f t="shared" si="34"/>
        <v>Valid</v>
      </c>
      <c r="W377" t="str">
        <f t="shared" si="35"/>
        <v>Valid</v>
      </c>
    </row>
    <row r="378" spans="1:23">
      <c r="A378" t="s">
        <v>408</v>
      </c>
      <c r="B378" s="2">
        <v>45739</v>
      </c>
      <c r="C378" t="s">
        <v>17</v>
      </c>
      <c r="D378" t="s">
        <v>18</v>
      </c>
      <c r="E378" t="s">
        <v>24</v>
      </c>
      <c r="F378" t="s">
        <v>29</v>
      </c>
      <c r="G378" t="s">
        <v>26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P378">
        <v>43</v>
      </c>
      <c r="R378" t="str">
        <f t="shared" si="30"/>
        <v>Unique</v>
      </c>
      <c r="S378" t="str">
        <f t="shared" si="31"/>
        <v>Valid</v>
      </c>
      <c r="T378" t="str">
        <f t="shared" si="32"/>
        <v>Valid</v>
      </c>
      <c r="U378" t="str">
        <f t="shared" si="33"/>
        <v>Valid</v>
      </c>
      <c r="V378" t="str">
        <f t="shared" si="34"/>
        <v>Valid</v>
      </c>
      <c r="W378" t="str">
        <f t="shared" si="35"/>
        <v>Valid</v>
      </c>
    </row>
    <row r="379" spans="1:23">
      <c r="A379" t="s">
        <v>409</v>
      </c>
      <c r="B379" s="2">
        <v>45696</v>
      </c>
      <c r="C379" t="s">
        <v>17</v>
      </c>
      <c r="D379" t="s">
        <v>28</v>
      </c>
      <c r="E379" t="s">
        <v>24</v>
      </c>
      <c r="F379" t="s">
        <v>39</v>
      </c>
      <c r="G379" t="s">
        <v>21</v>
      </c>
      <c r="H379">
        <v>1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P379">
        <v>91.8</v>
      </c>
      <c r="R379" t="str">
        <f t="shared" si="30"/>
        <v>Unique</v>
      </c>
      <c r="S379" t="str">
        <f t="shared" si="31"/>
        <v>Valid</v>
      </c>
      <c r="T379" t="str">
        <f t="shared" si="32"/>
        <v>Valid</v>
      </c>
      <c r="U379" t="str">
        <f t="shared" si="33"/>
        <v>Valid</v>
      </c>
      <c r="V379" t="str">
        <f t="shared" si="34"/>
        <v>Valid</v>
      </c>
      <c r="W379" t="str">
        <f t="shared" si="35"/>
        <v>Valid</v>
      </c>
    </row>
    <row r="380" spans="1:23">
      <c r="A380" t="s">
        <v>410</v>
      </c>
      <c r="B380" s="2">
        <v>45762</v>
      </c>
      <c r="C380" t="s">
        <v>17</v>
      </c>
      <c r="D380" t="s">
        <v>23</v>
      </c>
      <c r="E380" t="s">
        <v>34</v>
      </c>
      <c r="F380" t="s">
        <v>29</v>
      </c>
      <c r="G380" t="s">
        <v>21</v>
      </c>
      <c r="H380">
        <v>1</v>
      </c>
      <c r="I380">
        <v>0</v>
      </c>
      <c r="J380">
        <v>0</v>
      </c>
      <c r="K380">
        <v>0</v>
      </c>
      <c r="L380">
        <v>0</v>
      </c>
      <c r="M380">
        <v>1</v>
      </c>
      <c r="N380">
        <v>0</v>
      </c>
      <c r="P380">
        <v>69.3</v>
      </c>
      <c r="R380" t="str">
        <f t="shared" si="30"/>
        <v>Unique</v>
      </c>
      <c r="S380" t="str">
        <f t="shared" si="31"/>
        <v>Valid</v>
      </c>
      <c r="T380" t="str">
        <f t="shared" si="32"/>
        <v>Valid</v>
      </c>
      <c r="U380" t="str">
        <f t="shared" si="33"/>
        <v>Valid</v>
      </c>
      <c r="V380" t="str">
        <f t="shared" si="34"/>
        <v>Valid</v>
      </c>
      <c r="W380" t="str">
        <f t="shared" si="35"/>
        <v>Valid</v>
      </c>
    </row>
    <row r="381" spans="1:23">
      <c r="A381" t="s">
        <v>411</v>
      </c>
      <c r="B381" s="2">
        <v>45660</v>
      </c>
      <c r="C381" t="s">
        <v>17</v>
      </c>
      <c r="D381" t="s">
        <v>32</v>
      </c>
      <c r="E381" t="s">
        <v>19</v>
      </c>
      <c r="F381" t="s">
        <v>29</v>
      </c>
      <c r="G381" t="s">
        <v>21</v>
      </c>
      <c r="H381">
        <v>1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P381">
        <v>58.9</v>
      </c>
      <c r="R381" t="str">
        <f t="shared" si="30"/>
        <v>Unique</v>
      </c>
      <c r="S381" t="str">
        <f t="shared" si="31"/>
        <v>Valid</v>
      </c>
      <c r="T381" t="str">
        <f t="shared" si="32"/>
        <v>Valid</v>
      </c>
      <c r="U381" t="str">
        <f t="shared" si="33"/>
        <v>Valid</v>
      </c>
      <c r="V381" t="str">
        <f t="shared" si="34"/>
        <v>Valid</v>
      </c>
      <c r="W381" t="str">
        <f t="shared" si="35"/>
        <v>Valid</v>
      </c>
    </row>
    <row r="382" spans="1:23">
      <c r="A382" t="s">
        <v>412</v>
      </c>
      <c r="B382" s="2">
        <v>45739</v>
      </c>
      <c r="C382" t="s">
        <v>17</v>
      </c>
      <c r="D382" t="s">
        <v>23</v>
      </c>
      <c r="E382" t="s">
        <v>24</v>
      </c>
      <c r="F382" t="s">
        <v>41</v>
      </c>
      <c r="G382" t="s">
        <v>26</v>
      </c>
      <c r="H382">
        <v>1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P382">
        <v>76</v>
      </c>
      <c r="R382" t="str">
        <f t="shared" si="30"/>
        <v>Unique</v>
      </c>
      <c r="S382" t="str">
        <f t="shared" si="31"/>
        <v>Valid</v>
      </c>
      <c r="T382" t="str">
        <f t="shared" si="32"/>
        <v>Valid</v>
      </c>
      <c r="U382" t="str">
        <f t="shared" si="33"/>
        <v>Valid</v>
      </c>
      <c r="V382" t="str">
        <f t="shared" si="34"/>
        <v>Valid</v>
      </c>
      <c r="W382" t="str">
        <f t="shared" si="35"/>
        <v>Valid</v>
      </c>
    </row>
    <row r="383" spans="1:23">
      <c r="A383" t="s">
        <v>413</v>
      </c>
      <c r="B383" s="2">
        <v>45804</v>
      </c>
      <c r="C383" t="s">
        <v>17</v>
      </c>
      <c r="D383" t="s">
        <v>32</v>
      </c>
      <c r="E383" t="s">
        <v>24</v>
      </c>
      <c r="F383" t="s">
        <v>39</v>
      </c>
      <c r="G383" t="s">
        <v>30</v>
      </c>
      <c r="H383">
        <v>1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P383">
        <v>46</v>
      </c>
      <c r="R383" t="str">
        <f t="shared" si="30"/>
        <v>Unique</v>
      </c>
      <c r="S383" t="str">
        <f t="shared" si="31"/>
        <v>Valid</v>
      </c>
      <c r="T383" t="str">
        <f t="shared" si="32"/>
        <v>Valid</v>
      </c>
      <c r="U383" t="str">
        <f t="shared" si="33"/>
        <v>Valid</v>
      </c>
      <c r="V383" t="str">
        <f t="shared" si="34"/>
        <v>Valid</v>
      </c>
      <c r="W383" t="str">
        <f t="shared" si="35"/>
        <v>Valid</v>
      </c>
    </row>
    <row r="384" spans="1:23">
      <c r="A384" t="s">
        <v>414</v>
      </c>
      <c r="B384" s="2">
        <v>45777</v>
      </c>
      <c r="C384" t="s">
        <v>17</v>
      </c>
      <c r="D384" t="s">
        <v>28</v>
      </c>
      <c r="E384" t="s">
        <v>24</v>
      </c>
      <c r="F384" t="s">
        <v>25</v>
      </c>
      <c r="G384" t="s">
        <v>26</v>
      </c>
      <c r="H384">
        <v>1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P384">
        <v>54.1</v>
      </c>
      <c r="R384" t="str">
        <f t="shared" si="30"/>
        <v>Unique</v>
      </c>
      <c r="S384" t="str">
        <f t="shared" si="31"/>
        <v>Valid</v>
      </c>
      <c r="T384" t="str">
        <f t="shared" si="32"/>
        <v>Valid</v>
      </c>
      <c r="U384" t="str">
        <f t="shared" si="33"/>
        <v>Valid</v>
      </c>
      <c r="V384" t="str">
        <f t="shared" si="34"/>
        <v>Valid</v>
      </c>
      <c r="W384" t="str">
        <f t="shared" si="35"/>
        <v>Valid</v>
      </c>
    </row>
    <row r="385" spans="1:23">
      <c r="A385" t="s">
        <v>415</v>
      </c>
      <c r="B385" s="2">
        <v>45723</v>
      </c>
      <c r="C385" t="s">
        <v>17</v>
      </c>
      <c r="D385" t="s">
        <v>23</v>
      </c>
      <c r="E385" t="s">
        <v>24</v>
      </c>
      <c r="F385" t="s">
        <v>41</v>
      </c>
      <c r="G385" t="s">
        <v>21</v>
      </c>
      <c r="H385">
        <v>1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P385">
        <v>82.4</v>
      </c>
      <c r="R385" t="str">
        <f t="shared" si="30"/>
        <v>Unique</v>
      </c>
      <c r="S385" t="str">
        <f t="shared" si="31"/>
        <v>Valid</v>
      </c>
      <c r="T385" t="str">
        <f t="shared" si="32"/>
        <v>Valid</v>
      </c>
      <c r="U385" t="str">
        <f t="shared" si="33"/>
        <v>Valid</v>
      </c>
      <c r="V385" t="str">
        <f t="shared" si="34"/>
        <v>Valid</v>
      </c>
      <c r="W385" t="str">
        <f t="shared" si="35"/>
        <v>Valid</v>
      </c>
    </row>
    <row r="386" spans="1:23">
      <c r="A386" t="s">
        <v>416</v>
      </c>
      <c r="B386" s="2">
        <v>45787</v>
      </c>
      <c r="C386" t="s">
        <v>17</v>
      </c>
      <c r="D386" t="s">
        <v>32</v>
      </c>
      <c r="E386" t="s">
        <v>24</v>
      </c>
      <c r="F386" t="s">
        <v>25</v>
      </c>
      <c r="G386" t="s">
        <v>21</v>
      </c>
      <c r="H386">
        <v>1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P386">
        <v>71.900000000000006</v>
      </c>
      <c r="R386" t="str">
        <f t="shared" si="30"/>
        <v>Unique</v>
      </c>
      <c r="S386" t="str">
        <f t="shared" si="31"/>
        <v>Valid</v>
      </c>
      <c r="T386" t="str">
        <f t="shared" si="32"/>
        <v>Valid</v>
      </c>
      <c r="U386" t="str">
        <f t="shared" si="33"/>
        <v>Valid</v>
      </c>
      <c r="V386" t="str">
        <f t="shared" si="34"/>
        <v>Valid</v>
      </c>
      <c r="W386" t="str">
        <f t="shared" si="35"/>
        <v>Valid</v>
      </c>
    </row>
    <row r="387" spans="1:23">
      <c r="A387" t="s">
        <v>417</v>
      </c>
      <c r="B387" s="2">
        <v>45799</v>
      </c>
      <c r="C387" t="s">
        <v>17</v>
      </c>
      <c r="D387" t="s">
        <v>28</v>
      </c>
      <c r="E387" t="s">
        <v>24</v>
      </c>
      <c r="F387" t="s">
        <v>25</v>
      </c>
      <c r="G387" t="s">
        <v>26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2</v>
      </c>
      <c r="N387">
        <v>0</v>
      </c>
      <c r="P387">
        <v>38</v>
      </c>
      <c r="R387" t="str">
        <f t="shared" ref="R387:R450" si="36">IF(COUNTIF($A:$A,A387)&gt;1,"Duplicate","Unique")</f>
        <v>Unique</v>
      </c>
      <c r="S387" t="str">
        <f t="shared" ref="S387:S450" si="37">IF(OR(H387=0,H387=1),"Valid","Invalid")</f>
        <v>Valid</v>
      </c>
      <c r="T387" t="str">
        <f t="shared" ref="T387:T450" si="38">IF(OR(I387=0,I387=1),"Valid","Invalid")</f>
        <v>Valid</v>
      </c>
      <c r="U387" t="str">
        <f t="shared" ref="U387:U450" si="39">IF(OR(J387=0,J387=1),"Valid","Invalid")</f>
        <v>Valid</v>
      </c>
      <c r="V387" t="str">
        <f t="shared" ref="V387:V450" si="40">IF(OR(K387=0,K387=1),"Valid","Invalid")</f>
        <v>Valid</v>
      </c>
      <c r="W387" t="str">
        <f t="shared" ref="W387:W450" si="41">IF(OR(N387=0,N387=1),"Valid","Invalid")</f>
        <v>Valid</v>
      </c>
    </row>
    <row r="388" spans="1:23">
      <c r="A388" t="s">
        <v>418</v>
      </c>
      <c r="B388" s="2">
        <v>45697</v>
      </c>
      <c r="C388" t="s">
        <v>17</v>
      </c>
      <c r="D388" t="s">
        <v>28</v>
      </c>
      <c r="E388" t="s">
        <v>24</v>
      </c>
      <c r="F388" t="s">
        <v>29</v>
      </c>
      <c r="G388" t="s">
        <v>26</v>
      </c>
      <c r="H388">
        <v>1</v>
      </c>
      <c r="I388">
        <v>1</v>
      </c>
      <c r="J388">
        <v>0</v>
      </c>
      <c r="K388">
        <v>0</v>
      </c>
      <c r="L388">
        <v>0</v>
      </c>
      <c r="M388">
        <v>0</v>
      </c>
      <c r="N388">
        <v>0</v>
      </c>
      <c r="P388">
        <v>43.7</v>
      </c>
      <c r="R388" t="str">
        <f t="shared" si="36"/>
        <v>Unique</v>
      </c>
      <c r="S388" t="str">
        <f t="shared" si="37"/>
        <v>Valid</v>
      </c>
      <c r="T388" t="str">
        <f t="shared" si="38"/>
        <v>Valid</v>
      </c>
      <c r="U388" t="str">
        <f t="shared" si="39"/>
        <v>Valid</v>
      </c>
      <c r="V388" t="str">
        <f t="shared" si="40"/>
        <v>Valid</v>
      </c>
      <c r="W388" t="str">
        <f t="shared" si="41"/>
        <v>Valid</v>
      </c>
    </row>
    <row r="389" spans="1:23">
      <c r="A389" t="s">
        <v>419</v>
      </c>
      <c r="B389" s="2">
        <v>45807</v>
      </c>
      <c r="C389" t="s">
        <v>17</v>
      </c>
      <c r="D389" t="s">
        <v>23</v>
      </c>
      <c r="E389" t="s">
        <v>19</v>
      </c>
      <c r="F389" t="s">
        <v>25</v>
      </c>
      <c r="G389" t="s">
        <v>30</v>
      </c>
      <c r="H389">
        <v>1</v>
      </c>
      <c r="I389">
        <v>0</v>
      </c>
      <c r="J389">
        <v>0</v>
      </c>
      <c r="K389">
        <v>0</v>
      </c>
      <c r="L389">
        <v>0</v>
      </c>
      <c r="M389">
        <v>1</v>
      </c>
      <c r="N389">
        <v>0</v>
      </c>
      <c r="P389">
        <v>32.200000000000003</v>
      </c>
      <c r="R389" t="str">
        <f t="shared" si="36"/>
        <v>Unique</v>
      </c>
      <c r="S389" t="str">
        <f t="shared" si="37"/>
        <v>Valid</v>
      </c>
      <c r="T389" t="str">
        <f t="shared" si="38"/>
        <v>Valid</v>
      </c>
      <c r="U389" t="str">
        <f t="shared" si="39"/>
        <v>Valid</v>
      </c>
      <c r="V389" t="str">
        <f t="shared" si="40"/>
        <v>Valid</v>
      </c>
      <c r="W389" t="str">
        <f t="shared" si="41"/>
        <v>Valid</v>
      </c>
    </row>
    <row r="390" spans="1:23">
      <c r="A390" t="s">
        <v>420</v>
      </c>
      <c r="B390" s="2">
        <v>45778</v>
      </c>
      <c r="C390" t="s">
        <v>17</v>
      </c>
      <c r="D390" t="s">
        <v>32</v>
      </c>
      <c r="E390" t="s">
        <v>24</v>
      </c>
      <c r="F390" t="s">
        <v>25</v>
      </c>
      <c r="G390" t="s">
        <v>30</v>
      </c>
      <c r="H390">
        <v>1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P390">
        <v>61</v>
      </c>
      <c r="R390" t="str">
        <f t="shared" si="36"/>
        <v>Unique</v>
      </c>
      <c r="S390" t="str">
        <f t="shared" si="37"/>
        <v>Valid</v>
      </c>
      <c r="T390" t="str">
        <f t="shared" si="38"/>
        <v>Valid</v>
      </c>
      <c r="U390" t="str">
        <f t="shared" si="39"/>
        <v>Valid</v>
      </c>
      <c r="V390" t="str">
        <f t="shared" si="40"/>
        <v>Valid</v>
      </c>
      <c r="W390" t="str">
        <f t="shared" si="41"/>
        <v>Valid</v>
      </c>
    </row>
    <row r="391" spans="1:23">
      <c r="A391" t="s">
        <v>421</v>
      </c>
      <c r="B391" s="2">
        <v>45660</v>
      </c>
      <c r="C391" t="s">
        <v>17</v>
      </c>
      <c r="D391" t="s">
        <v>32</v>
      </c>
      <c r="E391" t="s">
        <v>24</v>
      </c>
      <c r="F391" t="s">
        <v>29</v>
      </c>
      <c r="G391" t="s">
        <v>26</v>
      </c>
      <c r="H391">
        <v>1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P391">
        <v>49</v>
      </c>
      <c r="R391" t="str">
        <f t="shared" si="36"/>
        <v>Unique</v>
      </c>
      <c r="S391" t="str">
        <f t="shared" si="37"/>
        <v>Valid</v>
      </c>
      <c r="T391" t="str">
        <f t="shared" si="38"/>
        <v>Valid</v>
      </c>
      <c r="U391" t="str">
        <f t="shared" si="39"/>
        <v>Valid</v>
      </c>
      <c r="V391" t="str">
        <f t="shared" si="40"/>
        <v>Valid</v>
      </c>
      <c r="W391" t="str">
        <f t="shared" si="41"/>
        <v>Valid</v>
      </c>
    </row>
    <row r="392" spans="1:23">
      <c r="A392" t="s">
        <v>422</v>
      </c>
      <c r="B392" s="2">
        <v>45701</v>
      </c>
      <c r="C392" t="s">
        <v>17</v>
      </c>
      <c r="D392" t="s">
        <v>28</v>
      </c>
      <c r="E392" t="s">
        <v>24</v>
      </c>
      <c r="F392" t="s">
        <v>25</v>
      </c>
      <c r="G392" t="s">
        <v>26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P392">
        <v>48.1</v>
      </c>
      <c r="R392" t="str">
        <f t="shared" si="36"/>
        <v>Unique</v>
      </c>
      <c r="S392" t="str">
        <f t="shared" si="37"/>
        <v>Valid</v>
      </c>
      <c r="T392" t="str">
        <f t="shared" si="38"/>
        <v>Valid</v>
      </c>
      <c r="U392" t="str">
        <f t="shared" si="39"/>
        <v>Valid</v>
      </c>
      <c r="V392" t="str">
        <f t="shared" si="40"/>
        <v>Valid</v>
      </c>
      <c r="W392" t="str">
        <f t="shared" si="41"/>
        <v>Valid</v>
      </c>
    </row>
    <row r="393" spans="1:23">
      <c r="A393" t="s">
        <v>423</v>
      </c>
      <c r="B393" s="2">
        <v>45671</v>
      </c>
      <c r="C393" t="s">
        <v>17</v>
      </c>
      <c r="D393" t="s">
        <v>32</v>
      </c>
      <c r="E393" t="s">
        <v>19</v>
      </c>
      <c r="F393" t="s">
        <v>25</v>
      </c>
      <c r="G393" t="s">
        <v>26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2</v>
      </c>
      <c r="N393">
        <v>0</v>
      </c>
      <c r="P393">
        <v>46.3</v>
      </c>
      <c r="R393" t="str">
        <f t="shared" si="36"/>
        <v>Unique</v>
      </c>
      <c r="S393" t="str">
        <f t="shared" si="37"/>
        <v>Valid</v>
      </c>
      <c r="T393" t="str">
        <f t="shared" si="38"/>
        <v>Valid</v>
      </c>
      <c r="U393" t="str">
        <f t="shared" si="39"/>
        <v>Valid</v>
      </c>
      <c r="V393" t="str">
        <f t="shared" si="40"/>
        <v>Valid</v>
      </c>
      <c r="W393" t="str">
        <f t="shared" si="41"/>
        <v>Valid</v>
      </c>
    </row>
    <row r="394" spans="1:23">
      <c r="A394" t="s">
        <v>424</v>
      </c>
      <c r="B394" s="2">
        <v>45712</v>
      </c>
      <c r="C394" t="s">
        <v>17</v>
      </c>
      <c r="D394" t="s">
        <v>18</v>
      </c>
      <c r="E394" t="s">
        <v>24</v>
      </c>
      <c r="F394" t="s">
        <v>39</v>
      </c>
      <c r="G394" t="s">
        <v>26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P394">
        <v>64</v>
      </c>
      <c r="R394" t="str">
        <f t="shared" si="36"/>
        <v>Unique</v>
      </c>
      <c r="S394" t="str">
        <f t="shared" si="37"/>
        <v>Valid</v>
      </c>
      <c r="T394" t="str">
        <f t="shared" si="38"/>
        <v>Valid</v>
      </c>
      <c r="U394" t="str">
        <f t="shared" si="39"/>
        <v>Valid</v>
      </c>
      <c r="V394" t="str">
        <f t="shared" si="40"/>
        <v>Valid</v>
      </c>
      <c r="W394" t="str">
        <f t="shared" si="41"/>
        <v>Valid</v>
      </c>
    </row>
    <row r="395" spans="1:23">
      <c r="A395" t="s">
        <v>425</v>
      </c>
      <c r="B395" s="2">
        <v>45793</v>
      </c>
      <c r="C395" t="s">
        <v>17</v>
      </c>
      <c r="D395" t="s">
        <v>23</v>
      </c>
      <c r="E395" t="s">
        <v>19</v>
      </c>
      <c r="F395" t="s">
        <v>25</v>
      </c>
      <c r="G395" t="s">
        <v>21</v>
      </c>
      <c r="H395">
        <v>1</v>
      </c>
      <c r="I395">
        <v>1</v>
      </c>
      <c r="J395">
        <v>0</v>
      </c>
      <c r="K395">
        <v>0</v>
      </c>
      <c r="L395">
        <v>0</v>
      </c>
      <c r="M395">
        <v>0</v>
      </c>
      <c r="N395">
        <v>0</v>
      </c>
      <c r="P395">
        <v>56.2</v>
      </c>
      <c r="R395" t="str">
        <f t="shared" si="36"/>
        <v>Unique</v>
      </c>
      <c r="S395" t="str">
        <f t="shared" si="37"/>
        <v>Valid</v>
      </c>
      <c r="T395" t="str">
        <f t="shared" si="38"/>
        <v>Valid</v>
      </c>
      <c r="U395" t="str">
        <f t="shared" si="39"/>
        <v>Valid</v>
      </c>
      <c r="V395" t="str">
        <f t="shared" si="40"/>
        <v>Valid</v>
      </c>
      <c r="W395" t="str">
        <f t="shared" si="41"/>
        <v>Valid</v>
      </c>
    </row>
    <row r="396" spans="1:23">
      <c r="A396" t="s">
        <v>426</v>
      </c>
      <c r="B396" s="2">
        <v>45776</v>
      </c>
      <c r="C396" t="s">
        <v>17</v>
      </c>
      <c r="D396" t="s">
        <v>18</v>
      </c>
      <c r="E396" t="s">
        <v>24</v>
      </c>
      <c r="F396" t="s">
        <v>29</v>
      </c>
      <c r="G396" t="s">
        <v>26</v>
      </c>
      <c r="H396">
        <v>1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P396">
        <v>77.5</v>
      </c>
      <c r="R396" t="str">
        <f t="shared" si="36"/>
        <v>Unique</v>
      </c>
      <c r="S396" t="str">
        <f t="shared" si="37"/>
        <v>Valid</v>
      </c>
      <c r="T396" t="str">
        <f t="shared" si="38"/>
        <v>Valid</v>
      </c>
      <c r="U396" t="str">
        <f t="shared" si="39"/>
        <v>Valid</v>
      </c>
      <c r="V396" t="str">
        <f t="shared" si="40"/>
        <v>Valid</v>
      </c>
      <c r="W396" t="str">
        <f t="shared" si="41"/>
        <v>Valid</v>
      </c>
    </row>
    <row r="397" spans="1:23">
      <c r="A397" t="s">
        <v>427</v>
      </c>
      <c r="B397" s="2">
        <v>45777</v>
      </c>
      <c r="C397" t="s">
        <v>17</v>
      </c>
      <c r="D397" t="s">
        <v>32</v>
      </c>
      <c r="E397" t="s">
        <v>19</v>
      </c>
      <c r="F397" t="s">
        <v>20</v>
      </c>
      <c r="G397" t="s">
        <v>21</v>
      </c>
      <c r="H397">
        <v>1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P397">
        <v>59.9</v>
      </c>
      <c r="R397" t="str">
        <f t="shared" si="36"/>
        <v>Unique</v>
      </c>
      <c r="S397" t="str">
        <f t="shared" si="37"/>
        <v>Valid</v>
      </c>
      <c r="T397" t="str">
        <f t="shared" si="38"/>
        <v>Valid</v>
      </c>
      <c r="U397" t="str">
        <f t="shared" si="39"/>
        <v>Valid</v>
      </c>
      <c r="V397" t="str">
        <f t="shared" si="40"/>
        <v>Valid</v>
      </c>
      <c r="W397" t="str">
        <f t="shared" si="41"/>
        <v>Valid</v>
      </c>
    </row>
    <row r="398" spans="1:23">
      <c r="A398" t="s">
        <v>428</v>
      </c>
      <c r="B398" s="2">
        <v>45666</v>
      </c>
      <c r="C398" t="s">
        <v>17</v>
      </c>
      <c r="D398" t="s">
        <v>32</v>
      </c>
      <c r="E398" t="s">
        <v>19</v>
      </c>
      <c r="F398" t="s">
        <v>25</v>
      </c>
      <c r="G398" t="s">
        <v>26</v>
      </c>
      <c r="H398">
        <v>1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P398">
        <v>63</v>
      </c>
      <c r="R398" t="str">
        <f t="shared" si="36"/>
        <v>Unique</v>
      </c>
      <c r="S398" t="str">
        <f t="shared" si="37"/>
        <v>Valid</v>
      </c>
      <c r="T398" t="str">
        <f t="shared" si="38"/>
        <v>Valid</v>
      </c>
      <c r="U398" t="str">
        <f t="shared" si="39"/>
        <v>Valid</v>
      </c>
      <c r="V398" t="str">
        <f t="shared" si="40"/>
        <v>Valid</v>
      </c>
      <c r="W398" t="str">
        <f t="shared" si="41"/>
        <v>Valid</v>
      </c>
    </row>
    <row r="399" spans="1:23">
      <c r="A399" t="s">
        <v>429</v>
      </c>
      <c r="B399" s="2">
        <v>45772</v>
      </c>
      <c r="C399" t="s">
        <v>17</v>
      </c>
      <c r="D399" t="s">
        <v>32</v>
      </c>
      <c r="E399" t="s">
        <v>24</v>
      </c>
      <c r="F399" t="s">
        <v>25</v>
      </c>
      <c r="G399" t="s">
        <v>26</v>
      </c>
      <c r="H399">
        <v>1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  <c r="P399">
        <v>76.5</v>
      </c>
      <c r="R399" t="str">
        <f t="shared" si="36"/>
        <v>Unique</v>
      </c>
      <c r="S399" t="str">
        <f t="shared" si="37"/>
        <v>Valid</v>
      </c>
      <c r="T399" t="str">
        <f t="shared" si="38"/>
        <v>Valid</v>
      </c>
      <c r="U399" t="str">
        <f t="shared" si="39"/>
        <v>Valid</v>
      </c>
      <c r="V399" t="str">
        <f t="shared" si="40"/>
        <v>Valid</v>
      </c>
      <c r="W399" t="str">
        <f t="shared" si="41"/>
        <v>Valid</v>
      </c>
    </row>
    <row r="400" spans="1:23">
      <c r="A400" t="s">
        <v>430</v>
      </c>
      <c r="B400" s="2">
        <v>45728</v>
      </c>
      <c r="C400" t="s">
        <v>17</v>
      </c>
      <c r="D400" t="s">
        <v>18</v>
      </c>
      <c r="E400" t="s">
        <v>19</v>
      </c>
      <c r="F400" t="s">
        <v>29</v>
      </c>
      <c r="G400" t="s">
        <v>26</v>
      </c>
      <c r="H400">
        <v>1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P400">
        <v>39.700000000000003</v>
      </c>
      <c r="R400" t="str">
        <f t="shared" si="36"/>
        <v>Unique</v>
      </c>
      <c r="S400" t="str">
        <f t="shared" si="37"/>
        <v>Valid</v>
      </c>
      <c r="T400" t="str">
        <f t="shared" si="38"/>
        <v>Valid</v>
      </c>
      <c r="U400" t="str">
        <f t="shared" si="39"/>
        <v>Valid</v>
      </c>
      <c r="V400" t="str">
        <f t="shared" si="40"/>
        <v>Valid</v>
      </c>
      <c r="W400" t="str">
        <f t="shared" si="41"/>
        <v>Valid</v>
      </c>
    </row>
    <row r="401" spans="1:23">
      <c r="A401" t="s">
        <v>431</v>
      </c>
      <c r="B401" s="2">
        <v>45736</v>
      </c>
      <c r="C401" t="s">
        <v>17</v>
      </c>
      <c r="D401" t="s">
        <v>18</v>
      </c>
      <c r="E401" t="s">
        <v>24</v>
      </c>
      <c r="F401" t="s">
        <v>25</v>
      </c>
      <c r="G401" t="s">
        <v>26</v>
      </c>
      <c r="H401">
        <v>1</v>
      </c>
      <c r="I401">
        <v>1</v>
      </c>
      <c r="J401">
        <v>0</v>
      </c>
      <c r="K401">
        <v>0</v>
      </c>
      <c r="L401">
        <v>0</v>
      </c>
      <c r="M401">
        <v>0</v>
      </c>
      <c r="N401">
        <v>0</v>
      </c>
      <c r="P401">
        <v>80.2</v>
      </c>
      <c r="R401" t="str">
        <f t="shared" si="36"/>
        <v>Unique</v>
      </c>
      <c r="S401" t="str">
        <f t="shared" si="37"/>
        <v>Valid</v>
      </c>
      <c r="T401" t="str">
        <f t="shared" si="38"/>
        <v>Valid</v>
      </c>
      <c r="U401" t="str">
        <f t="shared" si="39"/>
        <v>Valid</v>
      </c>
      <c r="V401" t="str">
        <f t="shared" si="40"/>
        <v>Valid</v>
      </c>
      <c r="W401" t="str">
        <f t="shared" si="41"/>
        <v>Valid</v>
      </c>
    </row>
    <row r="402" spans="1:23">
      <c r="A402" t="s">
        <v>432</v>
      </c>
      <c r="B402" s="2">
        <v>45706</v>
      </c>
      <c r="C402" t="s">
        <v>17</v>
      </c>
      <c r="D402" t="s">
        <v>23</v>
      </c>
      <c r="E402" t="s">
        <v>24</v>
      </c>
      <c r="F402" t="s">
        <v>29</v>
      </c>
      <c r="G402" t="s">
        <v>26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P402">
        <v>72.2</v>
      </c>
      <c r="R402" t="str">
        <f t="shared" si="36"/>
        <v>Unique</v>
      </c>
      <c r="S402" t="str">
        <f t="shared" si="37"/>
        <v>Valid</v>
      </c>
      <c r="T402" t="str">
        <f t="shared" si="38"/>
        <v>Valid</v>
      </c>
      <c r="U402" t="str">
        <f t="shared" si="39"/>
        <v>Valid</v>
      </c>
      <c r="V402" t="str">
        <f t="shared" si="40"/>
        <v>Valid</v>
      </c>
      <c r="W402" t="str">
        <f t="shared" si="41"/>
        <v>Valid</v>
      </c>
    </row>
    <row r="403" spans="1:23">
      <c r="A403" t="s">
        <v>433</v>
      </c>
      <c r="B403" s="2">
        <v>45679</v>
      </c>
      <c r="C403" t="s">
        <v>17</v>
      </c>
      <c r="D403" t="s">
        <v>18</v>
      </c>
      <c r="E403" t="s">
        <v>24</v>
      </c>
      <c r="F403" t="s">
        <v>41</v>
      </c>
      <c r="G403" t="s">
        <v>21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P403">
        <v>56</v>
      </c>
      <c r="R403" t="str">
        <f t="shared" si="36"/>
        <v>Unique</v>
      </c>
      <c r="S403" t="str">
        <f t="shared" si="37"/>
        <v>Valid</v>
      </c>
      <c r="T403" t="str">
        <f t="shared" si="38"/>
        <v>Valid</v>
      </c>
      <c r="U403" t="str">
        <f t="shared" si="39"/>
        <v>Valid</v>
      </c>
      <c r="V403" t="str">
        <f t="shared" si="40"/>
        <v>Valid</v>
      </c>
      <c r="W403" t="str">
        <f t="shared" si="41"/>
        <v>Valid</v>
      </c>
    </row>
    <row r="404" spans="1:23">
      <c r="A404" t="s">
        <v>434</v>
      </c>
      <c r="B404" s="2">
        <v>45696</v>
      </c>
      <c r="C404" t="s">
        <v>17</v>
      </c>
      <c r="D404" t="s">
        <v>23</v>
      </c>
      <c r="E404" t="s">
        <v>24</v>
      </c>
      <c r="F404" t="s">
        <v>20</v>
      </c>
      <c r="G404" t="s">
        <v>21</v>
      </c>
      <c r="H404">
        <v>1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P404">
        <v>69.099999999999994</v>
      </c>
      <c r="R404" t="str">
        <f t="shared" si="36"/>
        <v>Unique</v>
      </c>
      <c r="S404" t="str">
        <f t="shared" si="37"/>
        <v>Valid</v>
      </c>
      <c r="T404" t="str">
        <f t="shared" si="38"/>
        <v>Valid</v>
      </c>
      <c r="U404" t="str">
        <f t="shared" si="39"/>
        <v>Valid</v>
      </c>
      <c r="V404" t="str">
        <f t="shared" si="40"/>
        <v>Valid</v>
      </c>
      <c r="W404" t="str">
        <f t="shared" si="41"/>
        <v>Valid</v>
      </c>
    </row>
    <row r="405" spans="1:23">
      <c r="A405" t="s">
        <v>435</v>
      </c>
      <c r="B405" s="2">
        <v>45677</v>
      </c>
      <c r="C405" t="s">
        <v>17</v>
      </c>
      <c r="D405" t="s">
        <v>18</v>
      </c>
      <c r="E405" t="s">
        <v>24</v>
      </c>
      <c r="F405" t="s">
        <v>20</v>
      </c>
      <c r="G405" t="s">
        <v>30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1</v>
      </c>
      <c r="N405">
        <v>0</v>
      </c>
      <c r="P405">
        <v>70.599999999999994</v>
      </c>
      <c r="R405" t="str">
        <f t="shared" si="36"/>
        <v>Unique</v>
      </c>
      <c r="S405" t="str">
        <f t="shared" si="37"/>
        <v>Valid</v>
      </c>
      <c r="T405" t="str">
        <f t="shared" si="38"/>
        <v>Valid</v>
      </c>
      <c r="U405" t="str">
        <f t="shared" si="39"/>
        <v>Valid</v>
      </c>
      <c r="V405" t="str">
        <f t="shared" si="40"/>
        <v>Valid</v>
      </c>
      <c r="W405" t="str">
        <f t="shared" si="41"/>
        <v>Valid</v>
      </c>
    </row>
    <row r="406" spans="1:23">
      <c r="A406" t="s">
        <v>436</v>
      </c>
      <c r="B406" s="2">
        <v>45769</v>
      </c>
      <c r="C406" t="s">
        <v>17</v>
      </c>
      <c r="D406" t="s">
        <v>23</v>
      </c>
      <c r="E406" t="s">
        <v>19</v>
      </c>
      <c r="F406" t="s">
        <v>39</v>
      </c>
      <c r="G406" t="s">
        <v>26</v>
      </c>
      <c r="H406">
        <v>1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P406">
        <v>57.9</v>
      </c>
      <c r="R406" t="str">
        <f t="shared" si="36"/>
        <v>Unique</v>
      </c>
      <c r="S406" t="str">
        <f t="shared" si="37"/>
        <v>Valid</v>
      </c>
      <c r="T406" t="str">
        <f t="shared" si="38"/>
        <v>Valid</v>
      </c>
      <c r="U406" t="str">
        <f t="shared" si="39"/>
        <v>Valid</v>
      </c>
      <c r="V406" t="str">
        <f t="shared" si="40"/>
        <v>Valid</v>
      </c>
      <c r="W406" t="str">
        <f t="shared" si="41"/>
        <v>Valid</v>
      </c>
    </row>
    <row r="407" spans="1:23">
      <c r="A407" t="s">
        <v>437</v>
      </c>
      <c r="B407" s="2">
        <v>45679</v>
      </c>
      <c r="C407" t="s">
        <v>17</v>
      </c>
      <c r="D407" t="s">
        <v>28</v>
      </c>
      <c r="E407" t="s">
        <v>24</v>
      </c>
      <c r="F407" t="s">
        <v>25</v>
      </c>
      <c r="G407" t="s">
        <v>21</v>
      </c>
      <c r="H407">
        <v>1</v>
      </c>
      <c r="I407">
        <v>1</v>
      </c>
      <c r="J407">
        <v>0</v>
      </c>
      <c r="K407">
        <v>0</v>
      </c>
      <c r="L407">
        <v>0</v>
      </c>
      <c r="M407">
        <v>0</v>
      </c>
      <c r="N407">
        <v>0</v>
      </c>
      <c r="P407">
        <v>41.4</v>
      </c>
      <c r="R407" t="str">
        <f t="shared" si="36"/>
        <v>Unique</v>
      </c>
      <c r="S407" t="str">
        <f t="shared" si="37"/>
        <v>Valid</v>
      </c>
      <c r="T407" t="str">
        <f t="shared" si="38"/>
        <v>Valid</v>
      </c>
      <c r="U407" t="str">
        <f t="shared" si="39"/>
        <v>Valid</v>
      </c>
      <c r="V407" t="str">
        <f t="shared" si="40"/>
        <v>Valid</v>
      </c>
      <c r="W407" t="str">
        <f t="shared" si="41"/>
        <v>Valid</v>
      </c>
    </row>
    <row r="408" spans="1:23">
      <c r="A408" t="s">
        <v>438</v>
      </c>
      <c r="B408" s="2">
        <v>45788</v>
      </c>
      <c r="C408" t="s">
        <v>17</v>
      </c>
      <c r="D408" t="s">
        <v>23</v>
      </c>
      <c r="E408" t="s">
        <v>24</v>
      </c>
      <c r="F408" t="s">
        <v>25</v>
      </c>
      <c r="G408" t="s">
        <v>21</v>
      </c>
      <c r="H408">
        <v>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P408">
        <v>60.9</v>
      </c>
      <c r="R408" t="str">
        <f t="shared" si="36"/>
        <v>Unique</v>
      </c>
      <c r="S408" t="str">
        <f t="shared" si="37"/>
        <v>Valid</v>
      </c>
      <c r="T408" t="str">
        <f t="shared" si="38"/>
        <v>Valid</v>
      </c>
      <c r="U408" t="str">
        <f t="shared" si="39"/>
        <v>Valid</v>
      </c>
      <c r="V408" t="str">
        <f t="shared" si="40"/>
        <v>Valid</v>
      </c>
      <c r="W408" t="str">
        <f t="shared" si="41"/>
        <v>Valid</v>
      </c>
    </row>
    <row r="409" spans="1:23">
      <c r="A409" t="s">
        <v>439</v>
      </c>
      <c r="B409" s="2">
        <v>45694</v>
      </c>
      <c r="C409" t="s">
        <v>17</v>
      </c>
      <c r="D409" t="s">
        <v>32</v>
      </c>
      <c r="E409" t="s">
        <v>24</v>
      </c>
      <c r="F409" t="s">
        <v>25</v>
      </c>
      <c r="G409" t="s">
        <v>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1</v>
      </c>
      <c r="N409">
        <v>0</v>
      </c>
      <c r="P409">
        <v>63.8</v>
      </c>
      <c r="R409" t="str">
        <f t="shared" si="36"/>
        <v>Unique</v>
      </c>
      <c r="S409" t="str">
        <f t="shared" si="37"/>
        <v>Valid</v>
      </c>
      <c r="T409" t="str">
        <f t="shared" si="38"/>
        <v>Valid</v>
      </c>
      <c r="U409" t="str">
        <f t="shared" si="39"/>
        <v>Valid</v>
      </c>
      <c r="V409" t="str">
        <f t="shared" si="40"/>
        <v>Valid</v>
      </c>
      <c r="W409" t="str">
        <f t="shared" si="41"/>
        <v>Valid</v>
      </c>
    </row>
    <row r="410" spans="1:23">
      <c r="A410" t="s">
        <v>440</v>
      </c>
      <c r="B410" s="2">
        <v>45709</v>
      </c>
      <c r="C410" t="s">
        <v>17</v>
      </c>
      <c r="D410" t="s">
        <v>18</v>
      </c>
      <c r="E410" t="s">
        <v>19</v>
      </c>
      <c r="F410" t="s">
        <v>25</v>
      </c>
      <c r="G410" t="s">
        <v>30</v>
      </c>
      <c r="H410">
        <v>1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P410">
        <v>79.2</v>
      </c>
      <c r="R410" t="str">
        <f t="shared" si="36"/>
        <v>Unique</v>
      </c>
      <c r="S410" t="str">
        <f t="shared" si="37"/>
        <v>Valid</v>
      </c>
      <c r="T410" t="str">
        <f t="shared" si="38"/>
        <v>Valid</v>
      </c>
      <c r="U410" t="str">
        <f t="shared" si="39"/>
        <v>Valid</v>
      </c>
      <c r="V410" t="str">
        <f t="shared" si="40"/>
        <v>Valid</v>
      </c>
      <c r="W410" t="str">
        <f t="shared" si="41"/>
        <v>Valid</v>
      </c>
    </row>
    <row r="411" spans="1:23">
      <c r="A411" t="s">
        <v>441</v>
      </c>
      <c r="B411" s="2">
        <v>45670</v>
      </c>
      <c r="C411" t="s">
        <v>17</v>
      </c>
      <c r="D411" t="s">
        <v>23</v>
      </c>
      <c r="E411" t="s">
        <v>24</v>
      </c>
      <c r="F411" t="s">
        <v>20</v>
      </c>
      <c r="G411" t="s">
        <v>30</v>
      </c>
      <c r="H411">
        <v>1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P411">
        <v>53.3</v>
      </c>
      <c r="R411" t="str">
        <f t="shared" si="36"/>
        <v>Unique</v>
      </c>
      <c r="S411" t="str">
        <f t="shared" si="37"/>
        <v>Valid</v>
      </c>
      <c r="T411" t="str">
        <f t="shared" si="38"/>
        <v>Valid</v>
      </c>
      <c r="U411" t="str">
        <f t="shared" si="39"/>
        <v>Valid</v>
      </c>
      <c r="V411" t="str">
        <f t="shared" si="40"/>
        <v>Valid</v>
      </c>
      <c r="W411" t="str">
        <f t="shared" si="41"/>
        <v>Valid</v>
      </c>
    </row>
    <row r="412" spans="1:23">
      <c r="A412" t="s">
        <v>442</v>
      </c>
      <c r="B412" s="2">
        <v>45723</v>
      </c>
      <c r="C412" t="s">
        <v>17</v>
      </c>
      <c r="D412" t="s">
        <v>18</v>
      </c>
      <c r="E412" t="s">
        <v>24</v>
      </c>
      <c r="F412" t="s">
        <v>39</v>
      </c>
      <c r="G412" t="s">
        <v>30</v>
      </c>
      <c r="H412">
        <v>1</v>
      </c>
      <c r="I412">
        <v>1</v>
      </c>
      <c r="J412">
        <v>1</v>
      </c>
      <c r="K412">
        <v>1</v>
      </c>
      <c r="L412">
        <v>2144.8200000000002</v>
      </c>
      <c r="M412">
        <v>0</v>
      </c>
      <c r="N412">
        <v>0</v>
      </c>
      <c r="O412">
        <v>6</v>
      </c>
      <c r="P412">
        <v>52.3</v>
      </c>
      <c r="R412" t="str">
        <f t="shared" si="36"/>
        <v>Unique</v>
      </c>
      <c r="S412" t="str">
        <f t="shared" si="37"/>
        <v>Valid</v>
      </c>
      <c r="T412" t="str">
        <f t="shared" si="38"/>
        <v>Valid</v>
      </c>
      <c r="U412" t="str">
        <f t="shared" si="39"/>
        <v>Valid</v>
      </c>
      <c r="V412" t="str">
        <f t="shared" si="40"/>
        <v>Valid</v>
      </c>
      <c r="W412" t="str">
        <f t="shared" si="41"/>
        <v>Valid</v>
      </c>
    </row>
    <row r="413" spans="1:23">
      <c r="A413" t="s">
        <v>443</v>
      </c>
      <c r="B413" s="2">
        <v>45714</v>
      </c>
      <c r="C413" t="s">
        <v>17</v>
      </c>
      <c r="D413" t="s">
        <v>23</v>
      </c>
      <c r="E413" t="s">
        <v>19</v>
      </c>
      <c r="F413" t="s">
        <v>25</v>
      </c>
      <c r="G413" t="s">
        <v>21</v>
      </c>
      <c r="H413">
        <v>1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P413">
        <v>62.4</v>
      </c>
      <c r="R413" t="str">
        <f t="shared" si="36"/>
        <v>Unique</v>
      </c>
      <c r="S413" t="str">
        <f t="shared" si="37"/>
        <v>Valid</v>
      </c>
      <c r="T413" t="str">
        <f t="shared" si="38"/>
        <v>Valid</v>
      </c>
      <c r="U413" t="str">
        <f t="shared" si="39"/>
        <v>Valid</v>
      </c>
      <c r="V413" t="str">
        <f t="shared" si="40"/>
        <v>Valid</v>
      </c>
      <c r="W413" t="str">
        <f t="shared" si="41"/>
        <v>Valid</v>
      </c>
    </row>
    <row r="414" spans="1:23">
      <c r="A414" t="s">
        <v>444</v>
      </c>
      <c r="B414" s="2">
        <v>45782</v>
      </c>
      <c r="C414" t="s">
        <v>17</v>
      </c>
      <c r="D414" t="s">
        <v>18</v>
      </c>
      <c r="E414" t="s">
        <v>24</v>
      </c>
      <c r="F414" t="s">
        <v>39</v>
      </c>
      <c r="G414" t="s">
        <v>30</v>
      </c>
      <c r="H414">
        <v>1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P414">
        <v>45.5</v>
      </c>
      <c r="R414" t="str">
        <f t="shared" si="36"/>
        <v>Unique</v>
      </c>
      <c r="S414" t="str">
        <f t="shared" si="37"/>
        <v>Valid</v>
      </c>
      <c r="T414" t="str">
        <f t="shared" si="38"/>
        <v>Valid</v>
      </c>
      <c r="U414" t="str">
        <f t="shared" si="39"/>
        <v>Valid</v>
      </c>
      <c r="V414" t="str">
        <f t="shared" si="40"/>
        <v>Valid</v>
      </c>
      <c r="W414" t="str">
        <f t="shared" si="41"/>
        <v>Valid</v>
      </c>
    </row>
    <row r="415" spans="1:23">
      <c r="A415" t="s">
        <v>445</v>
      </c>
      <c r="B415" s="2">
        <v>45665</v>
      </c>
      <c r="C415" t="s">
        <v>17</v>
      </c>
      <c r="D415" t="s">
        <v>28</v>
      </c>
      <c r="E415" t="s">
        <v>19</v>
      </c>
      <c r="F415" t="s">
        <v>25</v>
      </c>
      <c r="G415" t="s">
        <v>21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1</v>
      </c>
      <c r="N415">
        <v>0</v>
      </c>
      <c r="P415">
        <v>72.599999999999994</v>
      </c>
      <c r="R415" t="str">
        <f t="shared" si="36"/>
        <v>Unique</v>
      </c>
      <c r="S415" t="str">
        <f t="shared" si="37"/>
        <v>Valid</v>
      </c>
      <c r="T415" t="str">
        <f t="shared" si="38"/>
        <v>Valid</v>
      </c>
      <c r="U415" t="str">
        <f t="shared" si="39"/>
        <v>Valid</v>
      </c>
      <c r="V415" t="str">
        <f t="shared" si="40"/>
        <v>Valid</v>
      </c>
      <c r="W415" t="str">
        <f t="shared" si="41"/>
        <v>Valid</v>
      </c>
    </row>
    <row r="416" spans="1:23">
      <c r="A416" t="s">
        <v>446</v>
      </c>
      <c r="B416" s="2">
        <v>45735</v>
      </c>
      <c r="C416" t="s">
        <v>17</v>
      </c>
      <c r="D416" t="s">
        <v>32</v>
      </c>
      <c r="E416" t="s">
        <v>24</v>
      </c>
      <c r="F416" t="s">
        <v>20</v>
      </c>
      <c r="G416" t="s">
        <v>30</v>
      </c>
      <c r="H416">
        <v>1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P416">
        <v>50.1</v>
      </c>
      <c r="R416" t="str">
        <f t="shared" si="36"/>
        <v>Unique</v>
      </c>
      <c r="S416" t="str">
        <f t="shared" si="37"/>
        <v>Valid</v>
      </c>
      <c r="T416" t="str">
        <f t="shared" si="38"/>
        <v>Valid</v>
      </c>
      <c r="U416" t="str">
        <f t="shared" si="39"/>
        <v>Valid</v>
      </c>
      <c r="V416" t="str">
        <f t="shared" si="40"/>
        <v>Valid</v>
      </c>
      <c r="W416" t="str">
        <f t="shared" si="41"/>
        <v>Valid</v>
      </c>
    </row>
    <row r="417" spans="1:23">
      <c r="A417" t="s">
        <v>447</v>
      </c>
      <c r="B417" s="2">
        <v>45687</v>
      </c>
      <c r="C417" t="s">
        <v>17</v>
      </c>
      <c r="D417" t="s">
        <v>28</v>
      </c>
      <c r="E417" t="s">
        <v>19</v>
      </c>
      <c r="F417" t="s">
        <v>29</v>
      </c>
      <c r="G417" t="s">
        <v>26</v>
      </c>
      <c r="H417">
        <v>1</v>
      </c>
      <c r="I417">
        <v>1</v>
      </c>
      <c r="J417">
        <v>1</v>
      </c>
      <c r="K417">
        <v>0</v>
      </c>
      <c r="L417">
        <v>0</v>
      </c>
      <c r="M417">
        <v>2</v>
      </c>
      <c r="N417">
        <v>0</v>
      </c>
      <c r="P417">
        <v>58.1</v>
      </c>
      <c r="R417" t="str">
        <f t="shared" si="36"/>
        <v>Unique</v>
      </c>
      <c r="S417" t="str">
        <f t="shared" si="37"/>
        <v>Valid</v>
      </c>
      <c r="T417" t="str">
        <f t="shared" si="38"/>
        <v>Valid</v>
      </c>
      <c r="U417" t="str">
        <f t="shared" si="39"/>
        <v>Valid</v>
      </c>
      <c r="V417" t="str">
        <f t="shared" si="40"/>
        <v>Valid</v>
      </c>
      <c r="W417" t="str">
        <f t="shared" si="41"/>
        <v>Valid</v>
      </c>
    </row>
    <row r="418" spans="1:23">
      <c r="A418" t="s">
        <v>448</v>
      </c>
      <c r="B418" s="2">
        <v>45775</v>
      </c>
      <c r="C418" t="s">
        <v>17</v>
      </c>
      <c r="D418" t="s">
        <v>28</v>
      </c>
      <c r="E418" t="s">
        <v>24</v>
      </c>
      <c r="F418" t="s">
        <v>25</v>
      </c>
      <c r="G418" t="s">
        <v>21</v>
      </c>
      <c r="H418">
        <v>1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P418">
        <v>42.9</v>
      </c>
      <c r="R418" t="str">
        <f t="shared" si="36"/>
        <v>Unique</v>
      </c>
      <c r="S418" t="str">
        <f t="shared" si="37"/>
        <v>Valid</v>
      </c>
      <c r="T418" t="str">
        <f t="shared" si="38"/>
        <v>Valid</v>
      </c>
      <c r="U418" t="str">
        <f t="shared" si="39"/>
        <v>Valid</v>
      </c>
      <c r="V418" t="str">
        <f t="shared" si="40"/>
        <v>Valid</v>
      </c>
      <c r="W418" t="str">
        <f t="shared" si="41"/>
        <v>Valid</v>
      </c>
    </row>
    <row r="419" spans="1:23">
      <c r="A419" t="s">
        <v>449</v>
      </c>
      <c r="B419" s="2">
        <v>45723</v>
      </c>
      <c r="C419" t="s">
        <v>17</v>
      </c>
      <c r="D419" t="s">
        <v>18</v>
      </c>
      <c r="E419" t="s">
        <v>24</v>
      </c>
      <c r="F419" t="s">
        <v>39</v>
      </c>
      <c r="G419" t="s">
        <v>21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P419">
        <v>69.7</v>
      </c>
      <c r="R419" t="str">
        <f t="shared" si="36"/>
        <v>Unique</v>
      </c>
      <c r="S419" t="str">
        <f t="shared" si="37"/>
        <v>Valid</v>
      </c>
      <c r="T419" t="str">
        <f t="shared" si="38"/>
        <v>Valid</v>
      </c>
      <c r="U419" t="str">
        <f t="shared" si="39"/>
        <v>Valid</v>
      </c>
      <c r="V419" t="str">
        <f t="shared" si="40"/>
        <v>Valid</v>
      </c>
      <c r="W419" t="str">
        <f t="shared" si="41"/>
        <v>Valid</v>
      </c>
    </row>
    <row r="420" spans="1:23">
      <c r="A420" t="s">
        <v>450</v>
      </c>
      <c r="B420" s="2">
        <v>45754</v>
      </c>
      <c r="C420" t="s">
        <v>17</v>
      </c>
      <c r="D420" t="s">
        <v>18</v>
      </c>
      <c r="E420" t="s">
        <v>19</v>
      </c>
      <c r="F420" t="s">
        <v>25</v>
      </c>
      <c r="G420" t="s">
        <v>26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P420">
        <v>63.3</v>
      </c>
      <c r="R420" t="str">
        <f t="shared" si="36"/>
        <v>Unique</v>
      </c>
      <c r="S420" t="str">
        <f t="shared" si="37"/>
        <v>Valid</v>
      </c>
      <c r="T420" t="str">
        <f t="shared" si="38"/>
        <v>Valid</v>
      </c>
      <c r="U420" t="str">
        <f t="shared" si="39"/>
        <v>Valid</v>
      </c>
      <c r="V420" t="str">
        <f t="shared" si="40"/>
        <v>Valid</v>
      </c>
      <c r="W420" t="str">
        <f t="shared" si="41"/>
        <v>Valid</v>
      </c>
    </row>
    <row r="421" spans="1:23">
      <c r="A421" t="s">
        <v>451</v>
      </c>
      <c r="B421" s="2">
        <v>45785</v>
      </c>
      <c r="C421" t="s">
        <v>17</v>
      </c>
      <c r="D421" t="s">
        <v>18</v>
      </c>
      <c r="E421" t="s">
        <v>19</v>
      </c>
      <c r="F421" t="s">
        <v>25</v>
      </c>
      <c r="G421" t="s">
        <v>30</v>
      </c>
      <c r="H421">
        <v>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P421">
        <v>71.2</v>
      </c>
      <c r="R421" t="str">
        <f t="shared" si="36"/>
        <v>Unique</v>
      </c>
      <c r="S421" t="str">
        <f t="shared" si="37"/>
        <v>Valid</v>
      </c>
      <c r="T421" t="str">
        <f t="shared" si="38"/>
        <v>Valid</v>
      </c>
      <c r="U421" t="str">
        <f t="shared" si="39"/>
        <v>Valid</v>
      </c>
      <c r="V421" t="str">
        <f t="shared" si="40"/>
        <v>Valid</v>
      </c>
      <c r="W421" t="str">
        <f t="shared" si="41"/>
        <v>Valid</v>
      </c>
    </row>
    <row r="422" spans="1:23">
      <c r="A422" t="s">
        <v>452</v>
      </c>
      <c r="B422" s="2">
        <v>45762</v>
      </c>
      <c r="C422" t="s">
        <v>17</v>
      </c>
      <c r="D422" t="s">
        <v>32</v>
      </c>
      <c r="E422" t="s">
        <v>24</v>
      </c>
      <c r="F422" t="s">
        <v>20</v>
      </c>
      <c r="G422" t="s">
        <v>26</v>
      </c>
      <c r="H422">
        <v>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P422">
        <v>39.1</v>
      </c>
      <c r="R422" t="str">
        <f t="shared" si="36"/>
        <v>Unique</v>
      </c>
      <c r="S422" t="str">
        <f t="shared" si="37"/>
        <v>Valid</v>
      </c>
      <c r="T422" t="str">
        <f t="shared" si="38"/>
        <v>Valid</v>
      </c>
      <c r="U422" t="str">
        <f t="shared" si="39"/>
        <v>Valid</v>
      </c>
      <c r="V422" t="str">
        <f t="shared" si="40"/>
        <v>Valid</v>
      </c>
      <c r="W422" t="str">
        <f t="shared" si="41"/>
        <v>Valid</v>
      </c>
    </row>
    <row r="423" spans="1:23">
      <c r="A423" t="s">
        <v>453</v>
      </c>
      <c r="B423" s="2">
        <v>45767</v>
      </c>
      <c r="C423" t="s">
        <v>17</v>
      </c>
      <c r="D423" t="s">
        <v>28</v>
      </c>
      <c r="E423" t="s">
        <v>19</v>
      </c>
      <c r="F423" t="s">
        <v>41</v>
      </c>
      <c r="G423" t="s">
        <v>26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P423">
        <v>42.6</v>
      </c>
      <c r="R423" t="str">
        <f t="shared" si="36"/>
        <v>Unique</v>
      </c>
      <c r="S423" t="str">
        <f t="shared" si="37"/>
        <v>Valid</v>
      </c>
      <c r="T423" t="str">
        <f t="shared" si="38"/>
        <v>Valid</v>
      </c>
      <c r="U423" t="str">
        <f t="shared" si="39"/>
        <v>Valid</v>
      </c>
      <c r="V423" t="str">
        <f t="shared" si="40"/>
        <v>Valid</v>
      </c>
      <c r="W423" t="str">
        <f t="shared" si="41"/>
        <v>Valid</v>
      </c>
    </row>
    <row r="424" spans="1:23">
      <c r="A424" t="s">
        <v>454</v>
      </c>
      <c r="B424" s="2">
        <v>45807</v>
      </c>
      <c r="C424" t="s">
        <v>17</v>
      </c>
      <c r="D424" t="s">
        <v>32</v>
      </c>
      <c r="E424" t="s">
        <v>34</v>
      </c>
      <c r="F424" t="s">
        <v>25</v>
      </c>
      <c r="G424" t="s">
        <v>26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P424">
        <v>74.400000000000006</v>
      </c>
      <c r="R424" t="str">
        <f t="shared" si="36"/>
        <v>Unique</v>
      </c>
      <c r="S424" t="str">
        <f t="shared" si="37"/>
        <v>Valid</v>
      </c>
      <c r="T424" t="str">
        <f t="shared" si="38"/>
        <v>Valid</v>
      </c>
      <c r="U424" t="str">
        <f t="shared" si="39"/>
        <v>Valid</v>
      </c>
      <c r="V424" t="str">
        <f t="shared" si="40"/>
        <v>Valid</v>
      </c>
      <c r="W424" t="str">
        <f t="shared" si="41"/>
        <v>Valid</v>
      </c>
    </row>
    <row r="425" spans="1:23">
      <c r="A425" t="s">
        <v>455</v>
      </c>
      <c r="B425" s="2">
        <v>45701</v>
      </c>
      <c r="C425" t="s">
        <v>17</v>
      </c>
      <c r="D425" t="s">
        <v>23</v>
      </c>
      <c r="E425" t="s">
        <v>24</v>
      </c>
      <c r="F425" t="s">
        <v>39</v>
      </c>
      <c r="G425" t="s">
        <v>26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P425">
        <v>55.6</v>
      </c>
      <c r="R425" t="str">
        <f t="shared" si="36"/>
        <v>Unique</v>
      </c>
      <c r="S425" t="str">
        <f t="shared" si="37"/>
        <v>Valid</v>
      </c>
      <c r="T425" t="str">
        <f t="shared" si="38"/>
        <v>Valid</v>
      </c>
      <c r="U425" t="str">
        <f t="shared" si="39"/>
        <v>Valid</v>
      </c>
      <c r="V425" t="str">
        <f t="shared" si="40"/>
        <v>Valid</v>
      </c>
      <c r="W425" t="str">
        <f t="shared" si="41"/>
        <v>Valid</v>
      </c>
    </row>
    <row r="426" spans="1:23">
      <c r="A426" t="s">
        <v>456</v>
      </c>
      <c r="B426" s="2">
        <v>45775</v>
      </c>
      <c r="C426" t="s">
        <v>17</v>
      </c>
      <c r="D426" t="s">
        <v>23</v>
      </c>
      <c r="E426" t="s">
        <v>24</v>
      </c>
      <c r="F426" t="s">
        <v>41</v>
      </c>
      <c r="G426" t="s">
        <v>26</v>
      </c>
      <c r="H426">
        <v>1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P426">
        <v>35.799999999999997</v>
      </c>
      <c r="R426" t="str">
        <f t="shared" si="36"/>
        <v>Unique</v>
      </c>
      <c r="S426" t="str">
        <f t="shared" si="37"/>
        <v>Valid</v>
      </c>
      <c r="T426" t="str">
        <f t="shared" si="38"/>
        <v>Valid</v>
      </c>
      <c r="U426" t="str">
        <f t="shared" si="39"/>
        <v>Valid</v>
      </c>
      <c r="V426" t="str">
        <f t="shared" si="40"/>
        <v>Valid</v>
      </c>
      <c r="W426" t="str">
        <f t="shared" si="41"/>
        <v>Valid</v>
      </c>
    </row>
    <row r="427" spans="1:23">
      <c r="A427" t="s">
        <v>457</v>
      </c>
      <c r="B427" s="2">
        <v>45700</v>
      </c>
      <c r="C427" t="s">
        <v>17</v>
      </c>
      <c r="D427" t="s">
        <v>18</v>
      </c>
      <c r="E427" t="s">
        <v>24</v>
      </c>
      <c r="F427" t="s">
        <v>29</v>
      </c>
      <c r="G427" t="s">
        <v>21</v>
      </c>
      <c r="H427">
        <v>1</v>
      </c>
      <c r="I427">
        <v>0</v>
      </c>
      <c r="J427">
        <v>0</v>
      </c>
      <c r="K427">
        <v>0</v>
      </c>
      <c r="L427">
        <v>0</v>
      </c>
      <c r="M427">
        <v>1</v>
      </c>
      <c r="N427">
        <v>0</v>
      </c>
      <c r="P427">
        <v>28.2</v>
      </c>
      <c r="R427" t="str">
        <f t="shared" si="36"/>
        <v>Unique</v>
      </c>
      <c r="S427" t="str">
        <f t="shared" si="37"/>
        <v>Valid</v>
      </c>
      <c r="T427" t="str">
        <f t="shared" si="38"/>
        <v>Valid</v>
      </c>
      <c r="U427" t="str">
        <f t="shared" si="39"/>
        <v>Valid</v>
      </c>
      <c r="V427" t="str">
        <f t="shared" si="40"/>
        <v>Valid</v>
      </c>
      <c r="W427" t="str">
        <f t="shared" si="41"/>
        <v>Valid</v>
      </c>
    </row>
    <row r="428" spans="1:23">
      <c r="A428" t="s">
        <v>458</v>
      </c>
      <c r="B428" s="2">
        <v>45700</v>
      </c>
      <c r="C428" t="s">
        <v>17</v>
      </c>
      <c r="D428" t="s">
        <v>28</v>
      </c>
      <c r="E428" t="s">
        <v>24</v>
      </c>
      <c r="F428" t="s">
        <v>25</v>
      </c>
      <c r="G428" t="s">
        <v>26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2</v>
      </c>
      <c r="N428">
        <v>0</v>
      </c>
      <c r="P428">
        <v>44.4</v>
      </c>
      <c r="R428" t="str">
        <f t="shared" si="36"/>
        <v>Unique</v>
      </c>
      <c r="S428" t="str">
        <f t="shared" si="37"/>
        <v>Valid</v>
      </c>
      <c r="T428" t="str">
        <f t="shared" si="38"/>
        <v>Valid</v>
      </c>
      <c r="U428" t="str">
        <f t="shared" si="39"/>
        <v>Valid</v>
      </c>
      <c r="V428" t="str">
        <f t="shared" si="40"/>
        <v>Valid</v>
      </c>
      <c r="W428" t="str">
        <f t="shared" si="41"/>
        <v>Valid</v>
      </c>
    </row>
    <row r="429" spans="1:23">
      <c r="A429" t="s">
        <v>459</v>
      </c>
      <c r="B429" s="2">
        <v>45743</v>
      </c>
      <c r="C429" t="s">
        <v>17</v>
      </c>
      <c r="D429" t="s">
        <v>18</v>
      </c>
      <c r="E429" t="s">
        <v>24</v>
      </c>
      <c r="F429" t="s">
        <v>20</v>
      </c>
      <c r="G429" t="s">
        <v>30</v>
      </c>
      <c r="H429">
        <v>1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P429">
        <v>49.9</v>
      </c>
      <c r="R429" t="str">
        <f t="shared" si="36"/>
        <v>Unique</v>
      </c>
      <c r="S429" t="str">
        <f t="shared" si="37"/>
        <v>Valid</v>
      </c>
      <c r="T429" t="str">
        <f t="shared" si="38"/>
        <v>Valid</v>
      </c>
      <c r="U429" t="str">
        <f t="shared" si="39"/>
        <v>Valid</v>
      </c>
      <c r="V429" t="str">
        <f t="shared" si="40"/>
        <v>Valid</v>
      </c>
      <c r="W429" t="str">
        <f t="shared" si="41"/>
        <v>Valid</v>
      </c>
    </row>
    <row r="430" spans="1:23">
      <c r="A430" t="s">
        <v>460</v>
      </c>
      <c r="B430" s="2">
        <v>45759</v>
      </c>
      <c r="C430" t="s">
        <v>17</v>
      </c>
      <c r="D430" t="s">
        <v>32</v>
      </c>
      <c r="E430" t="s">
        <v>19</v>
      </c>
      <c r="F430" t="s">
        <v>25</v>
      </c>
      <c r="G430" t="s">
        <v>26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P430">
        <v>40.4</v>
      </c>
      <c r="R430" t="str">
        <f t="shared" si="36"/>
        <v>Unique</v>
      </c>
      <c r="S430" t="str">
        <f t="shared" si="37"/>
        <v>Valid</v>
      </c>
      <c r="T430" t="str">
        <f t="shared" si="38"/>
        <v>Valid</v>
      </c>
      <c r="U430" t="str">
        <f t="shared" si="39"/>
        <v>Valid</v>
      </c>
      <c r="V430" t="str">
        <f t="shared" si="40"/>
        <v>Valid</v>
      </c>
      <c r="W430" t="str">
        <f t="shared" si="41"/>
        <v>Valid</v>
      </c>
    </row>
    <row r="431" spans="1:23">
      <c r="A431" t="s">
        <v>461</v>
      </c>
      <c r="B431" s="2">
        <v>45687</v>
      </c>
      <c r="C431" t="s">
        <v>17</v>
      </c>
      <c r="D431" t="s">
        <v>23</v>
      </c>
      <c r="E431" t="s">
        <v>24</v>
      </c>
      <c r="F431" t="s">
        <v>41</v>
      </c>
      <c r="G431" t="s">
        <v>26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P431">
        <v>60.4</v>
      </c>
      <c r="R431" t="str">
        <f t="shared" si="36"/>
        <v>Unique</v>
      </c>
      <c r="S431" t="str">
        <f t="shared" si="37"/>
        <v>Valid</v>
      </c>
      <c r="T431" t="str">
        <f t="shared" si="38"/>
        <v>Valid</v>
      </c>
      <c r="U431" t="str">
        <f t="shared" si="39"/>
        <v>Valid</v>
      </c>
      <c r="V431" t="str">
        <f t="shared" si="40"/>
        <v>Valid</v>
      </c>
      <c r="W431" t="str">
        <f t="shared" si="41"/>
        <v>Valid</v>
      </c>
    </row>
    <row r="432" spans="1:23">
      <c r="A432" t="s">
        <v>462</v>
      </c>
      <c r="B432" s="2">
        <v>45805</v>
      </c>
      <c r="C432" t="s">
        <v>17</v>
      </c>
      <c r="D432" t="s">
        <v>23</v>
      </c>
      <c r="E432" t="s">
        <v>24</v>
      </c>
      <c r="F432" t="s">
        <v>41</v>
      </c>
      <c r="G432" t="s">
        <v>30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1</v>
      </c>
      <c r="N432">
        <v>0</v>
      </c>
      <c r="P432">
        <v>52.4</v>
      </c>
      <c r="R432" t="str">
        <f t="shared" si="36"/>
        <v>Unique</v>
      </c>
      <c r="S432" t="str">
        <f t="shared" si="37"/>
        <v>Valid</v>
      </c>
      <c r="T432" t="str">
        <f t="shared" si="38"/>
        <v>Valid</v>
      </c>
      <c r="U432" t="str">
        <f t="shared" si="39"/>
        <v>Valid</v>
      </c>
      <c r="V432" t="str">
        <f t="shared" si="40"/>
        <v>Valid</v>
      </c>
      <c r="W432" t="str">
        <f t="shared" si="41"/>
        <v>Valid</v>
      </c>
    </row>
    <row r="433" spans="1:23">
      <c r="A433" t="s">
        <v>463</v>
      </c>
      <c r="B433" s="2">
        <v>45778</v>
      </c>
      <c r="C433" t="s">
        <v>17</v>
      </c>
      <c r="D433" t="s">
        <v>32</v>
      </c>
      <c r="E433" t="s">
        <v>24</v>
      </c>
      <c r="F433" t="s">
        <v>25</v>
      </c>
      <c r="G433" t="s">
        <v>21</v>
      </c>
      <c r="H433">
        <v>1</v>
      </c>
      <c r="I433">
        <v>1</v>
      </c>
      <c r="J433">
        <v>0</v>
      </c>
      <c r="K433">
        <v>0</v>
      </c>
      <c r="L433">
        <v>0</v>
      </c>
      <c r="M433">
        <v>0</v>
      </c>
      <c r="N433">
        <v>0</v>
      </c>
      <c r="P433">
        <v>48.8</v>
      </c>
      <c r="R433" t="str">
        <f t="shared" si="36"/>
        <v>Unique</v>
      </c>
      <c r="S433" t="str">
        <f t="shared" si="37"/>
        <v>Valid</v>
      </c>
      <c r="T433" t="str">
        <f t="shared" si="38"/>
        <v>Valid</v>
      </c>
      <c r="U433" t="str">
        <f t="shared" si="39"/>
        <v>Valid</v>
      </c>
      <c r="V433" t="str">
        <f t="shared" si="40"/>
        <v>Valid</v>
      </c>
      <c r="W433" t="str">
        <f t="shared" si="41"/>
        <v>Valid</v>
      </c>
    </row>
    <row r="434" spans="1:23">
      <c r="A434" t="s">
        <v>464</v>
      </c>
      <c r="B434" s="2">
        <v>45691</v>
      </c>
      <c r="C434" t="s">
        <v>17</v>
      </c>
      <c r="D434" t="s">
        <v>18</v>
      </c>
      <c r="E434" t="s">
        <v>34</v>
      </c>
      <c r="F434" t="s">
        <v>20</v>
      </c>
      <c r="G434" t="s">
        <v>21</v>
      </c>
      <c r="H434">
        <v>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P434">
        <v>60.9</v>
      </c>
      <c r="R434" t="str">
        <f t="shared" si="36"/>
        <v>Duplicate</v>
      </c>
      <c r="S434" t="str">
        <f t="shared" si="37"/>
        <v>Valid</v>
      </c>
      <c r="T434" t="str">
        <f t="shared" si="38"/>
        <v>Valid</v>
      </c>
      <c r="U434" t="str">
        <f t="shared" si="39"/>
        <v>Valid</v>
      </c>
      <c r="V434" t="str">
        <f t="shared" si="40"/>
        <v>Valid</v>
      </c>
      <c r="W434" t="str">
        <f t="shared" si="41"/>
        <v>Valid</v>
      </c>
    </row>
    <row r="435" spans="1:23">
      <c r="A435" t="s">
        <v>465</v>
      </c>
      <c r="B435" s="2">
        <v>45667</v>
      </c>
      <c r="C435" t="s">
        <v>17</v>
      </c>
      <c r="D435" t="s">
        <v>32</v>
      </c>
      <c r="E435" t="s">
        <v>19</v>
      </c>
      <c r="F435" t="s">
        <v>41</v>
      </c>
      <c r="G435" t="s">
        <v>21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P435">
        <v>68.2</v>
      </c>
      <c r="R435" t="str">
        <f t="shared" si="36"/>
        <v>Unique</v>
      </c>
      <c r="S435" t="str">
        <f t="shared" si="37"/>
        <v>Valid</v>
      </c>
      <c r="T435" t="str">
        <f t="shared" si="38"/>
        <v>Valid</v>
      </c>
      <c r="U435" t="str">
        <f t="shared" si="39"/>
        <v>Valid</v>
      </c>
      <c r="V435" t="str">
        <f t="shared" si="40"/>
        <v>Valid</v>
      </c>
      <c r="W435" t="str">
        <f t="shared" si="41"/>
        <v>Valid</v>
      </c>
    </row>
    <row r="436" spans="1:23">
      <c r="A436" t="s">
        <v>466</v>
      </c>
      <c r="B436" s="2">
        <v>45779</v>
      </c>
      <c r="C436" t="s">
        <v>17</v>
      </c>
      <c r="D436" t="s">
        <v>18</v>
      </c>
      <c r="E436" t="s">
        <v>19</v>
      </c>
      <c r="F436" t="s">
        <v>25</v>
      </c>
      <c r="G436" t="s">
        <v>21</v>
      </c>
      <c r="H436">
        <v>1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P436">
        <v>65.599999999999994</v>
      </c>
      <c r="R436" t="str">
        <f t="shared" si="36"/>
        <v>Unique</v>
      </c>
      <c r="S436" t="str">
        <f t="shared" si="37"/>
        <v>Valid</v>
      </c>
      <c r="T436" t="str">
        <f t="shared" si="38"/>
        <v>Valid</v>
      </c>
      <c r="U436" t="str">
        <f t="shared" si="39"/>
        <v>Valid</v>
      </c>
      <c r="V436" t="str">
        <f t="shared" si="40"/>
        <v>Valid</v>
      </c>
      <c r="W436" t="str">
        <f t="shared" si="41"/>
        <v>Valid</v>
      </c>
    </row>
    <row r="437" spans="1:23">
      <c r="A437" t="s">
        <v>467</v>
      </c>
      <c r="B437" s="2">
        <v>45803</v>
      </c>
      <c r="C437" t="s">
        <v>17</v>
      </c>
      <c r="D437" t="s">
        <v>18</v>
      </c>
      <c r="E437" t="s">
        <v>19</v>
      </c>
      <c r="F437" t="s">
        <v>25</v>
      </c>
      <c r="G437" t="s">
        <v>21</v>
      </c>
      <c r="H437">
        <v>1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P437">
        <v>65.400000000000006</v>
      </c>
      <c r="R437" t="str">
        <f t="shared" si="36"/>
        <v>Unique</v>
      </c>
      <c r="S437" t="str">
        <f t="shared" si="37"/>
        <v>Valid</v>
      </c>
      <c r="T437" t="str">
        <f t="shared" si="38"/>
        <v>Valid</v>
      </c>
      <c r="U437" t="str">
        <f t="shared" si="39"/>
        <v>Valid</v>
      </c>
      <c r="V437" t="str">
        <f t="shared" si="40"/>
        <v>Valid</v>
      </c>
      <c r="W437" t="str">
        <f t="shared" si="41"/>
        <v>Valid</v>
      </c>
    </row>
    <row r="438" spans="1:23">
      <c r="A438" t="s">
        <v>468</v>
      </c>
      <c r="B438" s="2">
        <v>45669</v>
      </c>
      <c r="C438" t="s">
        <v>17</v>
      </c>
      <c r="D438" t="s">
        <v>23</v>
      </c>
      <c r="E438" t="s">
        <v>24</v>
      </c>
      <c r="F438" t="s">
        <v>25</v>
      </c>
      <c r="G438" t="s">
        <v>21</v>
      </c>
      <c r="H438">
        <v>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P438">
        <v>78.900000000000006</v>
      </c>
      <c r="R438" t="str">
        <f t="shared" si="36"/>
        <v>Unique</v>
      </c>
      <c r="S438" t="str">
        <f t="shared" si="37"/>
        <v>Valid</v>
      </c>
      <c r="T438" t="str">
        <f t="shared" si="38"/>
        <v>Valid</v>
      </c>
      <c r="U438" t="str">
        <f t="shared" si="39"/>
        <v>Valid</v>
      </c>
      <c r="V438" t="str">
        <f t="shared" si="40"/>
        <v>Valid</v>
      </c>
      <c r="W438" t="str">
        <f t="shared" si="41"/>
        <v>Valid</v>
      </c>
    </row>
    <row r="439" spans="1:23">
      <c r="A439" t="s">
        <v>469</v>
      </c>
      <c r="B439" s="2">
        <v>45804</v>
      </c>
      <c r="C439" t="s">
        <v>17</v>
      </c>
      <c r="D439" t="s">
        <v>28</v>
      </c>
      <c r="E439" t="s">
        <v>24</v>
      </c>
      <c r="F439" t="s">
        <v>29</v>
      </c>
      <c r="G439" t="s">
        <v>21</v>
      </c>
      <c r="H439">
        <v>1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P439">
        <v>78.3</v>
      </c>
      <c r="R439" t="str">
        <f t="shared" si="36"/>
        <v>Unique</v>
      </c>
      <c r="S439" t="str">
        <f t="shared" si="37"/>
        <v>Valid</v>
      </c>
      <c r="T439" t="str">
        <f t="shared" si="38"/>
        <v>Valid</v>
      </c>
      <c r="U439" t="str">
        <f t="shared" si="39"/>
        <v>Valid</v>
      </c>
      <c r="V439" t="str">
        <f t="shared" si="40"/>
        <v>Valid</v>
      </c>
      <c r="W439" t="str">
        <f t="shared" si="41"/>
        <v>Valid</v>
      </c>
    </row>
    <row r="440" spans="1:23">
      <c r="A440" t="s">
        <v>470</v>
      </c>
      <c r="B440" s="2">
        <v>45799</v>
      </c>
      <c r="C440" t="s">
        <v>17</v>
      </c>
      <c r="D440" t="s">
        <v>23</v>
      </c>
      <c r="E440" t="s">
        <v>19</v>
      </c>
      <c r="F440" t="s">
        <v>20</v>
      </c>
      <c r="G440" t="s">
        <v>21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P440">
        <v>49.2</v>
      </c>
      <c r="R440" t="str">
        <f t="shared" si="36"/>
        <v>Unique</v>
      </c>
      <c r="S440" t="str">
        <f t="shared" si="37"/>
        <v>Valid</v>
      </c>
      <c r="T440" t="str">
        <f t="shared" si="38"/>
        <v>Valid</v>
      </c>
      <c r="U440" t="str">
        <f t="shared" si="39"/>
        <v>Valid</v>
      </c>
      <c r="V440" t="str">
        <f t="shared" si="40"/>
        <v>Valid</v>
      </c>
      <c r="W440" t="str">
        <f t="shared" si="41"/>
        <v>Valid</v>
      </c>
    </row>
    <row r="441" spans="1:23">
      <c r="A441" t="s">
        <v>471</v>
      </c>
      <c r="B441" s="2">
        <v>45748</v>
      </c>
      <c r="C441" t="s">
        <v>17</v>
      </c>
      <c r="D441" t="s">
        <v>28</v>
      </c>
      <c r="E441" t="s">
        <v>24</v>
      </c>
      <c r="F441" t="s">
        <v>41</v>
      </c>
      <c r="G441" t="s">
        <v>30</v>
      </c>
      <c r="H441">
        <v>1</v>
      </c>
      <c r="I441">
        <v>1</v>
      </c>
      <c r="J441">
        <v>1</v>
      </c>
      <c r="K441">
        <v>1</v>
      </c>
      <c r="L441">
        <v>1518.83</v>
      </c>
      <c r="M441">
        <v>0</v>
      </c>
      <c r="N441">
        <v>0</v>
      </c>
      <c r="O441">
        <v>9</v>
      </c>
      <c r="P441">
        <v>32.200000000000003</v>
      </c>
      <c r="R441" t="str">
        <f t="shared" si="36"/>
        <v>Unique</v>
      </c>
      <c r="S441" t="str">
        <f t="shared" si="37"/>
        <v>Valid</v>
      </c>
      <c r="T441" t="str">
        <f t="shared" si="38"/>
        <v>Valid</v>
      </c>
      <c r="U441" t="str">
        <f t="shared" si="39"/>
        <v>Valid</v>
      </c>
      <c r="V441" t="str">
        <f t="shared" si="40"/>
        <v>Valid</v>
      </c>
      <c r="W441" t="str">
        <f t="shared" si="41"/>
        <v>Valid</v>
      </c>
    </row>
    <row r="442" spans="1:23">
      <c r="A442" t="s">
        <v>472</v>
      </c>
      <c r="B442" s="2">
        <v>45679</v>
      </c>
      <c r="C442" t="s">
        <v>17</v>
      </c>
      <c r="D442" t="s">
        <v>18</v>
      </c>
      <c r="E442" t="s">
        <v>24</v>
      </c>
      <c r="F442" t="s">
        <v>29</v>
      </c>
      <c r="G442" t="s">
        <v>21</v>
      </c>
      <c r="H442">
        <v>1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P442">
        <v>46.3</v>
      </c>
      <c r="R442" t="str">
        <f t="shared" si="36"/>
        <v>Unique</v>
      </c>
      <c r="S442" t="str">
        <f t="shared" si="37"/>
        <v>Valid</v>
      </c>
      <c r="T442" t="str">
        <f t="shared" si="38"/>
        <v>Valid</v>
      </c>
      <c r="U442" t="str">
        <f t="shared" si="39"/>
        <v>Valid</v>
      </c>
      <c r="V442" t="str">
        <f t="shared" si="40"/>
        <v>Valid</v>
      </c>
      <c r="W442" t="str">
        <f t="shared" si="41"/>
        <v>Valid</v>
      </c>
    </row>
    <row r="443" spans="1:23">
      <c r="A443" t="s">
        <v>473</v>
      </c>
      <c r="B443" s="2">
        <v>45801</v>
      </c>
      <c r="C443" t="s">
        <v>17</v>
      </c>
      <c r="D443" t="s">
        <v>28</v>
      </c>
      <c r="E443" t="s">
        <v>24</v>
      </c>
      <c r="F443" t="s">
        <v>29</v>
      </c>
      <c r="G443" t="s">
        <v>21</v>
      </c>
      <c r="H443">
        <v>1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P443">
        <v>55.7</v>
      </c>
      <c r="R443" t="str">
        <f t="shared" si="36"/>
        <v>Unique</v>
      </c>
      <c r="S443" t="str">
        <f t="shared" si="37"/>
        <v>Valid</v>
      </c>
      <c r="T443" t="str">
        <f t="shared" si="38"/>
        <v>Valid</v>
      </c>
      <c r="U443" t="str">
        <f t="shared" si="39"/>
        <v>Valid</v>
      </c>
      <c r="V443" t="str">
        <f t="shared" si="40"/>
        <v>Valid</v>
      </c>
      <c r="W443" t="str">
        <f t="shared" si="41"/>
        <v>Valid</v>
      </c>
    </row>
    <row r="444" spans="1:23">
      <c r="A444" t="s">
        <v>474</v>
      </c>
      <c r="B444" s="2">
        <v>45772</v>
      </c>
      <c r="C444" t="s">
        <v>17</v>
      </c>
      <c r="D444" t="s">
        <v>32</v>
      </c>
      <c r="E444" t="s">
        <v>24</v>
      </c>
      <c r="F444" t="s">
        <v>41</v>
      </c>
      <c r="G444" t="s">
        <v>26</v>
      </c>
      <c r="H444">
        <v>1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P444">
        <v>44.5</v>
      </c>
      <c r="R444" t="str">
        <f t="shared" si="36"/>
        <v>Unique</v>
      </c>
      <c r="S444" t="str">
        <f t="shared" si="37"/>
        <v>Valid</v>
      </c>
      <c r="T444" t="str">
        <f t="shared" si="38"/>
        <v>Valid</v>
      </c>
      <c r="U444" t="str">
        <f t="shared" si="39"/>
        <v>Valid</v>
      </c>
      <c r="V444" t="str">
        <f t="shared" si="40"/>
        <v>Valid</v>
      </c>
      <c r="W444" t="str">
        <f t="shared" si="41"/>
        <v>Valid</v>
      </c>
    </row>
    <row r="445" spans="1:23">
      <c r="A445" t="s">
        <v>475</v>
      </c>
      <c r="B445" s="2">
        <v>45759</v>
      </c>
      <c r="C445" t="s">
        <v>17</v>
      </c>
      <c r="D445" t="s">
        <v>23</v>
      </c>
      <c r="E445" t="s">
        <v>19</v>
      </c>
      <c r="F445" t="s">
        <v>39</v>
      </c>
      <c r="G445" t="s">
        <v>26</v>
      </c>
      <c r="H445">
        <v>1</v>
      </c>
      <c r="I445">
        <v>1</v>
      </c>
      <c r="J445">
        <v>1</v>
      </c>
      <c r="K445">
        <v>0</v>
      </c>
      <c r="L445">
        <v>0</v>
      </c>
      <c r="M445">
        <v>1</v>
      </c>
      <c r="N445">
        <v>0</v>
      </c>
      <c r="P445">
        <v>47.9</v>
      </c>
      <c r="R445" t="str">
        <f t="shared" si="36"/>
        <v>Unique</v>
      </c>
      <c r="S445" t="str">
        <f t="shared" si="37"/>
        <v>Valid</v>
      </c>
      <c r="T445" t="str">
        <f t="shared" si="38"/>
        <v>Valid</v>
      </c>
      <c r="U445" t="str">
        <f t="shared" si="39"/>
        <v>Valid</v>
      </c>
      <c r="V445" t="str">
        <f t="shared" si="40"/>
        <v>Valid</v>
      </c>
      <c r="W445" t="str">
        <f t="shared" si="41"/>
        <v>Valid</v>
      </c>
    </row>
    <row r="446" spans="1:23">
      <c r="A446" t="s">
        <v>476</v>
      </c>
      <c r="B446" s="2">
        <v>45770</v>
      </c>
      <c r="C446" t="s">
        <v>17</v>
      </c>
      <c r="D446" t="s">
        <v>32</v>
      </c>
      <c r="E446" t="s">
        <v>24</v>
      </c>
      <c r="F446" t="s">
        <v>25</v>
      </c>
      <c r="G446" t="s">
        <v>30</v>
      </c>
      <c r="H446">
        <v>1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P446">
        <v>43.9</v>
      </c>
      <c r="R446" t="str">
        <f t="shared" si="36"/>
        <v>Unique</v>
      </c>
      <c r="S446" t="str">
        <f t="shared" si="37"/>
        <v>Valid</v>
      </c>
      <c r="T446" t="str">
        <f t="shared" si="38"/>
        <v>Valid</v>
      </c>
      <c r="U446" t="str">
        <f t="shared" si="39"/>
        <v>Valid</v>
      </c>
      <c r="V446" t="str">
        <f t="shared" si="40"/>
        <v>Valid</v>
      </c>
      <c r="W446" t="str">
        <f t="shared" si="41"/>
        <v>Valid</v>
      </c>
    </row>
    <row r="447" spans="1:23">
      <c r="A447" t="s">
        <v>477</v>
      </c>
      <c r="B447" s="2">
        <v>45746</v>
      </c>
      <c r="C447" t="s">
        <v>17</v>
      </c>
      <c r="D447" t="s">
        <v>18</v>
      </c>
      <c r="E447" t="s">
        <v>19</v>
      </c>
      <c r="F447" t="s">
        <v>39</v>
      </c>
      <c r="G447" t="s">
        <v>26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1</v>
      </c>
      <c r="N447">
        <v>0</v>
      </c>
      <c r="P447">
        <v>67.7</v>
      </c>
      <c r="R447" t="str">
        <f t="shared" si="36"/>
        <v>Unique</v>
      </c>
      <c r="S447" t="str">
        <f t="shared" si="37"/>
        <v>Valid</v>
      </c>
      <c r="T447" t="str">
        <f t="shared" si="38"/>
        <v>Valid</v>
      </c>
      <c r="U447" t="str">
        <f t="shared" si="39"/>
        <v>Valid</v>
      </c>
      <c r="V447" t="str">
        <f t="shared" si="40"/>
        <v>Valid</v>
      </c>
      <c r="W447" t="str">
        <f t="shared" si="41"/>
        <v>Valid</v>
      </c>
    </row>
    <row r="448" spans="1:23">
      <c r="A448" t="s">
        <v>478</v>
      </c>
      <c r="B448" s="2">
        <v>45675</v>
      </c>
      <c r="C448" t="s">
        <v>17</v>
      </c>
      <c r="D448" t="s">
        <v>28</v>
      </c>
      <c r="E448" t="s">
        <v>24</v>
      </c>
      <c r="F448" t="s">
        <v>39</v>
      </c>
      <c r="G448" t="s">
        <v>21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P448">
        <v>43.7</v>
      </c>
      <c r="R448" t="str">
        <f t="shared" si="36"/>
        <v>Unique</v>
      </c>
      <c r="S448" t="str">
        <f t="shared" si="37"/>
        <v>Valid</v>
      </c>
      <c r="T448" t="str">
        <f t="shared" si="38"/>
        <v>Valid</v>
      </c>
      <c r="U448" t="str">
        <f t="shared" si="39"/>
        <v>Valid</v>
      </c>
      <c r="V448" t="str">
        <f t="shared" si="40"/>
        <v>Valid</v>
      </c>
      <c r="W448" t="str">
        <f t="shared" si="41"/>
        <v>Valid</v>
      </c>
    </row>
    <row r="449" spans="1:23">
      <c r="A449" t="s">
        <v>479</v>
      </c>
      <c r="B449" s="2">
        <v>45756</v>
      </c>
      <c r="C449" t="s">
        <v>17</v>
      </c>
      <c r="D449" t="s">
        <v>28</v>
      </c>
      <c r="E449" t="s">
        <v>24</v>
      </c>
      <c r="F449" t="s">
        <v>25</v>
      </c>
      <c r="G449" t="s">
        <v>26</v>
      </c>
      <c r="H449">
        <v>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P449">
        <v>68.8</v>
      </c>
      <c r="R449" t="str">
        <f t="shared" si="36"/>
        <v>Unique</v>
      </c>
      <c r="S449" t="str">
        <f t="shared" si="37"/>
        <v>Valid</v>
      </c>
      <c r="T449" t="str">
        <f t="shared" si="38"/>
        <v>Valid</v>
      </c>
      <c r="U449" t="str">
        <f t="shared" si="39"/>
        <v>Valid</v>
      </c>
      <c r="V449" t="str">
        <f t="shared" si="40"/>
        <v>Valid</v>
      </c>
      <c r="W449" t="str">
        <f t="shared" si="41"/>
        <v>Valid</v>
      </c>
    </row>
    <row r="450" spans="1:23">
      <c r="A450" t="s">
        <v>480</v>
      </c>
      <c r="B450" s="2">
        <v>45668</v>
      </c>
      <c r="C450" t="s">
        <v>17</v>
      </c>
      <c r="D450" t="s">
        <v>23</v>
      </c>
      <c r="E450" t="s">
        <v>24</v>
      </c>
      <c r="F450" t="s">
        <v>25</v>
      </c>
      <c r="G450" t="s">
        <v>26</v>
      </c>
      <c r="H450">
        <v>1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P450">
        <v>59.2</v>
      </c>
      <c r="R450" t="str">
        <f t="shared" si="36"/>
        <v>Unique</v>
      </c>
      <c r="S450" t="str">
        <f t="shared" si="37"/>
        <v>Valid</v>
      </c>
      <c r="T450" t="str">
        <f t="shared" si="38"/>
        <v>Valid</v>
      </c>
      <c r="U450" t="str">
        <f t="shared" si="39"/>
        <v>Valid</v>
      </c>
      <c r="V450" t="str">
        <f t="shared" si="40"/>
        <v>Valid</v>
      </c>
      <c r="W450" t="str">
        <f t="shared" si="41"/>
        <v>Valid</v>
      </c>
    </row>
    <row r="451" spans="1:23">
      <c r="A451" t="s">
        <v>481</v>
      </c>
      <c r="B451" s="2">
        <v>45721</v>
      </c>
      <c r="C451" t="s">
        <v>17</v>
      </c>
      <c r="D451" t="s">
        <v>28</v>
      </c>
      <c r="E451" t="s">
        <v>24</v>
      </c>
      <c r="F451" t="s">
        <v>29</v>
      </c>
      <c r="G451" t="s">
        <v>26</v>
      </c>
      <c r="H451">
        <v>1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P451">
        <v>48.6</v>
      </c>
      <c r="R451" t="str">
        <f t="shared" ref="R451:R514" si="42">IF(COUNTIF($A:$A,A451)&gt;1,"Duplicate","Unique")</f>
        <v>Unique</v>
      </c>
      <c r="S451" t="str">
        <f t="shared" ref="S451:S514" si="43">IF(OR(H451=0,H451=1),"Valid","Invalid")</f>
        <v>Valid</v>
      </c>
      <c r="T451" t="str">
        <f t="shared" ref="T451:T514" si="44">IF(OR(I451=0,I451=1),"Valid","Invalid")</f>
        <v>Valid</v>
      </c>
      <c r="U451" t="str">
        <f t="shared" ref="U451:U514" si="45">IF(OR(J451=0,J451=1),"Valid","Invalid")</f>
        <v>Valid</v>
      </c>
      <c r="V451" t="str">
        <f t="shared" ref="V451:V514" si="46">IF(OR(K451=0,K451=1),"Valid","Invalid")</f>
        <v>Valid</v>
      </c>
      <c r="W451" t="str">
        <f t="shared" ref="W451:W514" si="47">IF(OR(N451=0,N451=1),"Valid","Invalid")</f>
        <v>Valid</v>
      </c>
    </row>
    <row r="452" spans="1:23">
      <c r="A452" t="s">
        <v>482</v>
      </c>
      <c r="B452" s="2">
        <v>45705</v>
      </c>
      <c r="C452" t="s">
        <v>17</v>
      </c>
      <c r="D452" t="s">
        <v>18</v>
      </c>
      <c r="E452" t="s">
        <v>34</v>
      </c>
      <c r="F452" t="s">
        <v>41</v>
      </c>
      <c r="G452" t="s">
        <v>26</v>
      </c>
      <c r="H452">
        <v>1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P452">
        <v>56.9</v>
      </c>
      <c r="R452" t="str">
        <f t="shared" si="42"/>
        <v>Unique</v>
      </c>
      <c r="S452" t="str">
        <f t="shared" si="43"/>
        <v>Valid</v>
      </c>
      <c r="T452" t="str">
        <f t="shared" si="44"/>
        <v>Valid</v>
      </c>
      <c r="U452" t="str">
        <f t="shared" si="45"/>
        <v>Valid</v>
      </c>
      <c r="V452" t="str">
        <f t="shared" si="46"/>
        <v>Valid</v>
      </c>
      <c r="W452" t="str">
        <f t="shared" si="47"/>
        <v>Valid</v>
      </c>
    </row>
    <row r="453" spans="1:23">
      <c r="A453" t="s">
        <v>483</v>
      </c>
      <c r="B453" s="2">
        <v>45784</v>
      </c>
      <c r="C453" t="s">
        <v>17</v>
      </c>
      <c r="D453" t="s">
        <v>18</v>
      </c>
      <c r="E453" t="s">
        <v>19</v>
      </c>
      <c r="F453" t="s">
        <v>29</v>
      </c>
      <c r="G453" t="s">
        <v>26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P453">
        <v>55.8</v>
      </c>
      <c r="R453" t="str">
        <f t="shared" si="42"/>
        <v>Unique</v>
      </c>
      <c r="S453" t="str">
        <f t="shared" si="43"/>
        <v>Valid</v>
      </c>
      <c r="T453" t="str">
        <f t="shared" si="44"/>
        <v>Valid</v>
      </c>
      <c r="U453" t="str">
        <f t="shared" si="45"/>
        <v>Valid</v>
      </c>
      <c r="V453" t="str">
        <f t="shared" si="46"/>
        <v>Valid</v>
      </c>
      <c r="W453" t="str">
        <f t="shared" si="47"/>
        <v>Valid</v>
      </c>
    </row>
    <row r="454" spans="1:23">
      <c r="A454" t="s">
        <v>484</v>
      </c>
      <c r="B454" s="2">
        <v>45757</v>
      </c>
      <c r="C454" t="s">
        <v>17</v>
      </c>
      <c r="D454" t="s">
        <v>28</v>
      </c>
      <c r="E454" t="s">
        <v>24</v>
      </c>
      <c r="F454" t="s">
        <v>29</v>
      </c>
      <c r="G454" t="s">
        <v>30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P454">
        <v>63.3</v>
      </c>
      <c r="R454" t="str">
        <f t="shared" si="42"/>
        <v>Unique</v>
      </c>
      <c r="S454" t="str">
        <f t="shared" si="43"/>
        <v>Valid</v>
      </c>
      <c r="T454" t="str">
        <f t="shared" si="44"/>
        <v>Valid</v>
      </c>
      <c r="U454" t="str">
        <f t="shared" si="45"/>
        <v>Valid</v>
      </c>
      <c r="V454" t="str">
        <f t="shared" si="46"/>
        <v>Valid</v>
      </c>
      <c r="W454" t="str">
        <f t="shared" si="47"/>
        <v>Valid</v>
      </c>
    </row>
    <row r="455" spans="1:23">
      <c r="A455" t="s">
        <v>485</v>
      </c>
      <c r="B455" s="2">
        <v>45768</v>
      </c>
      <c r="C455" t="s">
        <v>17</v>
      </c>
      <c r="D455" t="s">
        <v>18</v>
      </c>
      <c r="E455" t="s">
        <v>24</v>
      </c>
      <c r="F455" t="s">
        <v>41</v>
      </c>
      <c r="G455" t="s">
        <v>26</v>
      </c>
      <c r="H455">
        <v>1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P455">
        <v>52.2</v>
      </c>
      <c r="R455" t="str">
        <f t="shared" si="42"/>
        <v>Unique</v>
      </c>
      <c r="S455" t="str">
        <f t="shared" si="43"/>
        <v>Valid</v>
      </c>
      <c r="T455" t="str">
        <f t="shared" si="44"/>
        <v>Valid</v>
      </c>
      <c r="U455" t="str">
        <f t="shared" si="45"/>
        <v>Valid</v>
      </c>
      <c r="V455" t="str">
        <f t="shared" si="46"/>
        <v>Valid</v>
      </c>
      <c r="W455" t="str">
        <f t="shared" si="47"/>
        <v>Valid</v>
      </c>
    </row>
    <row r="456" spans="1:23">
      <c r="A456" t="s">
        <v>486</v>
      </c>
      <c r="B456" s="2">
        <v>45713</v>
      </c>
      <c r="C456" t="s">
        <v>17</v>
      </c>
      <c r="D456" t="s">
        <v>32</v>
      </c>
      <c r="E456" t="s">
        <v>34</v>
      </c>
      <c r="F456" t="s">
        <v>1451</v>
      </c>
      <c r="G456" t="s">
        <v>26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P456">
        <v>51.5</v>
      </c>
      <c r="R456" t="str">
        <f t="shared" si="42"/>
        <v>Unique</v>
      </c>
      <c r="S456" t="str">
        <f t="shared" si="43"/>
        <v>Valid</v>
      </c>
      <c r="T456" t="str">
        <f t="shared" si="44"/>
        <v>Valid</v>
      </c>
      <c r="U456" t="str">
        <f t="shared" si="45"/>
        <v>Valid</v>
      </c>
      <c r="V456" t="str">
        <f t="shared" si="46"/>
        <v>Valid</v>
      </c>
      <c r="W456" t="str">
        <f t="shared" si="47"/>
        <v>Valid</v>
      </c>
    </row>
    <row r="457" spans="1:23">
      <c r="A457" t="s">
        <v>487</v>
      </c>
      <c r="B457" s="2">
        <v>45791</v>
      </c>
      <c r="C457" t="s">
        <v>17</v>
      </c>
      <c r="D457" t="s">
        <v>28</v>
      </c>
      <c r="E457" t="s">
        <v>19</v>
      </c>
      <c r="F457" t="s">
        <v>25</v>
      </c>
      <c r="G457" t="s">
        <v>26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P457">
        <v>50.3</v>
      </c>
      <c r="R457" t="str">
        <f t="shared" si="42"/>
        <v>Unique</v>
      </c>
      <c r="S457" t="str">
        <f t="shared" si="43"/>
        <v>Valid</v>
      </c>
      <c r="T457" t="str">
        <f t="shared" si="44"/>
        <v>Valid</v>
      </c>
      <c r="U457" t="str">
        <f t="shared" si="45"/>
        <v>Valid</v>
      </c>
      <c r="V457" t="str">
        <f t="shared" si="46"/>
        <v>Valid</v>
      </c>
      <c r="W457" t="str">
        <f t="shared" si="47"/>
        <v>Valid</v>
      </c>
    </row>
    <row r="458" spans="1:23">
      <c r="A458" t="s">
        <v>488</v>
      </c>
      <c r="B458" s="2">
        <v>45726</v>
      </c>
      <c r="C458" t="s">
        <v>17</v>
      </c>
      <c r="D458" t="s">
        <v>18</v>
      </c>
      <c r="E458" t="s">
        <v>24</v>
      </c>
      <c r="F458" t="s">
        <v>20</v>
      </c>
      <c r="G458" t="s">
        <v>21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1</v>
      </c>
      <c r="N458">
        <v>0</v>
      </c>
      <c r="P458">
        <v>35.4</v>
      </c>
      <c r="R458" t="str">
        <f t="shared" si="42"/>
        <v>Unique</v>
      </c>
      <c r="S458" t="str">
        <f t="shared" si="43"/>
        <v>Valid</v>
      </c>
      <c r="T458" t="str">
        <f t="shared" si="44"/>
        <v>Valid</v>
      </c>
      <c r="U458" t="str">
        <f t="shared" si="45"/>
        <v>Valid</v>
      </c>
      <c r="V458" t="str">
        <f t="shared" si="46"/>
        <v>Valid</v>
      </c>
      <c r="W458" t="str">
        <f t="shared" si="47"/>
        <v>Valid</v>
      </c>
    </row>
    <row r="459" spans="1:23">
      <c r="A459" t="s">
        <v>489</v>
      </c>
      <c r="B459" s="2">
        <v>45688</v>
      </c>
      <c r="C459" t="s">
        <v>17</v>
      </c>
      <c r="D459" t="s">
        <v>23</v>
      </c>
      <c r="E459" t="s">
        <v>19</v>
      </c>
      <c r="F459" t="s">
        <v>25</v>
      </c>
      <c r="G459" t="s">
        <v>30</v>
      </c>
      <c r="H459">
        <v>1</v>
      </c>
      <c r="I459">
        <v>0</v>
      </c>
      <c r="J459">
        <v>0</v>
      </c>
      <c r="K459">
        <v>0</v>
      </c>
      <c r="L459">
        <v>0</v>
      </c>
      <c r="M459">
        <v>1</v>
      </c>
      <c r="N459">
        <v>0</v>
      </c>
      <c r="P459">
        <v>54.1</v>
      </c>
      <c r="R459" t="str">
        <f t="shared" si="42"/>
        <v>Unique</v>
      </c>
      <c r="S459" t="str">
        <f t="shared" si="43"/>
        <v>Valid</v>
      </c>
      <c r="T459" t="str">
        <f t="shared" si="44"/>
        <v>Valid</v>
      </c>
      <c r="U459" t="str">
        <f t="shared" si="45"/>
        <v>Valid</v>
      </c>
      <c r="V459" t="str">
        <f t="shared" si="46"/>
        <v>Valid</v>
      </c>
      <c r="W459" t="str">
        <f t="shared" si="47"/>
        <v>Valid</v>
      </c>
    </row>
    <row r="460" spans="1:23">
      <c r="A460" t="s">
        <v>490</v>
      </c>
      <c r="B460" s="2">
        <v>45674</v>
      </c>
      <c r="C460" t="s">
        <v>17</v>
      </c>
      <c r="D460" t="s">
        <v>32</v>
      </c>
      <c r="E460" t="s">
        <v>24</v>
      </c>
      <c r="F460" t="s">
        <v>25</v>
      </c>
      <c r="G460" t="s">
        <v>30</v>
      </c>
      <c r="H460">
        <v>1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P460">
        <v>56.2</v>
      </c>
      <c r="R460" t="str">
        <f t="shared" si="42"/>
        <v>Unique</v>
      </c>
      <c r="S460" t="str">
        <f t="shared" si="43"/>
        <v>Valid</v>
      </c>
      <c r="T460" t="str">
        <f t="shared" si="44"/>
        <v>Valid</v>
      </c>
      <c r="U460" t="str">
        <f t="shared" si="45"/>
        <v>Valid</v>
      </c>
      <c r="V460" t="str">
        <f t="shared" si="46"/>
        <v>Valid</v>
      </c>
      <c r="W460" t="str">
        <f t="shared" si="47"/>
        <v>Valid</v>
      </c>
    </row>
    <row r="461" spans="1:23">
      <c r="A461" t="s">
        <v>491</v>
      </c>
      <c r="B461" s="2">
        <v>45728</v>
      </c>
      <c r="C461" t="s">
        <v>17</v>
      </c>
      <c r="D461" t="s">
        <v>32</v>
      </c>
      <c r="E461" t="s">
        <v>24</v>
      </c>
      <c r="F461" t="s">
        <v>29</v>
      </c>
      <c r="G461" t="s">
        <v>26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3</v>
      </c>
      <c r="N461">
        <v>0</v>
      </c>
      <c r="P461">
        <v>43.7</v>
      </c>
      <c r="R461" t="str">
        <f t="shared" si="42"/>
        <v>Unique</v>
      </c>
      <c r="S461" t="str">
        <f t="shared" si="43"/>
        <v>Valid</v>
      </c>
      <c r="T461" t="str">
        <f t="shared" si="44"/>
        <v>Valid</v>
      </c>
      <c r="U461" t="str">
        <f t="shared" si="45"/>
        <v>Valid</v>
      </c>
      <c r="V461" t="str">
        <f t="shared" si="46"/>
        <v>Valid</v>
      </c>
      <c r="W461" t="str">
        <f t="shared" si="47"/>
        <v>Valid</v>
      </c>
    </row>
    <row r="462" spans="1:23">
      <c r="A462" t="s">
        <v>492</v>
      </c>
      <c r="B462" s="2">
        <v>45716</v>
      </c>
      <c r="C462" t="s">
        <v>17</v>
      </c>
      <c r="D462" t="s">
        <v>23</v>
      </c>
      <c r="E462" t="s">
        <v>19</v>
      </c>
      <c r="F462" t="s">
        <v>25</v>
      </c>
      <c r="G462" t="s">
        <v>30</v>
      </c>
      <c r="H462">
        <v>1</v>
      </c>
      <c r="I462">
        <v>1</v>
      </c>
      <c r="J462">
        <v>0</v>
      </c>
      <c r="K462">
        <v>0</v>
      </c>
      <c r="L462">
        <v>0</v>
      </c>
      <c r="M462">
        <v>0</v>
      </c>
      <c r="N462">
        <v>0</v>
      </c>
      <c r="P462">
        <v>51.3</v>
      </c>
      <c r="R462" t="str">
        <f t="shared" si="42"/>
        <v>Unique</v>
      </c>
      <c r="S462" t="str">
        <f t="shared" si="43"/>
        <v>Valid</v>
      </c>
      <c r="T462" t="str">
        <f t="shared" si="44"/>
        <v>Valid</v>
      </c>
      <c r="U462" t="str">
        <f t="shared" si="45"/>
        <v>Valid</v>
      </c>
      <c r="V462" t="str">
        <f t="shared" si="46"/>
        <v>Valid</v>
      </c>
      <c r="W462" t="str">
        <f t="shared" si="47"/>
        <v>Valid</v>
      </c>
    </row>
    <row r="463" spans="1:23">
      <c r="A463" t="s">
        <v>493</v>
      </c>
      <c r="B463" s="2">
        <v>45796</v>
      </c>
      <c r="C463" t="s">
        <v>17</v>
      </c>
      <c r="D463" t="s">
        <v>18</v>
      </c>
      <c r="E463" t="s">
        <v>1451</v>
      </c>
      <c r="F463" t="s">
        <v>25</v>
      </c>
      <c r="G463" t="s">
        <v>21</v>
      </c>
      <c r="H463">
        <v>1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P463">
        <v>50.5</v>
      </c>
      <c r="R463" t="str">
        <f t="shared" si="42"/>
        <v>Unique</v>
      </c>
      <c r="S463" t="str">
        <f t="shared" si="43"/>
        <v>Valid</v>
      </c>
      <c r="T463" t="str">
        <f t="shared" si="44"/>
        <v>Valid</v>
      </c>
      <c r="U463" t="str">
        <f t="shared" si="45"/>
        <v>Valid</v>
      </c>
      <c r="V463" t="str">
        <f t="shared" si="46"/>
        <v>Valid</v>
      </c>
      <c r="W463" t="str">
        <f t="shared" si="47"/>
        <v>Valid</v>
      </c>
    </row>
    <row r="464" spans="1:23">
      <c r="A464" t="s">
        <v>494</v>
      </c>
      <c r="B464" s="2">
        <v>45711</v>
      </c>
      <c r="C464" t="s">
        <v>17</v>
      </c>
      <c r="D464" t="s">
        <v>18</v>
      </c>
      <c r="E464" t="s">
        <v>24</v>
      </c>
      <c r="F464" t="s">
        <v>39</v>
      </c>
      <c r="G464" t="s">
        <v>21</v>
      </c>
      <c r="H464">
        <v>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P464">
        <v>57.3</v>
      </c>
      <c r="R464" t="str">
        <f t="shared" si="42"/>
        <v>Unique</v>
      </c>
      <c r="S464" t="str">
        <f t="shared" si="43"/>
        <v>Valid</v>
      </c>
      <c r="T464" t="str">
        <f t="shared" si="44"/>
        <v>Valid</v>
      </c>
      <c r="U464" t="str">
        <f t="shared" si="45"/>
        <v>Valid</v>
      </c>
      <c r="V464" t="str">
        <f t="shared" si="46"/>
        <v>Valid</v>
      </c>
      <c r="W464" t="str">
        <f t="shared" si="47"/>
        <v>Valid</v>
      </c>
    </row>
    <row r="465" spans="1:23">
      <c r="A465" t="s">
        <v>495</v>
      </c>
      <c r="B465" s="2">
        <v>45708</v>
      </c>
      <c r="C465" t="s">
        <v>17</v>
      </c>
      <c r="D465" t="s">
        <v>23</v>
      </c>
      <c r="E465" t="s">
        <v>19</v>
      </c>
      <c r="F465" t="s">
        <v>25</v>
      </c>
      <c r="G465" t="s">
        <v>26</v>
      </c>
      <c r="H465">
        <v>1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P465">
        <v>58.4</v>
      </c>
      <c r="R465" t="str">
        <f t="shared" si="42"/>
        <v>Unique</v>
      </c>
      <c r="S465" t="str">
        <f t="shared" si="43"/>
        <v>Valid</v>
      </c>
      <c r="T465" t="str">
        <f t="shared" si="44"/>
        <v>Valid</v>
      </c>
      <c r="U465" t="str">
        <f t="shared" si="45"/>
        <v>Valid</v>
      </c>
      <c r="V465" t="str">
        <f t="shared" si="46"/>
        <v>Valid</v>
      </c>
      <c r="W465" t="str">
        <f t="shared" si="47"/>
        <v>Valid</v>
      </c>
    </row>
    <row r="466" spans="1:23">
      <c r="A466" t="s">
        <v>496</v>
      </c>
      <c r="B466" s="2">
        <v>45759</v>
      </c>
      <c r="C466" t="s">
        <v>17</v>
      </c>
      <c r="D466" t="s">
        <v>18</v>
      </c>
      <c r="E466" t="s">
        <v>24</v>
      </c>
      <c r="F466" t="s">
        <v>1451</v>
      </c>
      <c r="G466" t="s">
        <v>26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P466">
        <v>56.5</v>
      </c>
      <c r="R466" t="str">
        <f t="shared" si="42"/>
        <v>Unique</v>
      </c>
      <c r="S466" t="str">
        <f t="shared" si="43"/>
        <v>Valid</v>
      </c>
      <c r="T466" t="str">
        <f t="shared" si="44"/>
        <v>Valid</v>
      </c>
      <c r="U466" t="str">
        <f t="shared" si="45"/>
        <v>Valid</v>
      </c>
      <c r="V466" t="str">
        <f t="shared" si="46"/>
        <v>Valid</v>
      </c>
      <c r="W466" t="str">
        <f t="shared" si="47"/>
        <v>Valid</v>
      </c>
    </row>
    <row r="467" spans="1:23">
      <c r="A467" t="s">
        <v>497</v>
      </c>
      <c r="B467" s="2">
        <v>45665</v>
      </c>
      <c r="C467" t="s">
        <v>17</v>
      </c>
      <c r="D467" t="s">
        <v>23</v>
      </c>
      <c r="E467" t="s">
        <v>24</v>
      </c>
      <c r="F467" t="s">
        <v>20</v>
      </c>
      <c r="G467" t="s">
        <v>26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P467">
        <v>69.599999999999994</v>
      </c>
      <c r="R467" t="str">
        <f t="shared" si="42"/>
        <v>Unique</v>
      </c>
      <c r="S467" t="str">
        <f t="shared" si="43"/>
        <v>Valid</v>
      </c>
      <c r="T467" t="str">
        <f t="shared" si="44"/>
        <v>Valid</v>
      </c>
      <c r="U467" t="str">
        <f t="shared" si="45"/>
        <v>Valid</v>
      </c>
      <c r="V467" t="str">
        <f t="shared" si="46"/>
        <v>Valid</v>
      </c>
      <c r="W467" t="str">
        <f t="shared" si="47"/>
        <v>Valid</v>
      </c>
    </row>
    <row r="468" spans="1:23">
      <c r="A468" t="s">
        <v>498</v>
      </c>
      <c r="B468" s="2">
        <v>45701</v>
      </c>
      <c r="C468" t="s">
        <v>17</v>
      </c>
      <c r="D468" t="s">
        <v>23</v>
      </c>
      <c r="E468" t="s">
        <v>24</v>
      </c>
      <c r="F468" t="s">
        <v>25</v>
      </c>
      <c r="G468" t="s">
        <v>21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P468">
        <v>6.2</v>
      </c>
      <c r="R468" t="str">
        <f t="shared" si="42"/>
        <v>Unique</v>
      </c>
      <c r="S468" t="str">
        <f t="shared" si="43"/>
        <v>Valid</v>
      </c>
      <c r="T468" t="str">
        <f t="shared" si="44"/>
        <v>Valid</v>
      </c>
      <c r="U468" t="str">
        <f t="shared" si="45"/>
        <v>Valid</v>
      </c>
      <c r="V468" t="str">
        <f t="shared" si="46"/>
        <v>Valid</v>
      </c>
      <c r="W468" t="str">
        <f t="shared" si="47"/>
        <v>Valid</v>
      </c>
    </row>
    <row r="469" spans="1:23">
      <c r="A469" t="s">
        <v>499</v>
      </c>
      <c r="B469" s="2">
        <v>45798</v>
      </c>
      <c r="C469" t="s">
        <v>17</v>
      </c>
      <c r="D469" t="s">
        <v>28</v>
      </c>
      <c r="E469" t="s">
        <v>19</v>
      </c>
      <c r="F469" t="s">
        <v>20</v>
      </c>
      <c r="G469" t="s">
        <v>26</v>
      </c>
      <c r="H469">
        <v>1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P469">
        <v>54.3</v>
      </c>
      <c r="R469" t="str">
        <f t="shared" si="42"/>
        <v>Unique</v>
      </c>
      <c r="S469" t="str">
        <f t="shared" si="43"/>
        <v>Valid</v>
      </c>
      <c r="T469" t="str">
        <f t="shared" si="44"/>
        <v>Valid</v>
      </c>
      <c r="U469" t="str">
        <f t="shared" si="45"/>
        <v>Valid</v>
      </c>
      <c r="V469" t="str">
        <f t="shared" si="46"/>
        <v>Valid</v>
      </c>
      <c r="W469" t="str">
        <f t="shared" si="47"/>
        <v>Valid</v>
      </c>
    </row>
    <row r="470" spans="1:23">
      <c r="A470" t="s">
        <v>500</v>
      </c>
      <c r="B470" s="2">
        <v>45807</v>
      </c>
      <c r="C470" t="s">
        <v>17</v>
      </c>
      <c r="D470" t="s">
        <v>18</v>
      </c>
      <c r="E470" t="s">
        <v>24</v>
      </c>
      <c r="F470" t="s">
        <v>25</v>
      </c>
      <c r="G470" t="s">
        <v>21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P470">
        <v>59.8</v>
      </c>
      <c r="R470" t="str">
        <f t="shared" si="42"/>
        <v>Unique</v>
      </c>
      <c r="S470" t="str">
        <f t="shared" si="43"/>
        <v>Valid</v>
      </c>
      <c r="T470" t="str">
        <f t="shared" si="44"/>
        <v>Valid</v>
      </c>
      <c r="U470" t="str">
        <f t="shared" si="45"/>
        <v>Valid</v>
      </c>
      <c r="V470" t="str">
        <f t="shared" si="46"/>
        <v>Valid</v>
      </c>
      <c r="W470" t="str">
        <f t="shared" si="47"/>
        <v>Valid</v>
      </c>
    </row>
    <row r="471" spans="1:23">
      <c r="A471" t="s">
        <v>501</v>
      </c>
      <c r="B471" s="2">
        <v>45797</v>
      </c>
      <c r="C471" t="s">
        <v>17</v>
      </c>
      <c r="D471" t="s">
        <v>23</v>
      </c>
      <c r="E471" t="s">
        <v>24</v>
      </c>
      <c r="F471" t="s">
        <v>29</v>
      </c>
      <c r="G471" t="s">
        <v>26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P471">
        <v>58.9</v>
      </c>
      <c r="R471" t="str">
        <f t="shared" si="42"/>
        <v>Unique</v>
      </c>
      <c r="S471" t="str">
        <f t="shared" si="43"/>
        <v>Valid</v>
      </c>
      <c r="T471" t="str">
        <f t="shared" si="44"/>
        <v>Valid</v>
      </c>
      <c r="U471" t="str">
        <f t="shared" si="45"/>
        <v>Valid</v>
      </c>
      <c r="V471" t="str">
        <f t="shared" si="46"/>
        <v>Valid</v>
      </c>
      <c r="W471" t="str">
        <f t="shared" si="47"/>
        <v>Valid</v>
      </c>
    </row>
    <row r="472" spans="1:23">
      <c r="A472" t="s">
        <v>502</v>
      </c>
      <c r="B472" s="2">
        <v>45666</v>
      </c>
      <c r="C472" t="s">
        <v>17</v>
      </c>
      <c r="D472" t="s">
        <v>28</v>
      </c>
      <c r="E472" t="s">
        <v>19</v>
      </c>
      <c r="F472" t="s">
        <v>25</v>
      </c>
      <c r="G472" t="s">
        <v>26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1</v>
      </c>
      <c r="N472">
        <v>0</v>
      </c>
      <c r="P472">
        <v>52.9</v>
      </c>
      <c r="R472" t="str">
        <f t="shared" si="42"/>
        <v>Unique</v>
      </c>
      <c r="S472" t="str">
        <f t="shared" si="43"/>
        <v>Valid</v>
      </c>
      <c r="T472" t="str">
        <f t="shared" si="44"/>
        <v>Valid</v>
      </c>
      <c r="U472" t="str">
        <f t="shared" si="45"/>
        <v>Valid</v>
      </c>
      <c r="V472" t="str">
        <f t="shared" si="46"/>
        <v>Valid</v>
      </c>
      <c r="W472" t="str">
        <f t="shared" si="47"/>
        <v>Valid</v>
      </c>
    </row>
    <row r="473" spans="1:23">
      <c r="A473" t="s">
        <v>503</v>
      </c>
      <c r="B473" s="2">
        <v>45723</v>
      </c>
      <c r="C473" t="s">
        <v>17</v>
      </c>
      <c r="D473" t="s">
        <v>23</v>
      </c>
      <c r="E473" t="s">
        <v>24</v>
      </c>
      <c r="F473" t="s">
        <v>25</v>
      </c>
      <c r="G473" t="s">
        <v>26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P473">
        <v>67.8</v>
      </c>
      <c r="R473" t="str">
        <f t="shared" si="42"/>
        <v>Unique</v>
      </c>
      <c r="S473" t="str">
        <f t="shared" si="43"/>
        <v>Valid</v>
      </c>
      <c r="T473" t="str">
        <f t="shared" si="44"/>
        <v>Valid</v>
      </c>
      <c r="U473" t="str">
        <f t="shared" si="45"/>
        <v>Valid</v>
      </c>
      <c r="V473" t="str">
        <f t="shared" si="46"/>
        <v>Valid</v>
      </c>
      <c r="W473" t="str">
        <f t="shared" si="47"/>
        <v>Valid</v>
      </c>
    </row>
    <row r="474" spans="1:23">
      <c r="A474" t="s">
        <v>504</v>
      </c>
      <c r="B474" s="2">
        <v>45770</v>
      </c>
      <c r="C474" t="s">
        <v>17</v>
      </c>
      <c r="D474" t="s">
        <v>32</v>
      </c>
      <c r="E474" t="s">
        <v>24</v>
      </c>
      <c r="F474" t="s">
        <v>41</v>
      </c>
      <c r="G474" t="s">
        <v>26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P474">
        <v>48.7</v>
      </c>
      <c r="R474" t="str">
        <f t="shared" si="42"/>
        <v>Unique</v>
      </c>
      <c r="S474" t="str">
        <f t="shared" si="43"/>
        <v>Valid</v>
      </c>
      <c r="T474" t="str">
        <f t="shared" si="44"/>
        <v>Valid</v>
      </c>
      <c r="U474" t="str">
        <f t="shared" si="45"/>
        <v>Valid</v>
      </c>
      <c r="V474" t="str">
        <f t="shared" si="46"/>
        <v>Valid</v>
      </c>
      <c r="W474" t="str">
        <f t="shared" si="47"/>
        <v>Valid</v>
      </c>
    </row>
    <row r="475" spans="1:23">
      <c r="A475" t="s">
        <v>505</v>
      </c>
      <c r="B475" s="2">
        <v>45724</v>
      </c>
      <c r="C475" t="s">
        <v>17</v>
      </c>
      <c r="D475" t="s">
        <v>28</v>
      </c>
      <c r="E475" t="s">
        <v>24</v>
      </c>
      <c r="F475" t="s">
        <v>25</v>
      </c>
      <c r="G475" t="s">
        <v>21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P475">
        <v>59</v>
      </c>
      <c r="R475" t="str">
        <f t="shared" si="42"/>
        <v>Unique</v>
      </c>
      <c r="S475" t="str">
        <f t="shared" si="43"/>
        <v>Valid</v>
      </c>
      <c r="T475" t="str">
        <f t="shared" si="44"/>
        <v>Valid</v>
      </c>
      <c r="U475" t="str">
        <f t="shared" si="45"/>
        <v>Valid</v>
      </c>
      <c r="V475" t="str">
        <f t="shared" si="46"/>
        <v>Valid</v>
      </c>
      <c r="W475" t="str">
        <f t="shared" si="47"/>
        <v>Valid</v>
      </c>
    </row>
    <row r="476" spans="1:23">
      <c r="A476" t="s">
        <v>506</v>
      </c>
      <c r="B476" s="2">
        <v>45702</v>
      </c>
      <c r="C476" t="s">
        <v>17</v>
      </c>
      <c r="D476" t="s">
        <v>32</v>
      </c>
      <c r="E476" t="s">
        <v>24</v>
      </c>
      <c r="F476" t="s">
        <v>39</v>
      </c>
      <c r="G476" t="s">
        <v>26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P476">
        <v>63.2</v>
      </c>
      <c r="R476" t="str">
        <f t="shared" si="42"/>
        <v>Unique</v>
      </c>
      <c r="S476" t="str">
        <f t="shared" si="43"/>
        <v>Valid</v>
      </c>
      <c r="T476" t="str">
        <f t="shared" si="44"/>
        <v>Valid</v>
      </c>
      <c r="U476" t="str">
        <f t="shared" si="45"/>
        <v>Valid</v>
      </c>
      <c r="V476" t="str">
        <f t="shared" si="46"/>
        <v>Valid</v>
      </c>
      <c r="W476" t="str">
        <f t="shared" si="47"/>
        <v>Valid</v>
      </c>
    </row>
    <row r="477" spans="1:23">
      <c r="A477" t="s">
        <v>507</v>
      </c>
      <c r="B477" s="2">
        <v>45794</v>
      </c>
      <c r="C477" t="s">
        <v>17</v>
      </c>
      <c r="D477" t="s">
        <v>23</v>
      </c>
      <c r="E477" t="s">
        <v>24</v>
      </c>
      <c r="F477" t="s">
        <v>39</v>
      </c>
      <c r="G477" t="s">
        <v>21</v>
      </c>
      <c r="H477">
        <v>1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P477">
        <v>68.7</v>
      </c>
      <c r="R477" t="str">
        <f t="shared" si="42"/>
        <v>Unique</v>
      </c>
      <c r="S477" t="str">
        <f t="shared" si="43"/>
        <v>Valid</v>
      </c>
      <c r="T477" t="str">
        <f t="shared" si="44"/>
        <v>Valid</v>
      </c>
      <c r="U477" t="str">
        <f t="shared" si="45"/>
        <v>Valid</v>
      </c>
      <c r="V477" t="str">
        <f t="shared" si="46"/>
        <v>Valid</v>
      </c>
      <c r="W477" t="str">
        <f t="shared" si="47"/>
        <v>Valid</v>
      </c>
    </row>
    <row r="478" spans="1:23">
      <c r="A478" t="s">
        <v>508</v>
      </c>
      <c r="B478" s="2">
        <v>45772</v>
      </c>
      <c r="C478" t="s">
        <v>17</v>
      </c>
      <c r="D478" t="s">
        <v>32</v>
      </c>
      <c r="E478" t="s">
        <v>24</v>
      </c>
      <c r="F478" t="s">
        <v>39</v>
      </c>
      <c r="G478" t="s">
        <v>26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P478">
        <v>52.1</v>
      </c>
      <c r="R478" t="str">
        <f t="shared" si="42"/>
        <v>Unique</v>
      </c>
      <c r="S478" t="str">
        <f t="shared" si="43"/>
        <v>Valid</v>
      </c>
      <c r="T478" t="str">
        <f t="shared" si="44"/>
        <v>Valid</v>
      </c>
      <c r="U478" t="str">
        <f t="shared" si="45"/>
        <v>Valid</v>
      </c>
      <c r="V478" t="str">
        <f t="shared" si="46"/>
        <v>Valid</v>
      </c>
      <c r="W478" t="str">
        <f t="shared" si="47"/>
        <v>Valid</v>
      </c>
    </row>
    <row r="479" spans="1:23">
      <c r="A479" t="s">
        <v>509</v>
      </c>
      <c r="B479" s="2">
        <v>45720</v>
      </c>
      <c r="C479" t="s">
        <v>17</v>
      </c>
      <c r="D479" t="s">
        <v>32</v>
      </c>
      <c r="E479" t="s">
        <v>19</v>
      </c>
      <c r="F479" t="s">
        <v>41</v>
      </c>
      <c r="G479" t="s">
        <v>21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P479">
        <v>56.5</v>
      </c>
      <c r="R479" t="str">
        <f t="shared" si="42"/>
        <v>Unique</v>
      </c>
      <c r="S479" t="str">
        <f t="shared" si="43"/>
        <v>Valid</v>
      </c>
      <c r="T479" t="str">
        <f t="shared" si="44"/>
        <v>Valid</v>
      </c>
      <c r="U479" t="str">
        <f t="shared" si="45"/>
        <v>Valid</v>
      </c>
      <c r="V479" t="str">
        <f t="shared" si="46"/>
        <v>Valid</v>
      </c>
      <c r="W479" t="str">
        <f t="shared" si="47"/>
        <v>Valid</v>
      </c>
    </row>
    <row r="480" spans="1:23">
      <c r="A480" t="s">
        <v>510</v>
      </c>
      <c r="B480" s="2">
        <v>45734</v>
      </c>
      <c r="C480" t="s">
        <v>17</v>
      </c>
      <c r="D480" t="s">
        <v>32</v>
      </c>
      <c r="E480" t="s">
        <v>24</v>
      </c>
      <c r="F480" t="s">
        <v>25</v>
      </c>
      <c r="G480" t="s">
        <v>26</v>
      </c>
      <c r="H480">
        <v>1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P480">
        <v>64.400000000000006</v>
      </c>
      <c r="R480" t="str">
        <f t="shared" si="42"/>
        <v>Unique</v>
      </c>
      <c r="S480" t="str">
        <f t="shared" si="43"/>
        <v>Valid</v>
      </c>
      <c r="T480" t="str">
        <f t="shared" si="44"/>
        <v>Valid</v>
      </c>
      <c r="U480" t="str">
        <f t="shared" si="45"/>
        <v>Valid</v>
      </c>
      <c r="V480" t="str">
        <f t="shared" si="46"/>
        <v>Valid</v>
      </c>
      <c r="W480" t="str">
        <f t="shared" si="47"/>
        <v>Valid</v>
      </c>
    </row>
    <row r="481" spans="1:23">
      <c r="A481" t="s">
        <v>511</v>
      </c>
      <c r="B481" s="2">
        <v>45687</v>
      </c>
      <c r="C481" t="s">
        <v>17</v>
      </c>
      <c r="D481" t="s">
        <v>23</v>
      </c>
      <c r="E481" t="s">
        <v>24</v>
      </c>
      <c r="F481" t="s">
        <v>29</v>
      </c>
      <c r="G481" t="s">
        <v>30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P481">
        <v>65.900000000000006</v>
      </c>
      <c r="R481" t="str">
        <f t="shared" si="42"/>
        <v>Unique</v>
      </c>
      <c r="S481" t="str">
        <f t="shared" si="43"/>
        <v>Valid</v>
      </c>
      <c r="T481" t="str">
        <f t="shared" si="44"/>
        <v>Valid</v>
      </c>
      <c r="U481" t="str">
        <f t="shared" si="45"/>
        <v>Valid</v>
      </c>
      <c r="V481" t="str">
        <f t="shared" si="46"/>
        <v>Valid</v>
      </c>
      <c r="W481" t="str">
        <f t="shared" si="47"/>
        <v>Valid</v>
      </c>
    </row>
    <row r="482" spans="1:23">
      <c r="A482" t="s">
        <v>512</v>
      </c>
      <c r="B482" s="2">
        <v>45797</v>
      </c>
      <c r="C482" t="s">
        <v>17</v>
      </c>
      <c r="D482" t="s">
        <v>23</v>
      </c>
      <c r="E482" t="s">
        <v>34</v>
      </c>
      <c r="F482" t="s">
        <v>39</v>
      </c>
      <c r="G482" t="s">
        <v>26</v>
      </c>
      <c r="H482">
        <v>1</v>
      </c>
      <c r="I482">
        <v>1</v>
      </c>
      <c r="J482">
        <v>1</v>
      </c>
      <c r="K482">
        <v>0</v>
      </c>
      <c r="L482">
        <v>0</v>
      </c>
      <c r="M482">
        <v>0</v>
      </c>
      <c r="N482">
        <v>0</v>
      </c>
      <c r="P482">
        <v>100</v>
      </c>
      <c r="R482" t="str">
        <f t="shared" si="42"/>
        <v>Unique</v>
      </c>
      <c r="S482" t="str">
        <f t="shared" si="43"/>
        <v>Valid</v>
      </c>
      <c r="T482" t="str">
        <f t="shared" si="44"/>
        <v>Valid</v>
      </c>
      <c r="U482" t="str">
        <f t="shared" si="45"/>
        <v>Valid</v>
      </c>
      <c r="V482" t="str">
        <f t="shared" si="46"/>
        <v>Valid</v>
      </c>
      <c r="W482" t="str">
        <f t="shared" si="47"/>
        <v>Valid</v>
      </c>
    </row>
    <row r="483" spans="1:23">
      <c r="A483" t="s">
        <v>513</v>
      </c>
      <c r="B483" s="2">
        <v>45701</v>
      </c>
      <c r="C483" t="s">
        <v>17</v>
      </c>
      <c r="D483" t="s">
        <v>18</v>
      </c>
      <c r="E483" t="s">
        <v>1451</v>
      </c>
      <c r="F483" t="s">
        <v>25</v>
      </c>
      <c r="G483" t="s">
        <v>21</v>
      </c>
      <c r="H483">
        <v>1</v>
      </c>
      <c r="I483">
        <v>1</v>
      </c>
      <c r="J483">
        <v>1</v>
      </c>
      <c r="K483">
        <v>0</v>
      </c>
      <c r="L483">
        <v>0</v>
      </c>
      <c r="M483">
        <v>0</v>
      </c>
      <c r="N483">
        <v>0</v>
      </c>
      <c r="P483">
        <v>50.4</v>
      </c>
      <c r="R483" t="str">
        <f t="shared" si="42"/>
        <v>Unique</v>
      </c>
      <c r="S483" t="str">
        <f t="shared" si="43"/>
        <v>Valid</v>
      </c>
      <c r="T483" t="str">
        <f t="shared" si="44"/>
        <v>Valid</v>
      </c>
      <c r="U483" t="str">
        <f t="shared" si="45"/>
        <v>Valid</v>
      </c>
      <c r="V483" t="str">
        <f t="shared" si="46"/>
        <v>Valid</v>
      </c>
      <c r="W483" t="str">
        <f t="shared" si="47"/>
        <v>Valid</v>
      </c>
    </row>
    <row r="484" spans="1:23">
      <c r="A484" t="s">
        <v>514</v>
      </c>
      <c r="B484" s="2">
        <v>45759</v>
      </c>
      <c r="C484" t="s">
        <v>17</v>
      </c>
      <c r="D484" t="s">
        <v>23</v>
      </c>
      <c r="E484" t="s">
        <v>19</v>
      </c>
      <c r="F484" t="s">
        <v>25</v>
      </c>
      <c r="G484" t="s">
        <v>21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P484">
        <v>41.5</v>
      </c>
      <c r="R484" t="str">
        <f t="shared" si="42"/>
        <v>Unique</v>
      </c>
      <c r="S484" t="str">
        <f t="shared" si="43"/>
        <v>Valid</v>
      </c>
      <c r="T484" t="str">
        <f t="shared" si="44"/>
        <v>Valid</v>
      </c>
      <c r="U484" t="str">
        <f t="shared" si="45"/>
        <v>Valid</v>
      </c>
      <c r="V484" t="str">
        <f t="shared" si="46"/>
        <v>Valid</v>
      </c>
      <c r="W484" t="str">
        <f t="shared" si="47"/>
        <v>Valid</v>
      </c>
    </row>
    <row r="485" spans="1:23">
      <c r="A485" t="s">
        <v>515</v>
      </c>
      <c r="B485" s="2">
        <v>45754</v>
      </c>
      <c r="C485" t="s">
        <v>17</v>
      </c>
      <c r="D485" t="s">
        <v>18</v>
      </c>
      <c r="E485" t="s">
        <v>24</v>
      </c>
      <c r="F485" t="s">
        <v>20</v>
      </c>
      <c r="G485" t="s">
        <v>26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P485">
        <v>86.2</v>
      </c>
      <c r="R485" t="str">
        <f t="shared" si="42"/>
        <v>Unique</v>
      </c>
      <c r="S485" t="str">
        <f t="shared" si="43"/>
        <v>Valid</v>
      </c>
      <c r="T485" t="str">
        <f t="shared" si="44"/>
        <v>Valid</v>
      </c>
      <c r="U485" t="str">
        <f t="shared" si="45"/>
        <v>Valid</v>
      </c>
      <c r="V485" t="str">
        <f t="shared" si="46"/>
        <v>Valid</v>
      </c>
      <c r="W485" t="str">
        <f t="shared" si="47"/>
        <v>Valid</v>
      </c>
    </row>
    <row r="486" spans="1:23">
      <c r="A486" t="s">
        <v>516</v>
      </c>
      <c r="B486" s="2">
        <v>45728</v>
      </c>
      <c r="C486" t="s">
        <v>17</v>
      </c>
      <c r="D486" t="s">
        <v>18</v>
      </c>
      <c r="E486" t="s">
        <v>19</v>
      </c>
      <c r="F486" t="s">
        <v>41</v>
      </c>
      <c r="G486" t="s">
        <v>26</v>
      </c>
      <c r="H486">
        <v>1</v>
      </c>
      <c r="I486">
        <v>1</v>
      </c>
      <c r="J486">
        <v>1</v>
      </c>
      <c r="K486">
        <v>0</v>
      </c>
      <c r="L486">
        <v>0</v>
      </c>
      <c r="M486">
        <v>2</v>
      </c>
      <c r="N486">
        <v>0</v>
      </c>
      <c r="P486">
        <v>50.8</v>
      </c>
      <c r="R486" t="str">
        <f t="shared" si="42"/>
        <v>Unique</v>
      </c>
      <c r="S486" t="str">
        <f t="shared" si="43"/>
        <v>Valid</v>
      </c>
      <c r="T486" t="str">
        <f t="shared" si="44"/>
        <v>Valid</v>
      </c>
      <c r="U486" t="str">
        <f t="shared" si="45"/>
        <v>Valid</v>
      </c>
      <c r="V486" t="str">
        <f t="shared" si="46"/>
        <v>Valid</v>
      </c>
      <c r="W486" t="str">
        <f t="shared" si="47"/>
        <v>Valid</v>
      </c>
    </row>
    <row r="487" spans="1:23">
      <c r="A487" t="s">
        <v>517</v>
      </c>
      <c r="B487" s="2">
        <v>45695</v>
      </c>
      <c r="C487" t="s">
        <v>17</v>
      </c>
      <c r="D487" t="s">
        <v>23</v>
      </c>
      <c r="E487" t="s">
        <v>24</v>
      </c>
      <c r="F487" t="s">
        <v>25</v>
      </c>
      <c r="G487" t="s">
        <v>26</v>
      </c>
      <c r="H487">
        <v>1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P487">
        <v>50.9</v>
      </c>
      <c r="R487" t="str">
        <f t="shared" si="42"/>
        <v>Unique</v>
      </c>
      <c r="S487" t="str">
        <f t="shared" si="43"/>
        <v>Valid</v>
      </c>
      <c r="T487" t="str">
        <f t="shared" si="44"/>
        <v>Valid</v>
      </c>
      <c r="U487" t="str">
        <f t="shared" si="45"/>
        <v>Valid</v>
      </c>
      <c r="V487" t="str">
        <f t="shared" si="46"/>
        <v>Valid</v>
      </c>
      <c r="W487" t="str">
        <f t="shared" si="47"/>
        <v>Valid</v>
      </c>
    </row>
    <row r="488" spans="1:23">
      <c r="A488" t="s">
        <v>518</v>
      </c>
      <c r="B488" s="2">
        <v>45782</v>
      </c>
      <c r="C488" t="s">
        <v>17</v>
      </c>
      <c r="D488" t="s">
        <v>18</v>
      </c>
      <c r="E488" t="s">
        <v>24</v>
      </c>
      <c r="F488" t="s">
        <v>25</v>
      </c>
      <c r="G488" t="s">
        <v>30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P488">
        <v>87.5</v>
      </c>
      <c r="R488" t="str">
        <f t="shared" si="42"/>
        <v>Unique</v>
      </c>
      <c r="S488" t="str">
        <f t="shared" si="43"/>
        <v>Valid</v>
      </c>
      <c r="T488" t="str">
        <f t="shared" si="44"/>
        <v>Valid</v>
      </c>
      <c r="U488" t="str">
        <f t="shared" si="45"/>
        <v>Valid</v>
      </c>
      <c r="V488" t="str">
        <f t="shared" si="46"/>
        <v>Valid</v>
      </c>
      <c r="W488" t="str">
        <f t="shared" si="47"/>
        <v>Valid</v>
      </c>
    </row>
    <row r="489" spans="1:23">
      <c r="A489" t="s">
        <v>519</v>
      </c>
      <c r="B489" s="2">
        <v>45734</v>
      </c>
      <c r="C489" t="s">
        <v>17</v>
      </c>
      <c r="D489" t="s">
        <v>32</v>
      </c>
      <c r="E489" t="s">
        <v>24</v>
      </c>
      <c r="F489" t="s">
        <v>39</v>
      </c>
      <c r="G489" t="s">
        <v>26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P489">
        <v>43.6</v>
      </c>
      <c r="R489" t="str">
        <f t="shared" si="42"/>
        <v>Unique</v>
      </c>
      <c r="S489" t="str">
        <f t="shared" si="43"/>
        <v>Valid</v>
      </c>
      <c r="T489" t="str">
        <f t="shared" si="44"/>
        <v>Valid</v>
      </c>
      <c r="U489" t="str">
        <f t="shared" si="45"/>
        <v>Valid</v>
      </c>
      <c r="V489" t="str">
        <f t="shared" si="46"/>
        <v>Valid</v>
      </c>
      <c r="W489" t="str">
        <f t="shared" si="47"/>
        <v>Valid</v>
      </c>
    </row>
    <row r="490" spans="1:23">
      <c r="A490" t="s">
        <v>520</v>
      </c>
      <c r="B490" s="2">
        <v>45662</v>
      </c>
      <c r="C490" t="s">
        <v>17</v>
      </c>
      <c r="D490" t="s">
        <v>32</v>
      </c>
      <c r="E490" t="s">
        <v>24</v>
      </c>
      <c r="F490" t="s">
        <v>29</v>
      </c>
      <c r="G490" t="s">
        <v>21</v>
      </c>
      <c r="H490">
        <v>1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P490">
        <v>55.5</v>
      </c>
      <c r="R490" t="str">
        <f t="shared" si="42"/>
        <v>Unique</v>
      </c>
      <c r="S490" t="str">
        <f t="shared" si="43"/>
        <v>Valid</v>
      </c>
      <c r="T490" t="str">
        <f t="shared" si="44"/>
        <v>Valid</v>
      </c>
      <c r="U490" t="str">
        <f t="shared" si="45"/>
        <v>Valid</v>
      </c>
      <c r="V490" t="str">
        <f t="shared" si="46"/>
        <v>Valid</v>
      </c>
      <c r="W490" t="str">
        <f t="shared" si="47"/>
        <v>Valid</v>
      </c>
    </row>
    <row r="491" spans="1:23">
      <c r="A491" t="s">
        <v>521</v>
      </c>
      <c r="B491" s="2">
        <v>45787</v>
      </c>
      <c r="C491" t="s">
        <v>17</v>
      </c>
      <c r="D491" t="s">
        <v>32</v>
      </c>
      <c r="E491" t="s">
        <v>19</v>
      </c>
      <c r="F491" t="s">
        <v>39</v>
      </c>
      <c r="G491" t="s">
        <v>21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P491">
        <v>78.599999999999994</v>
      </c>
      <c r="R491" t="str">
        <f t="shared" si="42"/>
        <v>Unique</v>
      </c>
      <c r="S491" t="str">
        <f t="shared" si="43"/>
        <v>Valid</v>
      </c>
      <c r="T491" t="str">
        <f t="shared" si="44"/>
        <v>Valid</v>
      </c>
      <c r="U491" t="str">
        <f t="shared" si="45"/>
        <v>Valid</v>
      </c>
      <c r="V491" t="str">
        <f t="shared" si="46"/>
        <v>Valid</v>
      </c>
      <c r="W491" t="str">
        <f t="shared" si="47"/>
        <v>Valid</v>
      </c>
    </row>
    <row r="492" spans="1:23">
      <c r="A492" t="s">
        <v>522</v>
      </c>
      <c r="B492" s="2">
        <v>45660</v>
      </c>
      <c r="C492" t="s">
        <v>17</v>
      </c>
      <c r="D492" t="s">
        <v>32</v>
      </c>
      <c r="E492" t="s">
        <v>24</v>
      </c>
      <c r="F492" t="s">
        <v>41</v>
      </c>
      <c r="G492" t="s">
        <v>21</v>
      </c>
      <c r="H492">
        <v>1</v>
      </c>
      <c r="I492">
        <v>1</v>
      </c>
      <c r="J492">
        <v>0</v>
      </c>
      <c r="K492">
        <v>0</v>
      </c>
      <c r="L492">
        <v>0</v>
      </c>
      <c r="M492">
        <v>1</v>
      </c>
      <c r="N492">
        <v>0</v>
      </c>
      <c r="P492">
        <v>44.3</v>
      </c>
      <c r="R492" t="str">
        <f t="shared" si="42"/>
        <v>Unique</v>
      </c>
      <c r="S492" t="str">
        <f t="shared" si="43"/>
        <v>Valid</v>
      </c>
      <c r="T492" t="str">
        <f t="shared" si="44"/>
        <v>Valid</v>
      </c>
      <c r="U492" t="str">
        <f t="shared" si="45"/>
        <v>Valid</v>
      </c>
      <c r="V492" t="str">
        <f t="shared" si="46"/>
        <v>Valid</v>
      </c>
      <c r="W492" t="str">
        <f t="shared" si="47"/>
        <v>Valid</v>
      </c>
    </row>
    <row r="493" spans="1:23">
      <c r="A493" t="s">
        <v>523</v>
      </c>
      <c r="B493" s="2">
        <v>45785</v>
      </c>
      <c r="C493" t="s">
        <v>17</v>
      </c>
      <c r="D493" t="s">
        <v>32</v>
      </c>
      <c r="E493" t="s">
        <v>24</v>
      </c>
      <c r="F493" t="s">
        <v>29</v>
      </c>
      <c r="G493" t="s">
        <v>26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P493">
        <v>45.2</v>
      </c>
      <c r="R493" t="str">
        <f t="shared" si="42"/>
        <v>Unique</v>
      </c>
      <c r="S493" t="str">
        <f t="shared" si="43"/>
        <v>Valid</v>
      </c>
      <c r="T493" t="str">
        <f t="shared" si="44"/>
        <v>Valid</v>
      </c>
      <c r="U493" t="str">
        <f t="shared" si="45"/>
        <v>Valid</v>
      </c>
      <c r="V493" t="str">
        <f t="shared" si="46"/>
        <v>Valid</v>
      </c>
      <c r="W493" t="str">
        <f t="shared" si="47"/>
        <v>Valid</v>
      </c>
    </row>
    <row r="494" spans="1:23">
      <c r="A494" t="s">
        <v>524</v>
      </c>
      <c r="B494" s="2">
        <v>45721</v>
      </c>
      <c r="C494" t="s">
        <v>17</v>
      </c>
      <c r="D494" t="s">
        <v>32</v>
      </c>
      <c r="E494" t="s">
        <v>19</v>
      </c>
      <c r="F494" t="s">
        <v>20</v>
      </c>
      <c r="G494" t="s">
        <v>21</v>
      </c>
      <c r="H494">
        <v>1</v>
      </c>
      <c r="I494">
        <v>0</v>
      </c>
      <c r="J494">
        <v>0</v>
      </c>
      <c r="K494">
        <v>0</v>
      </c>
      <c r="L494">
        <v>0</v>
      </c>
      <c r="M494">
        <v>2</v>
      </c>
      <c r="N494">
        <v>0</v>
      </c>
      <c r="P494">
        <v>46.1</v>
      </c>
      <c r="R494" t="str">
        <f t="shared" si="42"/>
        <v>Unique</v>
      </c>
      <c r="S494" t="str">
        <f t="shared" si="43"/>
        <v>Valid</v>
      </c>
      <c r="T494" t="str">
        <f t="shared" si="44"/>
        <v>Valid</v>
      </c>
      <c r="U494" t="str">
        <f t="shared" si="45"/>
        <v>Valid</v>
      </c>
      <c r="V494" t="str">
        <f t="shared" si="46"/>
        <v>Valid</v>
      </c>
      <c r="W494" t="str">
        <f t="shared" si="47"/>
        <v>Valid</v>
      </c>
    </row>
    <row r="495" spans="1:23">
      <c r="A495" t="s">
        <v>525</v>
      </c>
      <c r="B495" s="2">
        <v>45705</v>
      </c>
      <c r="C495" t="s">
        <v>17</v>
      </c>
      <c r="D495" t="s">
        <v>18</v>
      </c>
      <c r="E495" t="s">
        <v>24</v>
      </c>
      <c r="F495" t="s">
        <v>25</v>
      </c>
      <c r="G495" t="s">
        <v>30</v>
      </c>
      <c r="H495">
        <v>1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P495">
        <v>49.6</v>
      </c>
      <c r="R495" t="str">
        <f t="shared" si="42"/>
        <v>Unique</v>
      </c>
      <c r="S495" t="str">
        <f t="shared" si="43"/>
        <v>Valid</v>
      </c>
      <c r="T495" t="str">
        <f t="shared" si="44"/>
        <v>Valid</v>
      </c>
      <c r="U495" t="str">
        <f t="shared" si="45"/>
        <v>Valid</v>
      </c>
      <c r="V495" t="str">
        <f t="shared" si="46"/>
        <v>Valid</v>
      </c>
      <c r="W495" t="str">
        <f t="shared" si="47"/>
        <v>Valid</v>
      </c>
    </row>
    <row r="496" spans="1:23">
      <c r="A496" t="s">
        <v>526</v>
      </c>
      <c r="B496" s="2">
        <v>45666</v>
      </c>
      <c r="C496" t="s">
        <v>17</v>
      </c>
      <c r="D496" t="s">
        <v>32</v>
      </c>
      <c r="E496" t="s">
        <v>24</v>
      </c>
      <c r="F496" t="s">
        <v>39</v>
      </c>
      <c r="G496" t="s">
        <v>21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P496">
        <v>70.5</v>
      </c>
      <c r="R496" t="str">
        <f t="shared" si="42"/>
        <v>Unique</v>
      </c>
      <c r="S496" t="str">
        <f t="shared" si="43"/>
        <v>Valid</v>
      </c>
      <c r="T496" t="str">
        <f t="shared" si="44"/>
        <v>Valid</v>
      </c>
      <c r="U496" t="str">
        <f t="shared" si="45"/>
        <v>Valid</v>
      </c>
      <c r="V496" t="str">
        <f t="shared" si="46"/>
        <v>Valid</v>
      </c>
      <c r="W496" t="str">
        <f t="shared" si="47"/>
        <v>Valid</v>
      </c>
    </row>
    <row r="497" spans="1:23">
      <c r="A497" t="s">
        <v>527</v>
      </c>
      <c r="B497" s="2">
        <v>45782</v>
      </c>
      <c r="C497" t="s">
        <v>17</v>
      </c>
      <c r="D497" t="s">
        <v>32</v>
      </c>
      <c r="E497" t="s">
        <v>24</v>
      </c>
      <c r="F497" t="s">
        <v>20</v>
      </c>
      <c r="G497" t="s">
        <v>21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1</v>
      </c>
      <c r="N497">
        <v>0</v>
      </c>
      <c r="P497">
        <v>60.8</v>
      </c>
      <c r="R497" t="str">
        <f t="shared" si="42"/>
        <v>Unique</v>
      </c>
      <c r="S497" t="str">
        <f t="shared" si="43"/>
        <v>Valid</v>
      </c>
      <c r="T497" t="str">
        <f t="shared" si="44"/>
        <v>Valid</v>
      </c>
      <c r="U497" t="str">
        <f t="shared" si="45"/>
        <v>Valid</v>
      </c>
      <c r="V497" t="str">
        <f t="shared" si="46"/>
        <v>Valid</v>
      </c>
      <c r="W497" t="str">
        <f t="shared" si="47"/>
        <v>Valid</v>
      </c>
    </row>
    <row r="498" spans="1:23">
      <c r="A498" t="s">
        <v>528</v>
      </c>
      <c r="B498" s="2">
        <v>45763</v>
      </c>
      <c r="C498" t="s">
        <v>17</v>
      </c>
      <c r="D498" t="s">
        <v>28</v>
      </c>
      <c r="E498" t="s">
        <v>24</v>
      </c>
      <c r="F498" t="s">
        <v>20</v>
      </c>
      <c r="G498" t="s">
        <v>21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1</v>
      </c>
      <c r="N498">
        <v>0</v>
      </c>
      <c r="P498">
        <v>50.5</v>
      </c>
      <c r="R498" t="str">
        <f t="shared" si="42"/>
        <v>Unique</v>
      </c>
      <c r="S498" t="str">
        <f t="shared" si="43"/>
        <v>Valid</v>
      </c>
      <c r="T498" t="str">
        <f t="shared" si="44"/>
        <v>Valid</v>
      </c>
      <c r="U498" t="str">
        <f t="shared" si="45"/>
        <v>Valid</v>
      </c>
      <c r="V498" t="str">
        <f t="shared" si="46"/>
        <v>Valid</v>
      </c>
      <c r="W498" t="str">
        <f t="shared" si="47"/>
        <v>Valid</v>
      </c>
    </row>
    <row r="499" spans="1:23">
      <c r="A499" t="s">
        <v>529</v>
      </c>
      <c r="B499" s="2">
        <v>45718</v>
      </c>
      <c r="C499" t="s">
        <v>17</v>
      </c>
      <c r="D499" t="s">
        <v>32</v>
      </c>
      <c r="E499" t="s">
        <v>19</v>
      </c>
      <c r="F499" t="s">
        <v>25</v>
      </c>
      <c r="G499" t="s">
        <v>26</v>
      </c>
      <c r="H499">
        <v>1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P499">
        <v>54.9</v>
      </c>
      <c r="R499" t="str">
        <f t="shared" si="42"/>
        <v>Unique</v>
      </c>
      <c r="S499" t="str">
        <f t="shared" si="43"/>
        <v>Valid</v>
      </c>
      <c r="T499" t="str">
        <f t="shared" si="44"/>
        <v>Valid</v>
      </c>
      <c r="U499" t="str">
        <f t="shared" si="45"/>
        <v>Valid</v>
      </c>
      <c r="V499" t="str">
        <f t="shared" si="46"/>
        <v>Valid</v>
      </c>
      <c r="W499" t="str">
        <f t="shared" si="47"/>
        <v>Valid</v>
      </c>
    </row>
    <row r="500" spans="1:23">
      <c r="A500" t="s">
        <v>530</v>
      </c>
      <c r="B500" s="2">
        <v>45761</v>
      </c>
      <c r="C500" t="s">
        <v>17</v>
      </c>
      <c r="D500" t="s">
        <v>32</v>
      </c>
      <c r="E500" t="s">
        <v>24</v>
      </c>
      <c r="F500" t="s">
        <v>41</v>
      </c>
      <c r="G500" t="s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P500">
        <v>29.9</v>
      </c>
      <c r="R500" t="str">
        <f t="shared" si="42"/>
        <v>Unique</v>
      </c>
      <c r="S500" t="str">
        <f t="shared" si="43"/>
        <v>Valid</v>
      </c>
      <c r="T500" t="str">
        <f t="shared" si="44"/>
        <v>Valid</v>
      </c>
      <c r="U500" t="str">
        <f t="shared" si="45"/>
        <v>Valid</v>
      </c>
      <c r="V500" t="str">
        <f t="shared" si="46"/>
        <v>Valid</v>
      </c>
      <c r="W500" t="str">
        <f t="shared" si="47"/>
        <v>Valid</v>
      </c>
    </row>
    <row r="501" spans="1:23">
      <c r="A501" t="s">
        <v>531</v>
      </c>
      <c r="B501" s="2">
        <v>45703</v>
      </c>
      <c r="C501" t="s">
        <v>17</v>
      </c>
      <c r="D501" t="s">
        <v>28</v>
      </c>
      <c r="E501" t="s">
        <v>19</v>
      </c>
      <c r="F501" t="s">
        <v>29</v>
      </c>
      <c r="G501" t="s">
        <v>21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P501">
        <v>48.3</v>
      </c>
      <c r="R501" t="str">
        <f t="shared" si="42"/>
        <v>Unique</v>
      </c>
      <c r="S501" t="str">
        <f t="shared" si="43"/>
        <v>Valid</v>
      </c>
      <c r="T501" t="str">
        <f t="shared" si="44"/>
        <v>Valid</v>
      </c>
      <c r="U501" t="str">
        <f t="shared" si="45"/>
        <v>Valid</v>
      </c>
      <c r="V501" t="str">
        <f t="shared" si="46"/>
        <v>Valid</v>
      </c>
      <c r="W501" t="str">
        <f t="shared" si="47"/>
        <v>Valid</v>
      </c>
    </row>
    <row r="502" spans="1:23">
      <c r="A502" t="s">
        <v>532</v>
      </c>
      <c r="B502" s="2">
        <v>45701</v>
      </c>
      <c r="C502" t="s">
        <v>17</v>
      </c>
      <c r="D502" t="s">
        <v>23</v>
      </c>
      <c r="E502" t="s">
        <v>24</v>
      </c>
      <c r="F502" t="s">
        <v>41</v>
      </c>
      <c r="G502" t="s">
        <v>26</v>
      </c>
      <c r="H502">
        <v>1</v>
      </c>
      <c r="I502">
        <v>1</v>
      </c>
      <c r="J502">
        <v>1</v>
      </c>
      <c r="K502">
        <v>1</v>
      </c>
      <c r="L502">
        <v>513.61</v>
      </c>
      <c r="M502">
        <v>0</v>
      </c>
      <c r="N502">
        <v>0</v>
      </c>
      <c r="O502">
        <v>7</v>
      </c>
      <c r="P502">
        <v>41.3</v>
      </c>
      <c r="R502" t="str">
        <f t="shared" si="42"/>
        <v>Unique</v>
      </c>
      <c r="S502" t="str">
        <f t="shared" si="43"/>
        <v>Valid</v>
      </c>
      <c r="T502" t="str">
        <f t="shared" si="44"/>
        <v>Valid</v>
      </c>
      <c r="U502" t="str">
        <f t="shared" si="45"/>
        <v>Valid</v>
      </c>
      <c r="V502" t="str">
        <f t="shared" si="46"/>
        <v>Valid</v>
      </c>
      <c r="W502" t="str">
        <f t="shared" si="47"/>
        <v>Valid</v>
      </c>
    </row>
    <row r="503" spans="1:23">
      <c r="A503" t="s">
        <v>533</v>
      </c>
      <c r="B503" s="2">
        <v>45722</v>
      </c>
      <c r="C503" t="s">
        <v>17</v>
      </c>
      <c r="D503" t="s">
        <v>18</v>
      </c>
      <c r="E503" t="s">
        <v>24</v>
      </c>
      <c r="F503" t="s">
        <v>20</v>
      </c>
      <c r="G503" t="s">
        <v>26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P503">
        <v>61.4</v>
      </c>
      <c r="R503" t="str">
        <f t="shared" si="42"/>
        <v>Unique</v>
      </c>
      <c r="S503" t="str">
        <f t="shared" si="43"/>
        <v>Valid</v>
      </c>
      <c r="T503" t="str">
        <f t="shared" si="44"/>
        <v>Valid</v>
      </c>
      <c r="U503" t="str">
        <f t="shared" si="45"/>
        <v>Valid</v>
      </c>
      <c r="V503" t="str">
        <f t="shared" si="46"/>
        <v>Valid</v>
      </c>
      <c r="W503" t="str">
        <f t="shared" si="47"/>
        <v>Valid</v>
      </c>
    </row>
    <row r="504" spans="1:23">
      <c r="A504" t="s">
        <v>534</v>
      </c>
      <c r="B504" s="2">
        <v>45706</v>
      </c>
      <c r="C504" t="s">
        <v>17</v>
      </c>
      <c r="D504" t="s">
        <v>32</v>
      </c>
      <c r="E504" t="s">
        <v>19</v>
      </c>
      <c r="F504" t="s">
        <v>41</v>
      </c>
      <c r="G504" t="s">
        <v>26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P504">
        <v>57.8</v>
      </c>
      <c r="R504" t="str">
        <f t="shared" si="42"/>
        <v>Unique</v>
      </c>
      <c r="S504" t="str">
        <f t="shared" si="43"/>
        <v>Valid</v>
      </c>
      <c r="T504" t="str">
        <f t="shared" si="44"/>
        <v>Valid</v>
      </c>
      <c r="U504" t="str">
        <f t="shared" si="45"/>
        <v>Valid</v>
      </c>
      <c r="V504" t="str">
        <f t="shared" si="46"/>
        <v>Valid</v>
      </c>
      <c r="W504" t="str">
        <f t="shared" si="47"/>
        <v>Valid</v>
      </c>
    </row>
    <row r="505" spans="1:23">
      <c r="A505" t="s">
        <v>535</v>
      </c>
      <c r="B505" s="2">
        <v>45754</v>
      </c>
      <c r="C505" t="s">
        <v>17</v>
      </c>
      <c r="D505" t="s">
        <v>18</v>
      </c>
      <c r="E505" t="s">
        <v>19</v>
      </c>
      <c r="F505" t="s">
        <v>25</v>
      </c>
      <c r="G505" t="s">
        <v>26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P505">
        <v>78.2</v>
      </c>
      <c r="R505" t="str">
        <f t="shared" si="42"/>
        <v>Unique</v>
      </c>
      <c r="S505" t="str">
        <f t="shared" si="43"/>
        <v>Valid</v>
      </c>
      <c r="T505" t="str">
        <f t="shared" si="44"/>
        <v>Valid</v>
      </c>
      <c r="U505" t="str">
        <f t="shared" si="45"/>
        <v>Valid</v>
      </c>
      <c r="V505" t="str">
        <f t="shared" si="46"/>
        <v>Valid</v>
      </c>
      <c r="W505" t="str">
        <f t="shared" si="47"/>
        <v>Valid</v>
      </c>
    </row>
    <row r="506" spans="1:23">
      <c r="A506" t="s">
        <v>536</v>
      </c>
      <c r="B506" s="2">
        <v>45753</v>
      </c>
      <c r="C506" t="s">
        <v>17</v>
      </c>
      <c r="D506" t="s">
        <v>18</v>
      </c>
      <c r="E506" t="s">
        <v>24</v>
      </c>
      <c r="F506" t="s">
        <v>39</v>
      </c>
      <c r="G506" t="s">
        <v>26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P506">
        <v>63.8</v>
      </c>
      <c r="R506" t="str">
        <f t="shared" si="42"/>
        <v>Unique</v>
      </c>
      <c r="S506" t="str">
        <f t="shared" si="43"/>
        <v>Valid</v>
      </c>
      <c r="T506" t="str">
        <f t="shared" si="44"/>
        <v>Valid</v>
      </c>
      <c r="U506" t="str">
        <f t="shared" si="45"/>
        <v>Valid</v>
      </c>
      <c r="V506" t="str">
        <f t="shared" si="46"/>
        <v>Valid</v>
      </c>
      <c r="W506" t="str">
        <f t="shared" si="47"/>
        <v>Valid</v>
      </c>
    </row>
    <row r="507" spans="1:23">
      <c r="A507" t="s">
        <v>537</v>
      </c>
      <c r="B507" s="2">
        <v>45687</v>
      </c>
      <c r="C507" t="s">
        <v>17</v>
      </c>
      <c r="D507" t="s">
        <v>18</v>
      </c>
      <c r="E507" t="s">
        <v>19</v>
      </c>
      <c r="F507" t="s">
        <v>41</v>
      </c>
      <c r="G507" t="s">
        <v>26</v>
      </c>
      <c r="H507">
        <v>1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P507">
        <v>56.8</v>
      </c>
      <c r="R507" t="str">
        <f t="shared" si="42"/>
        <v>Unique</v>
      </c>
      <c r="S507" t="str">
        <f t="shared" si="43"/>
        <v>Valid</v>
      </c>
      <c r="T507" t="str">
        <f t="shared" si="44"/>
        <v>Valid</v>
      </c>
      <c r="U507" t="str">
        <f t="shared" si="45"/>
        <v>Valid</v>
      </c>
      <c r="V507" t="str">
        <f t="shared" si="46"/>
        <v>Valid</v>
      </c>
      <c r="W507" t="str">
        <f t="shared" si="47"/>
        <v>Valid</v>
      </c>
    </row>
    <row r="508" spans="1:23">
      <c r="A508" t="s">
        <v>538</v>
      </c>
      <c r="B508" s="2">
        <v>45790</v>
      </c>
      <c r="C508" t="s">
        <v>17</v>
      </c>
      <c r="D508" t="s">
        <v>32</v>
      </c>
      <c r="E508" t="s">
        <v>19</v>
      </c>
      <c r="F508" t="s">
        <v>25</v>
      </c>
      <c r="G508" t="s">
        <v>21</v>
      </c>
      <c r="H508">
        <v>1</v>
      </c>
      <c r="I508">
        <v>1</v>
      </c>
      <c r="J508">
        <v>0</v>
      </c>
      <c r="K508">
        <v>0</v>
      </c>
      <c r="L508">
        <v>0</v>
      </c>
      <c r="M508">
        <v>0</v>
      </c>
      <c r="N508">
        <v>0</v>
      </c>
      <c r="P508">
        <v>59.6</v>
      </c>
      <c r="R508" t="str">
        <f t="shared" si="42"/>
        <v>Unique</v>
      </c>
      <c r="S508" t="str">
        <f t="shared" si="43"/>
        <v>Valid</v>
      </c>
      <c r="T508" t="str">
        <f t="shared" si="44"/>
        <v>Valid</v>
      </c>
      <c r="U508" t="str">
        <f t="shared" si="45"/>
        <v>Valid</v>
      </c>
      <c r="V508" t="str">
        <f t="shared" si="46"/>
        <v>Valid</v>
      </c>
      <c r="W508" t="str">
        <f t="shared" si="47"/>
        <v>Valid</v>
      </c>
    </row>
    <row r="509" spans="1:23">
      <c r="A509" t="s">
        <v>539</v>
      </c>
      <c r="B509" s="2">
        <v>45677</v>
      </c>
      <c r="C509" t="s">
        <v>17</v>
      </c>
      <c r="D509" t="s">
        <v>23</v>
      </c>
      <c r="E509" t="s">
        <v>24</v>
      </c>
      <c r="F509" t="s">
        <v>29</v>
      </c>
      <c r="G509" t="s">
        <v>30</v>
      </c>
      <c r="H509">
        <v>1</v>
      </c>
      <c r="I509">
        <v>1</v>
      </c>
      <c r="J509">
        <v>0</v>
      </c>
      <c r="K509">
        <v>0</v>
      </c>
      <c r="L509">
        <v>0</v>
      </c>
      <c r="M509">
        <v>0</v>
      </c>
      <c r="N509">
        <v>0</v>
      </c>
      <c r="P509">
        <v>50</v>
      </c>
      <c r="R509" t="str">
        <f t="shared" si="42"/>
        <v>Unique</v>
      </c>
      <c r="S509" t="str">
        <f t="shared" si="43"/>
        <v>Valid</v>
      </c>
      <c r="T509" t="str">
        <f t="shared" si="44"/>
        <v>Valid</v>
      </c>
      <c r="U509" t="str">
        <f t="shared" si="45"/>
        <v>Valid</v>
      </c>
      <c r="V509" t="str">
        <f t="shared" si="46"/>
        <v>Valid</v>
      </c>
      <c r="W509" t="str">
        <f t="shared" si="47"/>
        <v>Valid</v>
      </c>
    </row>
    <row r="510" spans="1:23">
      <c r="A510" t="s">
        <v>540</v>
      </c>
      <c r="B510" s="2">
        <v>45687</v>
      </c>
      <c r="C510" t="s">
        <v>17</v>
      </c>
      <c r="D510" t="s">
        <v>18</v>
      </c>
      <c r="E510" t="s">
        <v>34</v>
      </c>
      <c r="F510" t="s">
        <v>25</v>
      </c>
      <c r="G510" t="s">
        <v>26</v>
      </c>
      <c r="H510">
        <v>1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P510">
        <v>35.700000000000003</v>
      </c>
      <c r="R510" t="str">
        <f t="shared" si="42"/>
        <v>Unique</v>
      </c>
      <c r="S510" t="str">
        <f t="shared" si="43"/>
        <v>Valid</v>
      </c>
      <c r="T510" t="str">
        <f t="shared" si="44"/>
        <v>Valid</v>
      </c>
      <c r="U510" t="str">
        <f t="shared" si="45"/>
        <v>Valid</v>
      </c>
      <c r="V510" t="str">
        <f t="shared" si="46"/>
        <v>Valid</v>
      </c>
      <c r="W510" t="str">
        <f t="shared" si="47"/>
        <v>Valid</v>
      </c>
    </row>
    <row r="511" spans="1:23">
      <c r="A511" t="s">
        <v>541</v>
      </c>
      <c r="B511" s="2">
        <v>45670</v>
      </c>
      <c r="C511" t="s">
        <v>17</v>
      </c>
      <c r="D511" t="s">
        <v>32</v>
      </c>
      <c r="E511" t="s">
        <v>24</v>
      </c>
      <c r="F511" t="s">
        <v>25</v>
      </c>
      <c r="G511" t="s">
        <v>26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2</v>
      </c>
      <c r="N511">
        <v>0</v>
      </c>
      <c r="P511">
        <v>47.2</v>
      </c>
      <c r="R511" t="str">
        <f t="shared" si="42"/>
        <v>Unique</v>
      </c>
      <c r="S511" t="str">
        <f t="shared" si="43"/>
        <v>Valid</v>
      </c>
      <c r="T511" t="str">
        <f t="shared" si="44"/>
        <v>Valid</v>
      </c>
      <c r="U511" t="str">
        <f t="shared" si="45"/>
        <v>Valid</v>
      </c>
      <c r="V511" t="str">
        <f t="shared" si="46"/>
        <v>Valid</v>
      </c>
      <c r="W511" t="str">
        <f t="shared" si="47"/>
        <v>Valid</v>
      </c>
    </row>
    <row r="512" spans="1:23">
      <c r="A512" t="s">
        <v>542</v>
      </c>
      <c r="B512" s="2">
        <v>45699</v>
      </c>
      <c r="C512" t="s">
        <v>17</v>
      </c>
      <c r="D512" t="s">
        <v>18</v>
      </c>
      <c r="E512" t="s">
        <v>24</v>
      </c>
      <c r="F512" t="s">
        <v>41</v>
      </c>
      <c r="G512" t="s">
        <v>26</v>
      </c>
      <c r="H512">
        <v>1</v>
      </c>
      <c r="I512">
        <v>1</v>
      </c>
      <c r="J512">
        <v>0</v>
      </c>
      <c r="K512">
        <v>0</v>
      </c>
      <c r="L512">
        <v>0</v>
      </c>
      <c r="M512">
        <v>0</v>
      </c>
      <c r="N512">
        <v>0</v>
      </c>
      <c r="P512">
        <v>56.9</v>
      </c>
      <c r="R512" t="str">
        <f t="shared" si="42"/>
        <v>Unique</v>
      </c>
      <c r="S512" t="str">
        <f t="shared" si="43"/>
        <v>Valid</v>
      </c>
      <c r="T512" t="str">
        <f t="shared" si="44"/>
        <v>Valid</v>
      </c>
      <c r="U512" t="str">
        <f t="shared" si="45"/>
        <v>Valid</v>
      </c>
      <c r="V512" t="str">
        <f t="shared" si="46"/>
        <v>Valid</v>
      </c>
      <c r="W512" t="str">
        <f t="shared" si="47"/>
        <v>Valid</v>
      </c>
    </row>
    <row r="513" spans="1:23">
      <c r="A513" t="s">
        <v>543</v>
      </c>
      <c r="B513" s="2">
        <v>45762</v>
      </c>
      <c r="C513" t="s">
        <v>17</v>
      </c>
      <c r="D513" t="s">
        <v>32</v>
      </c>
      <c r="E513" t="s">
        <v>24</v>
      </c>
      <c r="F513" t="s">
        <v>25</v>
      </c>
      <c r="G513" t="s">
        <v>26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P513">
        <v>57.2</v>
      </c>
      <c r="R513" t="str">
        <f t="shared" si="42"/>
        <v>Unique</v>
      </c>
      <c r="S513" t="str">
        <f t="shared" si="43"/>
        <v>Valid</v>
      </c>
      <c r="T513" t="str">
        <f t="shared" si="44"/>
        <v>Valid</v>
      </c>
      <c r="U513" t="str">
        <f t="shared" si="45"/>
        <v>Valid</v>
      </c>
      <c r="V513" t="str">
        <f t="shared" si="46"/>
        <v>Valid</v>
      </c>
      <c r="W513" t="str">
        <f t="shared" si="47"/>
        <v>Valid</v>
      </c>
    </row>
    <row r="514" spans="1:23">
      <c r="A514" t="s">
        <v>544</v>
      </c>
      <c r="B514" s="2">
        <v>45701</v>
      </c>
      <c r="C514" t="s">
        <v>17</v>
      </c>
      <c r="D514" t="s">
        <v>32</v>
      </c>
      <c r="E514" t="s">
        <v>24</v>
      </c>
      <c r="F514" t="s">
        <v>1451</v>
      </c>
      <c r="G514" t="s">
        <v>26</v>
      </c>
      <c r="H514">
        <v>1</v>
      </c>
      <c r="I514">
        <v>1</v>
      </c>
      <c r="J514">
        <v>0</v>
      </c>
      <c r="K514">
        <v>0</v>
      </c>
      <c r="L514">
        <v>0</v>
      </c>
      <c r="M514">
        <v>0</v>
      </c>
      <c r="N514">
        <v>0</v>
      </c>
      <c r="P514">
        <v>31.4</v>
      </c>
      <c r="R514" t="str">
        <f t="shared" si="42"/>
        <v>Unique</v>
      </c>
      <c r="S514" t="str">
        <f t="shared" si="43"/>
        <v>Valid</v>
      </c>
      <c r="T514" t="str">
        <f t="shared" si="44"/>
        <v>Valid</v>
      </c>
      <c r="U514" t="str">
        <f t="shared" si="45"/>
        <v>Valid</v>
      </c>
      <c r="V514" t="str">
        <f t="shared" si="46"/>
        <v>Valid</v>
      </c>
      <c r="W514" t="str">
        <f t="shared" si="47"/>
        <v>Valid</v>
      </c>
    </row>
    <row r="515" spans="1:23">
      <c r="A515" t="s">
        <v>545</v>
      </c>
      <c r="B515" s="2">
        <v>45786</v>
      </c>
      <c r="C515" t="s">
        <v>17</v>
      </c>
      <c r="D515" t="s">
        <v>32</v>
      </c>
      <c r="E515" t="s">
        <v>19</v>
      </c>
      <c r="F515" t="s">
        <v>25</v>
      </c>
      <c r="G515" t="s">
        <v>26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P515">
        <v>71.2</v>
      </c>
      <c r="R515" t="str">
        <f t="shared" ref="R515:R578" si="48">IF(COUNTIF($A:$A,A515)&gt;1,"Duplicate","Unique")</f>
        <v>Unique</v>
      </c>
      <c r="S515" t="str">
        <f t="shared" ref="S515:S578" si="49">IF(OR(H515=0,H515=1),"Valid","Invalid")</f>
        <v>Valid</v>
      </c>
      <c r="T515" t="str">
        <f t="shared" ref="T515:T578" si="50">IF(OR(I515=0,I515=1),"Valid","Invalid")</f>
        <v>Valid</v>
      </c>
      <c r="U515" t="str">
        <f t="shared" ref="U515:U578" si="51">IF(OR(J515=0,J515=1),"Valid","Invalid")</f>
        <v>Valid</v>
      </c>
      <c r="V515" t="str">
        <f t="shared" ref="V515:V578" si="52">IF(OR(K515=0,K515=1),"Valid","Invalid")</f>
        <v>Valid</v>
      </c>
      <c r="W515" t="str">
        <f t="shared" ref="W515:W578" si="53">IF(OR(N515=0,N515=1),"Valid","Invalid")</f>
        <v>Valid</v>
      </c>
    </row>
    <row r="516" spans="1:23">
      <c r="A516" t="s">
        <v>546</v>
      </c>
      <c r="B516" s="2">
        <v>45726</v>
      </c>
      <c r="C516" t="s">
        <v>17</v>
      </c>
      <c r="D516" t="s">
        <v>18</v>
      </c>
      <c r="E516" t="s">
        <v>24</v>
      </c>
      <c r="F516" t="s">
        <v>29</v>
      </c>
      <c r="G516" t="s">
        <v>26</v>
      </c>
      <c r="H516">
        <v>1</v>
      </c>
      <c r="I516">
        <v>1</v>
      </c>
      <c r="J516">
        <v>1</v>
      </c>
      <c r="K516">
        <v>0</v>
      </c>
      <c r="L516">
        <v>0</v>
      </c>
      <c r="M516">
        <v>1</v>
      </c>
      <c r="N516">
        <v>0</v>
      </c>
      <c r="P516">
        <v>38.299999999999997</v>
      </c>
      <c r="R516" t="str">
        <f t="shared" si="48"/>
        <v>Unique</v>
      </c>
      <c r="S516" t="str">
        <f t="shared" si="49"/>
        <v>Valid</v>
      </c>
      <c r="T516" t="str">
        <f t="shared" si="50"/>
        <v>Valid</v>
      </c>
      <c r="U516" t="str">
        <f t="shared" si="51"/>
        <v>Valid</v>
      </c>
      <c r="V516" t="str">
        <f t="shared" si="52"/>
        <v>Valid</v>
      </c>
      <c r="W516" t="str">
        <f t="shared" si="53"/>
        <v>Valid</v>
      </c>
    </row>
    <row r="517" spans="1:23">
      <c r="A517" t="s">
        <v>547</v>
      </c>
      <c r="B517" s="2">
        <v>45748</v>
      </c>
      <c r="C517" t="s">
        <v>17</v>
      </c>
      <c r="D517" t="s">
        <v>18</v>
      </c>
      <c r="E517" t="s">
        <v>24</v>
      </c>
      <c r="F517" t="s">
        <v>25</v>
      </c>
      <c r="G517" t="s">
        <v>26</v>
      </c>
      <c r="H517">
        <v>1</v>
      </c>
      <c r="I517">
        <v>1</v>
      </c>
      <c r="J517">
        <v>0</v>
      </c>
      <c r="K517">
        <v>0</v>
      </c>
      <c r="L517">
        <v>0</v>
      </c>
      <c r="M517">
        <v>0</v>
      </c>
      <c r="N517">
        <v>0</v>
      </c>
      <c r="P517">
        <v>63.1</v>
      </c>
      <c r="R517" t="str">
        <f t="shared" si="48"/>
        <v>Unique</v>
      </c>
      <c r="S517" t="str">
        <f t="shared" si="49"/>
        <v>Valid</v>
      </c>
      <c r="T517" t="str">
        <f t="shared" si="50"/>
        <v>Valid</v>
      </c>
      <c r="U517" t="str">
        <f t="shared" si="51"/>
        <v>Valid</v>
      </c>
      <c r="V517" t="str">
        <f t="shared" si="52"/>
        <v>Valid</v>
      </c>
      <c r="W517" t="str">
        <f t="shared" si="53"/>
        <v>Valid</v>
      </c>
    </row>
    <row r="518" spans="1:23">
      <c r="A518" t="s">
        <v>548</v>
      </c>
      <c r="B518" s="2">
        <v>45792</v>
      </c>
      <c r="C518" t="s">
        <v>17</v>
      </c>
      <c r="D518" t="s">
        <v>28</v>
      </c>
      <c r="E518" t="s">
        <v>24</v>
      </c>
      <c r="F518" t="s">
        <v>39</v>
      </c>
      <c r="G518" t="s">
        <v>21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P518">
        <v>59.7</v>
      </c>
      <c r="R518" t="str">
        <f t="shared" si="48"/>
        <v>Unique</v>
      </c>
      <c r="S518" t="str">
        <f t="shared" si="49"/>
        <v>Valid</v>
      </c>
      <c r="T518" t="str">
        <f t="shared" si="50"/>
        <v>Valid</v>
      </c>
      <c r="U518" t="str">
        <f t="shared" si="51"/>
        <v>Valid</v>
      </c>
      <c r="V518" t="str">
        <f t="shared" si="52"/>
        <v>Valid</v>
      </c>
      <c r="W518" t="str">
        <f t="shared" si="53"/>
        <v>Valid</v>
      </c>
    </row>
    <row r="519" spans="1:23">
      <c r="A519" t="s">
        <v>549</v>
      </c>
      <c r="B519" s="2">
        <v>45781</v>
      </c>
      <c r="C519" t="s">
        <v>17</v>
      </c>
      <c r="D519" t="s">
        <v>32</v>
      </c>
      <c r="E519" t="s">
        <v>19</v>
      </c>
      <c r="F519" t="s">
        <v>41</v>
      </c>
      <c r="G519" t="s">
        <v>30</v>
      </c>
      <c r="H519">
        <v>1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P519">
        <v>59.5</v>
      </c>
      <c r="R519" t="str">
        <f t="shared" si="48"/>
        <v>Unique</v>
      </c>
      <c r="S519" t="str">
        <f t="shared" si="49"/>
        <v>Valid</v>
      </c>
      <c r="T519" t="str">
        <f t="shared" si="50"/>
        <v>Valid</v>
      </c>
      <c r="U519" t="str">
        <f t="shared" si="51"/>
        <v>Valid</v>
      </c>
      <c r="V519" t="str">
        <f t="shared" si="52"/>
        <v>Valid</v>
      </c>
      <c r="W519" t="str">
        <f t="shared" si="53"/>
        <v>Valid</v>
      </c>
    </row>
    <row r="520" spans="1:23">
      <c r="A520" t="s">
        <v>550</v>
      </c>
      <c r="B520" s="2">
        <v>45797</v>
      </c>
      <c r="C520" t="s">
        <v>17</v>
      </c>
      <c r="D520" t="s">
        <v>28</v>
      </c>
      <c r="E520" t="s">
        <v>24</v>
      </c>
      <c r="F520" t="s">
        <v>29</v>
      </c>
      <c r="G520" t="s">
        <v>26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P520">
        <v>78.8</v>
      </c>
      <c r="R520" t="str">
        <f t="shared" si="48"/>
        <v>Unique</v>
      </c>
      <c r="S520" t="str">
        <f t="shared" si="49"/>
        <v>Valid</v>
      </c>
      <c r="T520" t="str">
        <f t="shared" si="50"/>
        <v>Valid</v>
      </c>
      <c r="U520" t="str">
        <f t="shared" si="51"/>
        <v>Valid</v>
      </c>
      <c r="V520" t="str">
        <f t="shared" si="52"/>
        <v>Valid</v>
      </c>
      <c r="W520" t="str">
        <f t="shared" si="53"/>
        <v>Valid</v>
      </c>
    </row>
    <row r="521" spans="1:23">
      <c r="A521" t="s">
        <v>551</v>
      </c>
      <c r="B521" s="2">
        <v>45793</v>
      </c>
      <c r="C521" t="s">
        <v>17</v>
      </c>
      <c r="D521" t="s">
        <v>23</v>
      </c>
      <c r="E521" t="s">
        <v>19</v>
      </c>
      <c r="F521" t="s">
        <v>39</v>
      </c>
      <c r="G521" t="s">
        <v>26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P521">
        <v>54</v>
      </c>
      <c r="R521" t="str">
        <f t="shared" si="48"/>
        <v>Unique</v>
      </c>
      <c r="S521" t="str">
        <f t="shared" si="49"/>
        <v>Valid</v>
      </c>
      <c r="T521" t="str">
        <f t="shared" si="50"/>
        <v>Valid</v>
      </c>
      <c r="U521" t="str">
        <f t="shared" si="51"/>
        <v>Valid</v>
      </c>
      <c r="V521" t="str">
        <f t="shared" si="52"/>
        <v>Valid</v>
      </c>
      <c r="W521" t="str">
        <f t="shared" si="53"/>
        <v>Valid</v>
      </c>
    </row>
    <row r="522" spans="1:23">
      <c r="A522" t="s">
        <v>552</v>
      </c>
      <c r="B522" s="2">
        <v>45733</v>
      </c>
      <c r="C522" t="s">
        <v>17</v>
      </c>
      <c r="D522" t="s">
        <v>23</v>
      </c>
      <c r="E522" t="s">
        <v>24</v>
      </c>
      <c r="F522" t="s">
        <v>25</v>
      </c>
      <c r="G522" t="s">
        <v>26</v>
      </c>
      <c r="H522">
        <v>1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P522">
        <v>66.3</v>
      </c>
      <c r="R522" t="str">
        <f t="shared" si="48"/>
        <v>Unique</v>
      </c>
      <c r="S522" t="str">
        <f t="shared" si="49"/>
        <v>Valid</v>
      </c>
      <c r="T522" t="str">
        <f t="shared" si="50"/>
        <v>Valid</v>
      </c>
      <c r="U522" t="str">
        <f t="shared" si="51"/>
        <v>Valid</v>
      </c>
      <c r="V522" t="str">
        <f t="shared" si="52"/>
        <v>Valid</v>
      </c>
      <c r="W522" t="str">
        <f t="shared" si="53"/>
        <v>Valid</v>
      </c>
    </row>
    <row r="523" spans="1:23">
      <c r="A523" t="s">
        <v>553</v>
      </c>
      <c r="B523" s="2">
        <v>45684</v>
      </c>
      <c r="C523" t="s">
        <v>17</v>
      </c>
      <c r="D523" t="s">
        <v>28</v>
      </c>
      <c r="E523" t="s">
        <v>34</v>
      </c>
      <c r="F523" t="s">
        <v>29</v>
      </c>
      <c r="G523" t="s">
        <v>26</v>
      </c>
      <c r="H523">
        <v>1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P523">
        <v>54.7</v>
      </c>
      <c r="R523" t="str">
        <f t="shared" si="48"/>
        <v>Unique</v>
      </c>
      <c r="S523" t="str">
        <f t="shared" si="49"/>
        <v>Valid</v>
      </c>
      <c r="T523" t="str">
        <f t="shared" si="50"/>
        <v>Valid</v>
      </c>
      <c r="U523" t="str">
        <f t="shared" si="51"/>
        <v>Valid</v>
      </c>
      <c r="V523" t="str">
        <f t="shared" si="52"/>
        <v>Valid</v>
      </c>
      <c r="W523" t="str">
        <f t="shared" si="53"/>
        <v>Valid</v>
      </c>
    </row>
    <row r="524" spans="1:23">
      <c r="A524" t="s">
        <v>554</v>
      </c>
      <c r="B524" s="2">
        <v>45760</v>
      </c>
      <c r="C524" t="s">
        <v>17</v>
      </c>
      <c r="D524" t="s">
        <v>32</v>
      </c>
      <c r="E524" t="s">
        <v>24</v>
      </c>
      <c r="F524" t="s">
        <v>25</v>
      </c>
      <c r="G524" t="s">
        <v>21</v>
      </c>
      <c r="H524">
        <v>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P524">
        <v>76.7</v>
      </c>
      <c r="R524" t="str">
        <f t="shared" si="48"/>
        <v>Unique</v>
      </c>
      <c r="S524" t="str">
        <f t="shared" si="49"/>
        <v>Valid</v>
      </c>
      <c r="T524" t="str">
        <f t="shared" si="50"/>
        <v>Valid</v>
      </c>
      <c r="U524" t="str">
        <f t="shared" si="51"/>
        <v>Valid</v>
      </c>
      <c r="V524" t="str">
        <f t="shared" si="52"/>
        <v>Valid</v>
      </c>
      <c r="W524" t="str">
        <f t="shared" si="53"/>
        <v>Valid</v>
      </c>
    </row>
    <row r="525" spans="1:23">
      <c r="A525" t="s">
        <v>555</v>
      </c>
      <c r="B525" s="2">
        <v>45780</v>
      </c>
      <c r="C525" t="s">
        <v>17</v>
      </c>
      <c r="D525" t="s">
        <v>32</v>
      </c>
      <c r="E525" t="s">
        <v>19</v>
      </c>
      <c r="F525" t="s">
        <v>20</v>
      </c>
      <c r="G525" t="s">
        <v>21</v>
      </c>
      <c r="H525">
        <v>1</v>
      </c>
      <c r="I525">
        <v>0</v>
      </c>
      <c r="J525">
        <v>0</v>
      </c>
      <c r="K525">
        <v>0</v>
      </c>
      <c r="L525">
        <v>0</v>
      </c>
      <c r="M525">
        <v>2</v>
      </c>
      <c r="N525">
        <v>0</v>
      </c>
      <c r="P525">
        <v>47.4</v>
      </c>
      <c r="R525" t="str">
        <f t="shared" si="48"/>
        <v>Unique</v>
      </c>
      <c r="S525" t="str">
        <f t="shared" si="49"/>
        <v>Valid</v>
      </c>
      <c r="T525" t="str">
        <f t="shared" si="50"/>
        <v>Valid</v>
      </c>
      <c r="U525" t="str">
        <f t="shared" si="51"/>
        <v>Valid</v>
      </c>
      <c r="V525" t="str">
        <f t="shared" si="52"/>
        <v>Valid</v>
      </c>
      <c r="W525" t="str">
        <f t="shared" si="53"/>
        <v>Valid</v>
      </c>
    </row>
    <row r="526" spans="1:23">
      <c r="A526" t="s">
        <v>556</v>
      </c>
      <c r="B526" s="2">
        <v>45746</v>
      </c>
      <c r="C526" t="s">
        <v>17</v>
      </c>
      <c r="D526" t="s">
        <v>18</v>
      </c>
      <c r="E526" t="s">
        <v>24</v>
      </c>
      <c r="F526" t="s">
        <v>25</v>
      </c>
      <c r="G526" t="s">
        <v>26</v>
      </c>
      <c r="H526">
        <v>1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P526">
        <v>81.7</v>
      </c>
      <c r="R526" t="str">
        <f t="shared" si="48"/>
        <v>Unique</v>
      </c>
      <c r="S526" t="str">
        <f t="shared" si="49"/>
        <v>Valid</v>
      </c>
      <c r="T526" t="str">
        <f t="shared" si="50"/>
        <v>Valid</v>
      </c>
      <c r="U526" t="str">
        <f t="shared" si="51"/>
        <v>Valid</v>
      </c>
      <c r="V526" t="str">
        <f t="shared" si="52"/>
        <v>Valid</v>
      </c>
      <c r="W526" t="str">
        <f t="shared" si="53"/>
        <v>Valid</v>
      </c>
    </row>
    <row r="527" spans="1:23">
      <c r="A527" t="s">
        <v>557</v>
      </c>
      <c r="B527" s="2">
        <v>45658</v>
      </c>
      <c r="C527" t="s">
        <v>17</v>
      </c>
      <c r="D527" t="s">
        <v>23</v>
      </c>
      <c r="E527" t="s">
        <v>24</v>
      </c>
      <c r="F527" t="s">
        <v>29</v>
      </c>
      <c r="G527" t="s">
        <v>21</v>
      </c>
      <c r="H527">
        <v>1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P527">
        <v>67.5</v>
      </c>
      <c r="R527" t="str">
        <f t="shared" si="48"/>
        <v>Unique</v>
      </c>
      <c r="S527" t="str">
        <f t="shared" si="49"/>
        <v>Valid</v>
      </c>
      <c r="T527" t="str">
        <f t="shared" si="50"/>
        <v>Valid</v>
      </c>
      <c r="U527" t="str">
        <f t="shared" si="51"/>
        <v>Valid</v>
      </c>
      <c r="V527" t="str">
        <f t="shared" si="52"/>
        <v>Valid</v>
      </c>
      <c r="W527" t="str">
        <f t="shared" si="53"/>
        <v>Valid</v>
      </c>
    </row>
    <row r="528" spans="1:23">
      <c r="A528" t="s">
        <v>558</v>
      </c>
      <c r="B528" s="2">
        <v>45694</v>
      </c>
      <c r="C528" t="s">
        <v>17</v>
      </c>
      <c r="D528" t="s">
        <v>23</v>
      </c>
      <c r="E528" t="s">
        <v>24</v>
      </c>
      <c r="F528" t="s">
        <v>29</v>
      </c>
      <c r="G528" t="s">
        <v>21</v>
      </c>
      <c r="H528">
        <v>1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P528">
        <v>36.799999999999997</v>
      </c>
      <c r="R528" t="str">
        <f t="shared" si="48"/>
        <v>Unique</v>
      </c>
      <c r="S528" t="str">
        <f t="shared" si="49"/>
        <v>Valid</v>
      </c>
      <c r="T528" t="str">
        <f t="shared" si="50"/>
        <v>Valid</v>
      </c>
      <c r="U528" t="str">
        <f t="shared" si="51"/>
        <v>Valid</v>
      </c>
      <c r="V528" t="str">
        <f t="shared" si="52"/>
        <v>Valid</v>
      </c>
      <c r="W528" t="str">
        <f t="shared" si="53"/>
        <v>Valid</v>
      </c>
    </row>
    <row r="529" spans="1:23">
      <c r="A529" t="s">
        <v>559</v>
      </c>
      <c r="B529" s="2">
        <v>45713</v>
      </c>
      <c r="C529" t="s">
        <v>17</v>
      </c>
      <c r="D529" t="s">
        <v>18</v>
      </c>
      <c r="E529" t="s">
        <v>19</v>
      </c>
      <c r="F529" t="s">
        <v>25</v>
      </c>
      <c r="G529" t="s">
        <v>26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P529">
        <v>66.5</v>
      </c>
      <c r="R529" t="str">
        <f t="shared" si="48"/>
        <v>Unique</v>
      </c>
      <c r="S529" t="str">
        <f t="shared" si="49"/>
        <v>Valid</v>
      </c>
      <c r="T529" t="str">
        <f t="shared" si="50"/>
        <v>Valid</v>
      </c>
      <c r="U529" t="str">
        <f t="shared" si="51"/>
        <v>Valid</v>
      </c>
      <c r="V529" t="str">
        <f t="shared" si="52"/>
        <v>Valid</v>
      </c>
      <c r="W529" t="str">
        <f t="shared" si="53"/>
        <v>Valid</v>
      </c>
    </row>
    <row r="530" spans="1:23">
      <c r="A530" t="s">
        <v>560</v>
      </c>
      <c r="B530" s="2">
        <v>45791</v>
      </c>
      <c r="C530" t="s">
        <v>17</v>
      </c>
      <c r="D530" t="s">
        <v>28</v>
      </c>
      <c r="E530" t="s">
        <v>34</v>
      </c>
      <c r="F530" t="s">
        <v>41</v>
      </c>
      <c r="G530" t="s">
        <v>26</v>
      </c>
      <c r="H530">
        <v>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P530">
        <v>35.4</v>
      </c>
      <c r="R530" t="str">
        <f t="shared" si="48"/>
        <v>Unique</v>
      </c>
      <c r="S530" t="str">
        <f t="shared" si="49"/>
        <v>Valid</v>
      </c>
      <c r="T530" t="str">
        <f t="shared" si="50"/>
        <v>Valid</v>
      </c>
      <c r="U530" t="str">
        <f t="shared" si="51"/>
        <v>Valid</v>
      </c>
      <c r="V530" t="str">
        <f t="shared" si="52"/>
        <v>Valid</v>
      </c>
      <c r="W530" t="str">
        <f t="shared" si="53"/>
        <v>Valid</v>
      </c>
    </row>
    <row r="531" spans="1:23">
      <c r="A531" t="s">
        <v>561</v>
      </c>
      <c r="B531" s="2">
        <v>45797</v>
      </c>
      <c r="C531" t="s">
        <v>17</v>
      </c>
      <c r="D531" t="s">
        <v>32</v>
      </c>
      <c r="E531" t="s">
        <v>24</v>
      </c>
      <c r="F531" t="s">
        <v>25</v>
      </c>
      <c r="G531" t="s">
        <v>21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P531">
        <v>64.3</v>
      </c>
      <c r="R531" t="str">
        <f t="shared" si="48"/>
        <v>Unique</v>
      </c>
      <c r="S531" t="str">
        <f t="shared" si="49"/>
        <v>Valid</v>
      </c>
      <c r="T531" t="str">
        <f t="shared" si="50"/>
        <v>Valid</v>
      </c>
      <c r="U531" t="str">
        <f t="shared" si="51"/>
        <v>Valid</v>
      </c>
      <c r="V531" t="str">
        <f t="shared" si="52"/>
        <v>Valid</v>
      </c>
      <c r="W531" t="str">
        <f t="shared" si="53"/>
        <v>Valid</v>
      </c>
    </row>
    <row r="532" spans="1:23">
      <c r="A532" t="s">
        <v>562</v>
      </c>
      <c r="B532" s="2">
        <v>45699</v>
      </c>
      <c r="C532" t="s">
        <v>17</v>
      </c>
      <c r="D532" t="s">
        <v>32</v>
      </c>
      <c r="E532" t="s">
        <v>24</v>
      </c>
      <c r="F532" t="s">
        <v>25</v>
      </c>
      <c r="G532" t="s">
        <v>26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P532">
        <v>49.1</v>
      </c>
      <c r="R532" t="str">
        <f t="shared" si="48"/>
        <v>Unique</v>
      </c>
      <c r="S532" t="str">
        <f t="shared" si="49"/>
        <v>Valid</v>
      </c>
      <c r="T532" t="str">
        <f t="shared" si="50"/>
        <v>Valid</v>
      </c>
      <c r="U532" t="str">
        <f t="shared" si="51"/>
        <v>Valid</v>
      </c>
      <c r="V532" t="str">
        <f t="shared" si="52"/>
        <v>Valid</v>
      </c>
      <c r="W532" t="str">
        <f t="shared" si="53"/>
        <v>Valid</v>
      </c>
    </row>
    <row r="533" spans="1:23">
      <c r="A533" t="s">
        <v>563</v>
      </c>
      <c r="B533" s="2">
        <v>45701</v>
      </c>
      <c r="C533" t="s">
        <v>17</v>
      </c>
      <c r="D533" t="s">
        <v>23</v>
      </c>
      <c r="E533" t="s">
        <v>24</v>
      </c>
      <c r="F533" t="s">
        <v>25</v>
      </c>
      <c r="G533" t="s">
        <v>26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P533">
        <v>84.3</v>
      </c>
      <c r="R533" t="str">
        <f t="shared" si="48"/>
        <v>Unique</v>
      </c>
      <c r="S533" t="str">
        <f t="shared" si="49"/>
        <v>Valid</v>
      </c>
      <c r="T533" t="str">
        <f t="shared" si="50"/>
        <v>Valid</v>
      </c>
      <c r="U533" t="str">
        <f t="shared" si="51"/>
        <v>Valid</v>
      </c>
      <c r="V533" t="str">
        <f t="shared" si="52"/>
        <v>Valid</v>
      </c>
      <c r="W533" t="str">
        <f t="shared" si="53"/>
        <v>Valid</v>
      </c>
    </row>
    <row r="534" spans="1:23">
      <c r="A534" t="s">
        <v>564</v>
      </c>
      <c r="B534" s="2">
        <v>45754</v>
      </c>
      <c r="C534" t="s">
        <v>17</v>
      </c>
      <c r="D534" t="s">
        <v>32</v>
      </c>
      <c r="E534" t="s">
        <v>24</v>
      </c>
      <c r="F534" t="s">
        <v>29</v>
      </c>
      <c r="G534" t="s">
        <v>30</v>
      </c>
      <c r="H534">
        <v>1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P534">
        <v>65.599999999999994</v>
      </c>
      <c r="R534" t="str">
        <f t="shared" si="48"/>
        <v>Unique</v>
      </c>
      <c r="S534" t="str">
        <f t="shared" si="49"/>
        <v>Valid</v>
      </c>
      <c r="T534" t="str">
        <f t="shared" si="50"/>
        <v>Valid</v>
      </c>
      <c r="U534" t="str">
        <f t="shared" si="51"/>
        <v>Valid</v>
      </c>
      <c r="V534" t="str">
        <f t="shared" si="52"/>
        <v>Valid</v>
      </c>
      <c r="W534" t="str">
        <f t="shared" si="53"/>
        <v>Valid</v>
      </c>
    </row>
    <row r="535" spans="1:23">
      <c r="A535" t="s">
        <v>565</v>
      </c>
      <c r="B535" s="2">
        <v>45724</v>
      </c>
      <c r="C535" t="s">
        <v>17</v>
      </c>
      <c r="D535" t="s">
        <v>28</v>
      </c>
      <c r="E535" t="s">
        <v>24</v>
      </c>
      <c r="F535" t="s">
        <v>20</v>
      </c>
      <c r="G535" t="s">
        <v>26</v>
      </c>
      <c r="H535">
        <v>1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P535">
        <v>47.1</v>
      </c>
      <c r="R535" t="str">
        <f t="shared" si="48"/>
        <v>Unique</v>
      </c>
      <c r="S535" t="str">
        <f t="shared" si="49"/>
        <v>Valid</v>
      </c>
      <c r="T535" t="str">
        <f t="shared" si="50"/>
        <v>Valid</v>
      </c>
      <c r="U535" t="str">
        <f t="shared" si="51"/>
        <v>Valid</v>
      </c>
      <c r="V535" t="str">
        <f t="shared" si="52"/>
        <v>Valid</v>
      </c>
      <c r="W535" t="str">
        <f t="shared" si="53"/>
        <v>Valid</v>
      </c>
    </row>
    <row r="536" spans="1:23">
      <c r="A536" t="s">
        <v>566</v>
      </c>
      <c r="B536" s="2">
        <v>45704</v>
      </c>
      <c r="C536" t="s">
        <v>17</v>
      </c>
      <c r="D536" t="s">
        <v>18</v>
      </c>
      <c r="E536" t="s">
        <v>19</v>
      </c>
      <c r="F536" t="s">
        <v>29</v>
      </c>
      <c r="G536" t="s">
        <v>26</v>
      </c>
      <c r="H536">
        <v>1</v>
      </c>
      <c r="I536">
        <v>1</v>
      </c>
      <c r="J536">
        <v>1</v>
      </c>
      <c r="K536">
        <v>0</v>
      </c>
      <c r="L536">
        <v>0</v>
      </c>
      <c r="M536">
        <v>0</v>
      </c>
      <c r="N536">
        <v>0</v>
      </c>
      <c r="P536">
        <v>70</v>
      </c>
      <c r="R536" t="str">
        <f t="shared" si="48"/>
        <v>Unique</v>
      </c>
      <c r="S536" t="str">
        <f t="shared" si="49"/>
        <v>Valid</v>
      </c>
      <c r="T536" t="str">
        <f t="shared" si="50"/>
        <v>Valid</v>
      </c>
      <c r="U536" t="str">
        <f t="shared" si="51"/>
        <v>Valid</v>
      </c>
      <c r="V536" t="str">
        <f t="shared" si="52"/>
        <v>Valid</v>
      </c>
      <c r="W536" t="str">
        <f t="shared" si="53"/>
        <v>Valid</v>
      </c>
    </row>
    <row r="537" spans="1:23">
      <c r="A537" t="s">
        <v>567</v>
      </c>
      <c r="B537" s="2">
        <v>45775</v>
      </c>
      <c r="C537" t="s">
        <v>17</v>
      </c>
      <c r="D537" t="s">
        <v>32</v>
      </c>
      <c r="E537" t="s">
        <v>24</v>
      </c>
      <c r="F537" t="s">
        <v>29</v>
      </c>
      <c r="G537" t="s">
        <v>30</v>
      </c>
      <c r="H537">
        <v>1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P537">
        <v>54.6</v>
      </c>
      <c r="R537" t="str">
        <f t="shared" si="48"/>
        <v>Unique</v>
      </c>
      <c r="S537" t="str">
        <f t="shared" si="49"/>
        <v>Valid</v>
      </c>
      <c r="T537" t="str">
        <f t="shared" si="50"/>
        <v>Valid</v>
      </c>
      <c r="U537" t="str">
        <f t="shared" si="51"/>
        <v>Valid</v>
      </c>
      <c r="V537" t="str">
        <f t="shared" si="52"/>
        <v>Valid</v>
      </c>
      <c r="W537" t="str">
        <f t="shared" si="53"/>
        <v>Valid</v>
      </c>
    </row>
    <row r="538" spans="1:23">
      <c r="A538" t="s">
        <v>568</v>
      </c>
      <c r="B538" s="2">
        <v>45726</v>
      </c>
      <c r="C538" t="s">
        <v>17</v>
      </c>
      <c r="D538" t="s">
        <v>23</v>
      </c>
      <c r="E538" t="s">
        <v>34</v>
      </c>
      <c r="F538" t="s">
        <v>41</v>
      </c>
      <c r="G538" t="s">
        <v>21</v>
      </c>
      <c r="H538">
        <v>1</v>
      </c>
      <c r="I538">
        <v>1</v>
      </c>
      <c r="J538">
        <v>0</v>
      </c>
      <c r="K538">
        <v>0</v>
      </c>
      <c r="L538">
        <v>0</v>
      </c>
      <c r="M538">
        <v>1</v>
      </c>
      <c r="N538">
        <v>0</v>
      </c>
      <c r="P538">
        <v>65.2</v>
      </c>
      <c r="R538" t="str">
        <f t="shared" si="48"/>
        <v>Unique</v>
      </c>
      <c r="S538" t="str">
        <f t="shared" si="49"/>
        <v>Valid</v>
      </c>
      <c r="T538" t="str">
        <f t="shared" si="50"/>
        <v>Valid</v>
      </c>
      <c r="U538" t="str">
        <f t="shared" si="51"/>
        <v>Valid</v>
      </c>
      <c r="V538" t="str">
        <f t="shared" si="52"/>
        <v>Valid</v>
      </c>
      <c r="W538" t="str">
        <f t="shared" si="53"/>
        <v>Valid</v>
      </c>
    </row>
    <row r="539" spans="1:23">
      <c r="A539" t="s">
        <v>569</v>
      </c>
      <c r="B539" s="2">
        <v>45682</v>
      </c>
      <c r="C539" t="s">
        <v>17</v>
      </c>
      <c r="D539" t="s">
        <v>28</v>
      </c>
      <c r="E539" t="s">
        <v>24</v>
      </c>
      <c r="F539" t="s">
        <v>41</v>
      </c>
      <c r="G539" t="s">
        <v>26</v>
      </c>
      <c r="H539">
        <v>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P539">
        <v>65</v>
      </c>
      <c r="R539" t="str">
        <f t="shared" si="48"/>
        <v>Unique</v>
      </c>
      <c r="S539" t="str">
        <f t="shared" si="49"/>
        <v>Valid</v>
      </c>
      <c r="T539" t="str">
        <f t="shared" si="50"/>
        <v>Valid</v>
      </c>
      <c r="U539" t="str">
        <f t="shared" si="51"/>
        <v>Valid</v>
      </c>
      <c r="V539" t="str">
        <f t="shared" si="52"/>
        <v>Valid</v>
      </c>
      <c r="W539" t="str">
        <f t="shared" si="53"/>
        <v>Valid</v>
      </c>
    </row>
    <row r="540" spans="1:23">
      <c r="A540" t="s">
        <v>570</v>
      </c>
      <c r="B540" s="2">
        <v>45668</v>
      </c>
      <c r="C540" t="s">
        <v>17</v>
      </c>
      <c r="D540" t="s">
        <v>23</v>
      </c>
      <c r="E540" t="s">
        <v>24</v>
      </c>
      <c r="F540" t="s">
        <v>29</v>
      </c>
      <c r="G540" t="s">
        <v>30</v>
      </c>
      <c r="H540">
        <v>1</v>
      </c>
      <c r="I540">
        <v>1</v>
      </c>
      <c r="J540">
        <v>1</v>
      </c>
      <c r="K540">
        <v>0</v>
      </c>
      <c r="L540">
        <v>0</v>
      </c>
      <c r="M540">
        <v>1</v>
      </c>
      <c r="N540">
        <v>0</v>
      </c>
      <c r="P540">
        <v>42.1</v>
      </c>
      <c r="R540" t="str">
        <f t="shared" si="48"/>
        <v>Unique</v>
      </c>
      <c r="S540" t="str">
        <f t="shared" si="49"/>
        <v>Valid</v>
      </c>
      <c r="T540" t="str">
        <f t="shared" si="50"/>
        <v>Valid</v>
      </c>
      <c r="U540" t="str">
        <f t="shared" si="51"/>
        <v>Valid</v>
      </c>
      <c r="V540" t="str">
        <f t="shared" si="52"/>
        <v>Valid</v>
      </c>
      <c r="W540" t="str">
        <f t="shared" si="53"/>
        <v>Valid</v>
      </c>
    </row>
    <row r="541" spans="1:23">
      <c r="A541" t="s">
        <v>571</v>
      </c>
      <c r="B541" s="2">
        <v>45747</v>
      </c>
      <c r="C541" t="s">
        <v>17</v>
      </c>
      <c r="D541" t="s">
        <v>23</v>
      </c>
      <c r="E541" t="s">
        <v>34</v>
      </c>
      <c r="F541" t="s">
        <v>29</v>
      </c>
      <c r="G541" t="s">
        <v>26</v>
      </c>
      <c r="H541">
        <v>1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P541">
        <v>43.4</v>
      </c>
      <c r="R541" t="str">
        <f t="shared" si="48"/>
        <v>Unique</v>
      </c>
      <c r="S541" t="str">
        <f t="shared" si="49"/>
        <v>Valid</v>
      </c>
      <c r="T541" t="str">
        <f t="shared" si="50"/>
        <v>Valid</v>
      </c>
      <c r="U541" t="str">
        <f t="shared" si="51"/>
        <v>Valid</v>
      </c>
      <c r="V541" t="str">
        <f t="shared" si="52"/>
        <v>Valid</v>
      </c>
      <c r="W541" t="str">
        <f t="shared" si="53"/>
        <v>Valid</v>
      </c>
    </row>
    <row r="542" spans="1:23">
      <c r="A542" t="s">
        <v>572</v>
      </c>
      <c r="B542" s="2">
        <v>45799</v>
      </c>
      <c r="C542" t="s">
        <v>17</v>
      </c>
      <c r="D542" t="s">
        <v>18</v>
      </c>
      <c r="E542" t="s">
        <v>24</v>
      </c>
      <c r="F542" t="s">
        <v>29</v>
      </c>
      <c r="G542" t="s">
        <v>21</v>
      </c>
      <c r="H542">
        <v>1</v>
      </c>
      <c r="I542">
        <v>1</v>
      </c>
      <c r="J542">
        <v>0</v>
      </c>
      <c r="K542">
        <v>0</v>
      </c>
      <c r="L542">
        <v>0</v>
      </c>
      <c r="M542">
        <v>0</v>
      </c>
      <c r="N542">
        <v>0</v>
      </c>
      <c r="P542">
        <v>39.9</v>
      </c>
      <c r="R542" t="str">
        <f t="shared" si="48"/>
        <v>Duplicate</v>
      </c>
      <c r="S542" t="str">
        <f t="shared" si="49"/>
        <v>Valid</v>
      </c>
      <c r="T542" t="str">
        <f t="shared" si="50"/>
        <v>Valid</v>
      </c>
      <c r="U542" t="str">
        <f t="shared" si="51"/>
        <v>Valid</v>
      </c>
      <c r="V542" t="str">
        <f t="shared" si="52"/>
        <v>Valid</v>
      </c>
      <c r="W542" t="str">
        <f t="shared" si="53"/>
        <v>Valid</v>
      </c>
    </row>
    <row r="543" spans="1:23">
      <c r="A543" t="s">
        <v>573</v>
      </c>
      <c r="B543" s="2">
        <v>45793</v>
      </c>
      <c r="C543" t="s">
        <v>17</v>
      </c>
      <c r="D543" t="s">
        <v>18</v>
      </c>
      <c r="E543" t="s">
        <v>24</v>
      </c>
      <c r="F543" t="s">
        <v>39</v>
      </c>
      <c r="G543" t="s">
        <v>21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P543">
        <v>74.099999999999994</v>
      </c>
      <c r="R543" t="str">
        <f t="shared" si="48"/>
        <v>Unique</v>
      </c>
      <c r="S543" t="str">
        <f t="shared" si="49"/>
        <v>Valid</v>
      </c>
      <c r="T543" t="str">
        <f t="shared" si="50"/>
        <v>Valid</v>
      </c>
      <c r="U543" t="str">
        <f t="shared" si="51"/>
        <v>Valid</v>
      </c>
      <c r="V543" t="str">
        <f t="shared" si="52"/>
        <v>Valid</v>
      </c>
      <c r="W543" t="str">
        <f t="shared" si="53"/>
        <v>Valid</v>
      </c>
    </row>
    <row r="544" spans="1:23">
      <c r="A544" t="s">
        <v>574</v>
      </c>
      <c r="B544" s="2">
        <v>45772</v>
      </c>
      <c r="C544" t="s">
        <v>17</v>
      </c>
      <c r="D544" t="s">
        <v>28</v>
      </c>
      <c r="E544" t="s">
        <v>19</v>
      </c>
      <c r="F544" t="s">
        <v>29</v>
      </c>
      <c r="G544" t="s">
        <v>26</v>
      </c>
      <c r="H544">
        <v>1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P544">
        <v>61.4</v>
      </c>
      <c r="R544" t="str">
        <f t="shared" si="48"/>
        <v>Unique</v>
      </c>
      <c r="S544" t="str">
        <f t="shared" si="49"/>
        <v>Valid</v>
      </c>
      <c r="T544" t="str">
        <f t="shared" si="50"/>
        <v>Valid</v>
      </c>
      <c r="U544" t="str">
        <f t="shared" si="51"/>
        <v>Valid</v>
      </c>
      <c r="V544" t="str">
        <f t="shared" si="52"/>
        <v>Valid</v>
      </c>
      <c r="W544" t="str">
        <f t="shared" si="53"/>
        <v>Valid</v>
      </c>
    </row>
    <row r="545" spans="1:23">
      <c r="A545" t="s">
        <v>575</v>
      </c>
      <c r="B545" s="2">
        <v>45764</v>
      </c>
      <c r="C545" t="s">
        <v>17</v>
      </c>
      <c r="D545" t="s">
        <v>28</v>
      </c>
      <c r="E545" t="s">
        <v>24</v>
      </c>
      <c r="F545" t="s">
        <v>41</v>
      </c>
      <c r="G545" t="s">
        <v>30</v>
      </c>
      <c r="H545">
        <v>1</v>
      </c>
      <c r="I545">
        <v>1</v>
      </c>
      <c r="J545">
        <v>1</v>
      </c>
      <c r="K545">
        <v>0</v>
      </c>
      <c r="L545">
        <v>0</v>
      </c>
      <c r="M545">
        <v>0</v>
      </c>
      <c r="N545">
        <v>0</v>
      </c>
      <c r="P545">
        <v>76.8</v>
      </c>
      <c r="R545" t="str">
        <f t="shared" si="48"/>
        <v>Unique</v>
      </c>
      <c r="S545" t="str">
        <f t="shared" si="49"/>
        <v>Valid</v>
      </c>
      <c r="T545" t="str">
        <f t="shared" si="50"/>
        <v>Valid</v>
      </c>
      <c r="U545" t="str">
        <f t="shared" si="51"/>
        <v>Valid</v>
      </c>
      <c r="V545" t="str">
        <f t="shared" si="52"/>
        <v>Valid</v>
      </c>
      <c r="W545" t="str">
        <f t="shared" si="53"/>
        <v>Valid</v>
      </c>
    </row>
    <row r="546" spans="1:23">
      <c r="A546" t="s">
        <v>576</v>
      </c>
      <c r="B546" s="2">
        <v>45658</v>
      </c>
      <c r="C546" t="s">
        <v>17</v>
      </c>
      <c r="D546" t="s">
        <v>32</v>
      </c>
      <c r="E546" t="s">
        <v>19</v>
      </c>
      <c r="F546" t="s">
        <v>41</v>
      </c>
      <c r="G546" t="s">
        <v>21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P546">
        <v>60.02</v>
      </c>
      <c r="R546" t="str">
        <f t="shared" si="48"/>
        <v>Unique</v>
      </c>
      <c r="S546" t="str">
        <f t="shared" si="49"/>
        <v>Valid</v>
      </c>
      <c r="T546" t="str">
        <f t="shared" si="50"/>
        <v>Valid</v>
      </c>
      <c r="U546" t="str">
        <f t="shared" si="51"/>
        <v>Valid</v>
      </c>
      <c r="V546" t="str">
        <f t="shared" si="52"/>
        <v>Valid</v>
      </c>
      <c r="W546" t="str">
        <f t="shared" si="53"/>
        <v>Valid</v>
      </c>
    </row>
    <row r="547" spans="1:23">
      <c r="A547" t="s">
        <v>577</v>
      </c>
      <c r="B547" s="2">
        <v>45734</v>
      </c>
      <c r="C547" t="s">
        <v>17</v>
      </c>
      <c r="D547" t="s">
        <v>28</v>
      </c>
      <c r="E547" t="s">
        <v>24</v>
      </c>
      <c r="F547" t="s">
        <v>29</v>
      </c>
      <c r="G547" t="s">
        <v>21</v>
      </c>
      <c r="H547">
        <v>1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P547">
        <v>45.3</v>
      </c>
      <c r="R547" t="str">
        <f t="shared" si="48"/>
        <v>Unique</v>
      </c>
      <c r="S547" t="str">
        <f t="shared" si="49"/>
        <v>Valid</v>
      </c>
      <c r="T547" t="str">
        <f t="shared" si="50"/>
        <v>Valid</v>
      </c>
      <c r="U547" t="str">
        <f t="shared" si="51"/>
        <v>Valid</v>
      </c>
      <c r="V547" t="str">
        <f t="shared" si="52"/>
        <v>Valid</v>
      </c>
      <c r="W547" t="str">
        <f t="shared" si="53"/>
        <v>Valid</v>
      </c>
    </row>
    <row r="548" spans="1:23">
      <c r="A548" t="s">
        <v>578</v>
      </c>
      <c r="B548" s="2">
        <v>45797</v>
      </c>
      <c r="C548" t="s">
        <v>17</v>
      </c>
      <c r="D548" t="s">
        <v>18</v>
      </c>
      <c r="E548" t="s">
        <v>34</v>
      </c>
      <c r="F548" t="s">
        <v>29</v>
      </c>
      <c r="G548" t="s">
        <v>26</v>
      </c>
      <c r="H548">
        <v>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P548">
        <v>41.4</v>
      </c>
      <c r="R548" t="str">
        <f t="shared" si="48"/>
        <v>Unique</v>
      </c>
      <c r="S548" t="str">
        <f t="shared" si="49"/>
        <v>Valid</v>
      </c>
      <c r="T548" t="str">
        <f t="shared" si="50"/>
        <v>Valid</v>
      </c>
      <c r="U548" t="str">
        <f t="shared" si="51"/>
        <v>Valid</v>
      </c>
      <c r="V548" t="str">
        <f t="shared" si="52"/>
        <v>Valid</v>
      </c>
      <c r="W548" t="str">
        <f t="shared" si="53"/>
        <v>Valid</v>
      </c>
    </row>
    <row r="549" spans="1:23">
      <c r="A549" t="s">
        <v>579</v>
      </c>
      <c r="B549" s="2">
        <v>45732</v>
      </c>
      <c r="C549" t="s">
        <v>17</v>
      </c>
      <c r="D549" t="s">
        <v>18</v>
      </c>
      <c r="E549" t="s">
        <v>24</v>
      </c>
      <c r="F549" t="s">
        <v>25</v>
      </c>
      <c r="G549" t="s">
        <v>21</v>
      </c>
      <c r="H549">
        <v>1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P549">
        <v>37.1</v>
      </c>
      <c r="R549" t="str">
        <f t="shared" si="48"/>
        <v>Unique</v>
      </c>
      <c r="S549" t="str">
        <f t="shared" si="49"/>
        <v>Valid</v>
      </c>
      <c r="T549" t="str">
        <f t="shared" si="50"/>
        <v>Valid</v>
      </c>
      <c r="U549" t="str">
        <f t="shared" si="51"/>
        <v>Valid</v>
      </c>
      <c r="V549" t="str">
        <f t="shared" si="52"/>
        <v>Valid</v>
      </c>
      <c r="W549" t="str">
        <f t="shared" si="53"/>
        <v>Valid</v>
      </c>
    </row>
    <row r="550" spans="1:23">
      <c r="A550" t="s">
        <v>580</v>
      </c>
      <c r="B550" s="2">
        <v>45807</v>
      </c>
      <c r="C550" t="s">
        <v>17</v>
      </c>
      <c r="D550" t="s">
        <v>28</v>
      </c>
      <c r="E550" t="s">
        <v>19</v>
      </c>
      <c r="F550" t="s">
        <v>41</v>
      </c>
      <c r="G550" t="s">
        <v>26</v>
      </c>
      <c r="H550">
        <v>1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P550">
        <v>40.700000000000003</v>
      </c>
      <c r="R550" t="str">
        <f t="shared" si="48"/>
        <v>Unique</v>
      </c>
      <c r="S550" t="str">
        <f t="shared" si="49"/>
        <v>Valid</v>
      </c>
      <c r="T550" t="str">
        <f t="shared" si="50"/>
        <v>Valid</v>
      </c>
      <c r="U550" t="str">
        <f t="shared" si="51"/>
        <v>Valid</v>
      </c>
      <c r="V550" t="str">
        <f t="shared" si="52"/>
        <v>Valid</v>
      </c>
      <c r="W550" t="str">
        <f t="shared" si="53"/>
        <v>Valid</v>
      </c>
    </row>
    <row r="551" spans="1:23">
      <c r="A551" t="s">
        <v>581</v>
      </c>
      <c r="B551" s="2">
        <v>45708</v>
      </c>
      <c r="C551" t="s">
        <v>17</v>
      </c>
      <c r="D551" t="s">
        <v>18</v>
      </c>
      <c r="E551" t="s">
        <v>24</v>
      </c>
      <c r="F551" t="s">
        <v>41</v>
      </c>
      <c r="G551" t="s">
        <v>30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2</v>
      </c>
      <c r="N551">
        <v>0</v>
      </c>
      <c r="P551">
        <v>55.9</v>
      </c>
      <c r="R551" t="str">
        <f t="shared" si="48"/>
        <v>Unique</v>
      </c>
      <c r="S551" t="str">
        <f t="shared" si="49"/>
        <v>Valid</v>
      </c>
      <c r="T551" t="str">
        <f t="shared" si="50"/>
        <v>Valid</v>
      </c>
      <c r="U551" t="str">
        <f t="shared" si="51"/>
        <v>Valid</v>
      </c>
      <c r="V551" t="str">
        <f t="shared" si="52"/>
        <v>Valid</v>
      </c>
      <c r="W551" t="str">
        <f t="shared" si="53"/>
        <v>Valid</v>
      </c>
    </row>
    <row r="552" spans="1:23">
      <c r="A552" t="s">
        <v>582</v>
      </c>
      <c r="B552" s="2">
        <v>45699</v>
      </c>
      <c r="C552" t="s">
        <v>17</v>
      </c>
      <c r="D552" t="s">
        <v>28</v>
      </c>
      <c r="E552" t="s">
        <v>1451</v>
      </c>
      <c r="F552" t="s">
        <v>41</v>
      </c>
      <c r="G552" t="s">
        <v>26</v>
      </c>
      <c r="H552">
        <v>1</v>
      </c>
      <c r="I552">
        <v>1</v>
      </c>
      <c r="J552">
        <v>0</v>
      </c>
      <c r="K552">
        <v>0</v>
      </c>
      <c r="L552">
        <v>0</v>
      </c>
      <c r="M552">
        <v>0</v>
      </c>
      <c r="N552">
        <v>0</v>
      </c>
      <c r="P552">
        <v>55.8</v>
      </c>
      <c r="R552" t="str">
        <f t="shared" si="48"/>
        <v>Unique</v>
      </c>
      <c r="S552" t="str">
        <f t="shared" si="49"/>
        <v>Valid</v>
      </c>
      <c r="T552" t="str">
        <f t="shared" si="50"/>
        <v>Valid</v>
      </c>
      <c r="U552" t="str">
        <f t="shared" si="51"/>
        <v>Valid</v>
      </c>
      <c r="V552" t="str">
        <f t="shared" si="52"/>
        <v>Valid</v>
      </c>
      <c r="W552" t="str">
        <f t="shared" si="53"/>
        <v>Valid</v>
      </c>
    </row>
    <row r="553" spans="1:23">
      <c r="A553" t="s">
        <v>583</v>
      </c>
      <c r="B553" s="2">
        <v>45659</v>
      </c>
      <c r="C553" t="s">
        <v>17</v>
      </c>
      <c r="D553" t="s">
        <v>32</v>
      </c>
      <c r="E553" t="s">
        <v>34</v>
      </c>
      <c r="F553" t="s">
        <v>39</v>
      </c>
      <c r="G553" t="s">
        <v>21</v>
      </c>
      <c r="H553">
        <v>1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P553">
        <v>64.3</v>
      </c>
      <c r="R553" t="str">
        <f t="shared" si="48"/>
        <v>Unique</v>
      </c>
      <c r="S553" t="str">
        <f t="shared" si="49"/>
        <v>Valid</v>
      </c>
      <c r="T553" t="str">
        <f t="shared" si="50"/>
        <v>Valid</v>
      </c>
      <c r="U553" t="str">
        <f t="shared" si="51"/>
        <v>Valid</v>
      </c>
      <c r="V553" t="str">
        <f t="shared" si="52"/>
        <v>Valid</v>
      </c>
      <c r="W553" t="str">
        <f t="shared" si="53"/>
        <v>Valid</v>
      </c>
    </row>
    <row r="554" spans="1:23">
      <c r="A554" t="s">
        <v>584</v>
      </c>
      <c r="B554" s="2">
        <v>45780</v>
      </c>
      <c r="C554" t="s">
        <v>17</v>
      </c>
      <c r="D554" t="s">
        <v>18</v>
      </c>
      <c r="E554" t="s">
        <v>24</v>
      </c>
      <c r="F554" t="s">
        <v>25</v>
      </c>
      <c r="G554" t="s">
        <v>26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P554">
        <v>65.400000000000006</v>
      </c>
      <c r="R554" t="str">
        <f t="shared" si="48"/>
        <v>Unique</v>
      </c>
      <c r="S554" t="str">
        <f t="shared" si="49"/>
        <v>Valid</v>
      </c>
      <c r="T554" t="str">
        <f t="shared" si="50"/>
        <v>Valid</v>
      </c>
      <c r="U554" t="str">
        <f t="shared" si="51"/>
        <v>Valid</v>
      </c>
      <c r="V554" t="str">
        <f t="shared" si="52"/>
        <v>Valid</v>
      </c>
      <c r="W554" t="str">
        <f t="shared" si="53"/>
        <v>Valid</v>
      </c>
    </row>
    <row r="555" spans="1:23">
      <c r="A555" t="s">
        <v>585</v>
      </c>
      <c r="B555" s="2">
        <v>45712</v>
      </c>
      <c r="C555" t="s">
        <v>17</v>
      </c>
      <c r="D555" t="s">
        <v>23</v>
      </c>
      <c r="E555" t="s">
        <v>24</v>
      </c>
      <c r="F555" t="s">
        <v>25</v>
      </c>
      <c r="G555" t="s">
        <v>26</v>
      </c>
      <c r="H555">
        <v>1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P555">
        <v>89.8</v>
      </c>
      <c r="R555" t="str">
        <f t="shared" si="48"/>
        <v>Unique</v>
      </c>
      <c r="S555" t="str">
        <f t="shared" si="49"/>
        <v>Valid</v>
      </c>
      <c r="T555" t="str">
        <f t="shared" si="50"/>
        <v>Valid</v>
      </c>
      <c r="U555" t="str">
        <f t="shared" si="51"/>
        <v>Valid</v>
      </c>
      <c r="V555" t="str">
        <f t="shared" si="52"/>
        <v>Valid</v>
      </c>
      <c r="W555" t="str">
        <f t="shared" si="53"/>
        <v>Valid</v>
      </c>
    </row>
    <row r="556" spans="1:23">
      <c r="A556" t="s">
        <v>586</v>
      </c>
      <c r="B556" s="2">
        <v>45699</v>
      </c>
      <c r="C556" t="s">
        <v>17</v>
      </c>
      <c r="D556" t="s">
        <v>32</v>
      </c>
      <c r="E556" t="s">
        <v>1451</v>
      </c>
      <c r="F556" t="s">
        <v>25</v>
      </c>
      <c r="G556" t="s">
        <v>26</v>
      </c>
      <c r="H556">
        <v>1</v>
      </c>
      <c r="I556">
        <v>1</v>
      </c>
      <c r="J556">
        <v>1</v>
      </c>
      <c r="K556">
        <v>0</v>
      </c>
      <c r="L556">
        <v>0</v>
      </c>
      <c r="M556">
        <v>0</v>
      </c>
      <c r="N556">
        <v>0</v>
      </c>
      <c r="P556">
        <v>58.3</v>
      </c>
      <c r="R556" t="str">
        <f t="shared" si="48"/>
        <v>Unique</v>
      </c>
      <c r="S556" t="str">
        <f t="shared" si="49"/>
        <v>Valid</v>
      </c>
      <c r="T556" t="str">
        <f t="shared" si="50"/>
        <v>Valid</v>
      </c>
      <c r="U556" t="str">
        <f t="shared" si="51"/>
        <v>Valid</v>
      </c>
      <c r="V556" t="str">
        <f t="shared" si="52"/>
        <v>Valid</v>
      </c>
      <c r="W556" t="str">
        <f t="shared" si="53"/>
        <v>Valid</v>
      </c>
    </row>
    <row r="557" spans="1:23">
      <c r="A557" t="s">
        <v>587</v>
      </c>
      <c r="B557" s="2">
        <v>45783</v>
      </c>
      <c r="C557" t="s">
        <v>17</v>
      </c>
      <c r="D557" t="s">
        <v>32</v>
      </c>
      <c r="E557" t="s">
        <v>24</v>
      </c>
      <c r="F557" t="s">
        <v>41</v>
      </c>
      <c r="G557" t="s">
        <v>21</v>
      </c>
      <c r="H557">
        <v>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P557">
        <v>64.400000000000006</v>
      </c>
      <c r="R557" t="str">
        <f t="shared" si="48"/>
        <v>Unique</v>
      </c>
      <c r="S557" t="str">
        <f t="shared" si="49"/>
        <v>Valid</v>
      </c>
      <c r="T557" t="str">
        <f t="shared" si="50"/>
        <v>Valid</v>
      </c>
      <c r="U557" t="str">
        <f t="shared" si="51"/>
        <v>Valid</v>
      </c>
      <c r="V557" t="str">
        <f t="shared" si="52"/>
        <v>Valid</v>
      </c>
      <c r="W557" t="str">
        <f t="shared" si="53"/>
        <v>Valid</v>
      </c>
    </row>
    <row r="558" spans="1:23">
      <c r="A558" t="s">
        <v>588</v>
      </c>
      <c r="B558" s="2">
        <v>45800</v>
      </c>
      <c r="C558" t="s">
        <v>17</v>
      </c>
      <c r="D558" t="s">
        <v>18</v>
      </c>
      <c r="E558" t="s">
        <v>24</v>
      </c>
      <c r="F558" t="s">
        <v>29</v>
      </c>
      <c r="G558" t="s">
        <v>30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P558">
        <v>46.2</v>
      </c>
      <c r="R558" t="str">
        <f t="shared" si="48"/>
        <v>Unique</v>
      </c>
      <c r="S558" t="str">
        <f t="shared" si="49"/>
        <v>Valid</v>
      </c>
      <c r="T558" t="str">
        <f t="shared" si="50"/>
        <v>Valid</v>
      </c>
      <c r="U558" t="str">
        <f t="shared" si="51"/>
        <v>Valid</v>
      </c>
      <c r="V558" t="str">
        <f t="shared" si="52"/>
        <v>Valid</v>
      </c>
      <c r="W558" t="str">
        <f t="shared" si="53"/>
        <v>Valid</v>
      </c>
    </row>
    <row r="559" spans="1:23">
      <c r="A559" t="s">
        <v>589</v>
      </c>
      <c r="B559" s="2">
        <v>45666</v>
      </c>
      <c r="C559" t="s">
        <v>17</v>
      </c>
      <c r="D559" t="s">
        <v>18</v>
      </c>
      <c r="E559" t="s">
        <v>19</v>
      </c>
      <c r="F559" t="s">
        <v>29</v>
      </c>
      <c r="G559" t="s">
        <v>26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P559">
        <v>78</v>
      </c>
      <c r="R559" t="str">
        <f t="shared" si="48"/>
        <v>Unique</v>
      </c>
      <c r="S559" t="str">
        <f t="shared" si="49"/>
        <v>Valid</v>
      </c>
      <c r="T559" t="str">
        <f t="shared" si="50"/>
        <v>Valid</v>
      </c>
      <c r="U559" t="str">
        <f t="shared" si="51"/>
        <v>Valid</v>
      </c>
      <c r="V559" t="str">
        <f t="shared" si="52"/>
        <v>Valid</v>
      </c>
      <c r="W559" t="str">
        <f t="shared" si="53"/>
        <v>Valid</v>
      </c>
    </row>
    <row r="560" spans="1:23">
      <c r="A560" t="s">
        <v>590</v>
      </c>
      <c r="B560" s="2">
        <v>45748</v>
      </c>
      <c r="C560" t="s">
        <v>17</v>
      </c>
      <c r="D560" t="s">
        <v>18</v>
      </c>
      <c r="E560" t="s">
        <v>19</v>
      </c>
      <c r="F560" t="s">
        <v>25</v>
      </c>
      <c r="G560" t="s">
        <v>30</v>
      </c>
      <c r="H560">
        <v>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P560">
        <v>62.3</v>
      </c>
      <c r="R560" t="str">
        <f t="shared" si="48"/>
        <v>Unique</v>
      </c>
      <c r="S560" t="str">
        <f t="shared" si="49"/>
        <v>Valid</v>
      </c>
      <c r="T560" t="str">
        <f t="shared" si="50"/>
        <v>Valid</v>
      </c>
      <c r="U560" t="str">
        <f t="shared" si="51"/>
        <v>Valid</v>
      </c>
      <c r="V560" t="str">
        <f t="shared" si="52"/>
        <v>Valid</v>
      </c>
      <c r="W560" t="str">
        <f t="shared" si="53"/>
        <v>Valid</v>
      </c>
    </row>
    <row r="561" spans="1:23">
      <c r="A561" t="s">
        <v>591</v>
      </c>
      <c r="B561" s="2">
        <v>45724</v>
      </c>
      <c r="C561" t="s">
        <v>17</v>
      </c>
      <c r="D561" t="s">
        <v>18</v>
      </c>
      <c r="E561" t="s">
        <v>24</v>
      </c>
      <c r="F561" t="s">
        <v>25</v>
      </c>
      <c r="G561" t="s">
        <v>26</v>
      </c>
      <c r="H561">
        <v>1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P561">
        <v>78.8</v>
      </c>
      <c r="R561" t="str">
        <f t="shared" si="48"/>
        <v>Unique</v>
      </c>
      <c r="S561" t="str">
        <f t="shared" si="49"/>
        <v>Valid</v>
      </c>
      <c r="T561" t="str">
        <f t="shared" si="50"/>
        <v>Valid</v>
      </c>
      <c r="U561" t="str">
        <f t="shared" si="51"/>
        <v>Valid</v>
      </c>
      <c r="V561" t="str">
        <f t="shared" si="52"/>
        <v>Valid</v>
      </c>
      <c r="W561" t="str">
        <f t="shared" si="53"/>
        <v>Valid</v>
      </c>
    </row>
    <row r="562" spans="1:23">
      <c r="A562" t="s">
        <v>592</v>
      </c>
      <c r="B562" s="2">
        <v>45708</v>
      </c>
      <c r="C562" t="s">
        <v>17</v>
      </c>
      <c r="D562" t="s">
        <v>18</v>
      </c>
      <c r="E562" t="s">
        <v>24</v>
      </c>
      <c r="F562" t="s">
        <v>41</v>
      </c>
      <c r="G562" t="s">
        <v>21</v>
      </c>
      <c r="H562">
        <v>1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P562">
        <v>25</v>
      </c>
      <c r="R562" t="str">
        <f t="shared" si="48"/>
        <v>Unique</v>
      </c>
      <c r="S562" t="str">
        <f t="shared" si="49"/>
        <v>Valid</v>
      </c>
      <c r="T562" t="str">
        <f t="shared" si="50"/>
        <v>Valid</v>
      </c>
      <c r="U562" t="str">
        <f t="shared" si="51"/>
        <v>Valid</v>
      </c>
      <c r="V562" t="str">
        <f t="shared" si="52"/>
        <v>Valid</v>
      </c>
      <c r="W562" t="str">
        <f t="shared" si="53"/>
        <v>Valid</v>
      </c>
    </row>
    <row r="563" spans="1:23">
      <c r="A563" t="s">
        <v>593</v>
      </c>
      <c r="B563" s="2">
        <v>45746</v>
      </c>
      <c r="C563" t="s">
        <v>17</v>
      </c>
      <c r="D563" t="s">
        <v>28</v>
      </c>
      <c r="E563" t="s">
        <v>24</v>
      </c>
      <c r="F563" t="s">
        <v>41</v>
      </c>
      <c r="G563" t="s">
        <v>21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P563">
        <v>53.4</v>
      </c>
      <c r="R563" t="str">
        <f t="shared" si="48"/>
        <v>Unique</v>
      </c>
      <c r="S563" t="str">
        <f t="shared" si="49"/>
        <v>Valid</v>
      </c>
      <c r="T563" t="str">
        <f t="shared" si="50"/>
        <v>Valid</v>
      </c>
      <c r="U563" t="str">
        <f t="shared" si="51"/>
        <v>Valid</v>
      </c>
      <c r="V563" t="str">
        <f t="shared" si="52"/>
        <v>Valid</v>
      </c>
      <c r="W563" t="str">
        <f t="shared" si="53"/>
        <v>Valid</v>
      </c>
    </row>
    <row r="564" spans="1:23">
      <c r="A564" t="s">
        <v>594</v>
      </c>
      <c r="B564" s="2">
        <v>45757</v>
      </c>
      <c r="C564" t="s">
        <v>17</v>
      </c>
      <c r="D564" t="s">
        <v>28</v>
      </c>
      <c r="E564" t="s">
        <v>19</v>
      </c>
      <c r="F564" t="s">
        <v>25</v>
      </c>
      <c r="G564" t="s">
        <v>21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P564">
        <v>40.700000000000003</v>
      </c>
      <c r="R564" t="str">
        <f t="shared" si="48"/>
        <v>Unique</v>
      </c>
      <c r="S564" t="str">
        <f t="shared" si="49"/>
        <v>Valid</v>
      </c>
      <c r="T564" t="str">
        <f t="shared" si="50"/>
        <v>Valid</v>
      </c>
      <c r="U564" t="str">
        <f t="shared" si="51"/>
        <v>Valid</v>
      </c>
      <c r="V564" t="str">
        <f t="shared" si="52"/>
        <v>Valid</v>
      </c>
      <c r="W564" t="str">
        <f t="shared" si="53"/>
        <v>Valid</v>
      </c>
    </row>
    <row r="565" spans="1:23">
      <c r="A565" t="s">
        <v>595</v>
      </c>
      <c r="B565" s="2">
        <v>45740</v>
      </c>
      <c r="C565" t="s">
        <v>17</v>
      </c>
      <c r="D565" t="s">
        <v>28</v>
      </c>
      <c r="E565" t="s">
        <v>24</v>
      </c>
      <c r="F565" t="s">
        <v>25</v>
      </c>
      <c r="G565" t="s">
        <v>30</v>
      </c>
      <c r="H565">
        <v>1</v>
      </c>
      <c r="I565">
        <v>1</v>
      </c>
      <c r="J565">
        <v>0</v>
      </c>
      <c r="K565">
        <v>0</v>
      </c>
      <c r="L565">
        <v>0</v>
      </c>
      <c r="M565">
        <v>0</v>
      </c>
      <c r="N565">
        <v>0</v>
      </c>
      <c r="P565">
        <v>36.700000000000003</v>
      </c>
      <c r="R565" t="str">
        <f t="shared" si="48"/>
        <v>Unique</v>
      </c>
      <c r="S565" t="str">
        <f t="shared" si="49"/>
        <v>Valid</v>
      </c>
      <c r="T565" t="str">
        <f t="shared" si="50"/>
        <v>Valid</v>
      </c>
      <c r="U565" t="str">
        <f t="shared" si="51"/>
        <v>Valid</v>
      </c>
      <c r="V565" t="str">
        <f t="shared" si="52"/>
        <v>Valid</v>
      </c>
      <c r="W565" t="str">
        <f t="shared" si="53"/>
        <v>Valid</v>
      </c>
    </row>
    <row r="566" spans="1:23">
      <c r="A566" t="s">
        <v>596</v>
      </c>
      <c r="B566" s="2">
        <v>45798</v>
      </c>
      <c r="C566" t="s">
        <v>17</v>
      </c>
      <c r="D566" t="s">
        <v>23</v>
      </c>
      <c r="E566" t="s">
        <v>24</v>
      </c>
      <c r="F566" t="s">
        <v>25</v>
      </c>
      <c r="G566" t="s">
        <v>21</v>
      </c>
      <c r="H566">
        <v>1</v>
      </c>
      <c r="I566">
        <v>0</v>
      </c>
      <c r="J566">
        <v>0</v>
      </c>
      <c r="K566">
        <v>0</v>
      </c>
      <c r="L566">
        <v>0</v>
      </c>
      <c r="M566">
        <v>1</v>
      </c>
      <c r="N566">
        <v>0</v>
      </c>
      <c r="P566">
        <v>67.5</v>
      </c>
      <c r="R566" t="str">
        <f t="shared" si="48"/>
        <v>Unique</v>
      </c>
      <c r="S566" t="str">
        <f t="shared" si="49"/>
        <v>Valid</v>
      </c>
      <c r="T566" t="str">
        <f t="shared" si="50"/>
        <v>Valid</v>
      </c>
      <c r="U566" t="str">
        <f t="shared" si="51"/>
        <v>Valid</v>
      </c>
      <c r="V566" t="str">
        <f t="shared" si="52"/>
        <v>Valid</v>
      </c>
      <c r="W566" t="str">
        <f t="shared" si="53"/>
        <v>Valid</v>
      </c>
    </row>
    <row r="567" spans="1:23">
      <c r="A567" t="s">
        <v>597</v>
      </c>
      <c r="B567" s="2">
        <v>45745</v>
      </c>
      <c r="C567" t="s">
        <v>17</v>
      </c>
      <c r="D567" t="s">
        <v>28</v>
      </c>
      <c r="E567" t="s">
        <v>24</v>
      </c>
      <c r="F567" t="s">
        <v>41</v>
      </c>
      <c r="G567" t="s">
        <v>30</v>
      </c>
      <c r="H567">
        <v>1</v>
      </c>
      <c r="I567">
        <v>1</v>
      </c>
      <c r="J567">
        <v>1</v>
      </c>
      <c r="K567">
        <v>0</v>
      </c>
      <c r="L567">
        <v>0</v>
      </c>
      <c r="M567">
        <v>0</v>
      </c>
      <c r="N567">
        <v>0</v>
      </c>
      <c r="P567">
        <v>69.900000000000006</v>
      </c>
      <c r="R567" t="str">
        <f t="shared" si="48"/>
        <v>Unique</v>
      </c>
      <c r="S567" t="str">
        <f t="shared" si="49"/>
        <v>Valid</v>
      </c>
      <c r="T567" t="str">
        <f t="shared" si="50"/>
        <v>Valid</v>
      </c>
      <c r="U567" t="str">
        <f t="shared" si="51"/>
        <v>Valid</v>
      </c>
      <c r="V567" t="str">
        <f t="shared" si="52"/>
        <v>Valid</v>
      </c>
      <c r="W567" t="str">
        <f t="shared" si="53"/>
        <v>Valid</v>
      </c>
    </row>
    <row r="568" spans="1:23">
      <c r="A568" t="s">
        <v>598</v>
      </c>
      <c r="B568" s="2">
        <v>45711</v>
      </c>
      <c r="C568" t="s">
        <v>17</v>
      </c>
      <c r="D568" t="s">
        <v>18</v>
      </c>
      <c r="E568" t="s">
        <v>34</v>
      </c>
      <c r="F568" t="s">
        <v>39</v>
      </c>
      <c r="G568" t="s">
        <v>21</v>
      </c>
      <c r="H568">
        <v>1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P568">
        <v>65.099999999999994</v>
      </c>
      <c r="R568" t="str">
        <f t="shared" si="48"/>
        <v>Unique</v>
      </c>
      <c r="S568" t="str">
        <f t="shared" si="49"/>
        <v>Valid</v>
      </c>
      <c r="T568" t="str">
        <f t="shared" si="50"/>
        <v>Valid</v>
      </c>
      <c r="U568" t="str">
        <f t="shared" si="51"/>
        <v>Valid</v>
      </c>
      <c r="V568" t="str">
        <f t="shared" si="52"/>
        <v>Valid</v>
      </c>
      <c r="W568" t="str">
        <f t="shared" si="53"/>
        <v>Valid</v>
      </c>
    </row>
    <row r="569" spans="1:23">
      <c r="A569" t="s">
        <v>599</v>
      </c>
      <c r="B569" s="2">
        <v>45704</v>
      </c>
      <c r="C569" t="s">
        <v>17</v>
      </c>
      <c r="D569" t="s">
        <v>23</v>
      </c>
      <c r="E569" t="s">
        <v>24</v>
      </c>
      <c r="F569" t="s">
        <v>29</v>
      </c>
      <c r="G569" t="s">
        <v>30</v>
      </c>
      <c r="H569">
        <v>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P569">
        <v>48.7</v>
      </c>
      <c r="R569" t="str">
        <f t="shared" si="48"/>
        <v>Unique</v>
      </c>
      <c r="S569" t="str">
        <f t="shared" si="49"/>
        <v>Valid</v>
      </c>
      <c r="T569" t="str">
        <f t="shared" si="50"/>
        <v>Valid</v>
      </c>
      <c r="U569" t="str">
        <f t="shared" si="51"/>
        <v>Valid</v>
      </c>
      <c r="V569" t="str">
        <f t="shared" si="52"/>
        <v>Valid</v>
      </c>
      <c r="W569" t="str">
        <f t="shared" si="53"/>
        <v>Valid</v>
      </c>
    </row>
    <row r="570" spans="1:23">
      <c r="A570" t="s">
        <v>600</v>
      </c>
      <c r="B570" s="2">
        <v>45709</v>
      </c>
      <c r="C570" t="s">
        <v>17</v>
      </c>
      <c r="D570" t="s">
        <v>23</v>
      </c>
      <c r="E570" t="s">
        <v>19</v>
      </c>
      <c r="F570" t="s">
        <v>25</v>
      </c>
      <c r="G570" t="s">
        <v>21</v>
      </c>
      <c r="H570">
        <v>1</v>
      </c>
      <c r="I570">
        <v>1</v>
      </c>
      <c r="J570">
        <v>0</v>
      </c>
      <c r="K570">
        <v>0</v>
      </c>
      <c r="L570">
        <v>0</v>
      </c>
      <c r="M570">
        <v>0</v>
      </c>
      <c r="N570">
        <v>0</v>
      </c>
      <c r="P570">
        <v>47.2</v>
      </c>
      <c r="R570" t="str">
        <f t="shared" si="48"/>
        <v>Unique</v>
      </c>
      <c r="S570" t="str">
        <f t="shared" si="49"/>
        <v>Valid</v>
      </c>
      <c r="T570" t="str">
        <f t="shared" si="50"/>
        <v>Valid</v>
      </c>
      <c r="U570" t="str">
        <f t="shared" si="51"/>
        <v>Valid</v>
      </c>
      <c r="V570" t="str">
        <f t="shared" si="52"/>
        <v>Valid</v>
      </c>
      <c r="W570" t="str">
        <f t="shared" si="53"/>
        <v>Valid</v>
      </c>
    </row>
    <row r="571" spans="1:23">
      <c r="A571" t="s">
        <v>601</v>
      </c>
      <c r="B571" s="2">
        <v>45664</v>
      </c>
      <c r="C571" t="s">
        <v>17</v>
      </c>
      <c r="D571" t="s">
        <v>18</v>
      </c>
      <c r="E571" t="s">
        <v>24</v>
      </c>
      <c r="F571" t="s">
        <v>39</v>
      </c>
      <c r="G571" t="s">
        <v>26</v>
      </c>
      <c r="H571">
        <v>1</v>
      </c>
      <c r="I571">
        <v>0</v>
      </c>
      <c r="J571">
        <v>0</v>
      </c>
      <c r="K571">
        <v>0</v>
      </c>
      <c r="L571">
        <v>0</v>
      </c>
      <c r="M571">
        <v>2</v>
      </c>
      <c r="N571">
        <v>0</v>
      </c>
      <c r="P571">
        <v>20.3</v>
      </c>
      <c r="R571" t="str">
        <f t="shared" si="48"/>
        <v>Unique</v>
      </c>
      <c r="S571" t="str">
        <f t="shared" si="49"/>
        <v>Valid</v>
      </c>
      <c r="T571" t="str">
        <f t="shared" si="50"/>
        <v>Valid</v>
      </c>
      <c r="U571" t="str">
        <f t="shared" si="51"/>
        <v>Valid</v>
      </c>
      <c r="V571" t="str">
        <f t="shared" si="52"/>
        <v>Valid</v>
      </c>
      <c r="W571" t="str">
        <f t="shared" si="53"/>
        <v>Valid</v>
      </c>
    </row>
    <row r="572" spans="1:23">
      <c r="A572" t="s">
        <v>602</v>
      </c>
      <c r="B572" s="2">
        <v>45722</v>
      </c>
      <c r="C572" t="s">
        <v>17</v>
      </c>
      <c r="D572" t="s">
        <v>23</v>
      </c>
      <c r="E572" t="s">
        <v>24</v>
      </c>
      <c r="F572" t="s">
        <v>29</v>
      </c>
      <c r="G572" t="s">
        <v>26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1</v>
      </c>
      <c r="N572">
        <v>0</v>
      </c>
      <c r="P572">
        <v>57.8</v>
      </c>
      <c r="R572" t="str">
        <f t="shared" si="48"/>
        <v>Unique</v>
      </c>
      <c r="S572" t="str">
        <f t="shared" si="49"/>
        <v>Valid</v>
      </c>
      <c r="T572" t="str">
        <f t="shared" si="50"/>
        <v>Valid</v>
      </c>
      <c r="U572" t="str">
        <f t="shared" si="51"/>
        <v>Valid</v>
      </c>
      <c r="V572" t="str">
        <f t="shared" si="52"/>
        <v>Valid</v>
      </c>
      <c r="W572" t="str">
        <f t="shared" si="53"/>
        <v>Valid</v>
      </c>
    </row>
    <row r="573" spans="1:23">
      <c r="A573" t="s">
        <v>603</v>
      </c>
      <c r="B573" s="2">
        <v>45746</v>
      </c>
      <c r="C573" t="s">
        <v>17</v>
      </c>
      <c r="D573" t="s">
        <v>28</v>
      </c>
      <c r="E573" t="s">
        <v>24</v>
      </c>
      <c r="F573" t="s">
        <v>20</v>
      </c>
      <c r="G573" t="s">
        <v>21</v>
      </c>
      <c r="H573">
        <v>1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P573">
        <v>78.7</v>
      </c>
      <c r="R573" t="str">
        <f t="shared" si="48"/>
        <v>Unique</v>
      </c>
      <c r="S573" t="str">
        <f t="shared" si="49"/>
        <v>Valid</v>
      </c>
      <c r="T573" t="str">
        <f t="shared" si="50"/>
        <v>Valid</v>
      </c>
      <c r="U573" t="str">
        <f t="shared" si="51"/>
        <v>Valid</v>
      </c>
      <c r="V573" t="str">
        <f t="shared" si="52"/>
        <v>Valid</v>
      </c>
      <c r="W573" t="str">
        <f t="shared" si="53"/>
        <v>Valid</v>
      </c>
    </row>
    <row r="574" spans="1:23">
      <c r="A574" t="s">
        <v>604</v>
      </c>
      <c r="B574" s="2">
        <v>45808</v>
      </c>
      <c r="C574" t="s">
        <v>17</v>
      </c>
      <c r="D574" t="s">
        <v>32</v>
      </c>
      <c r="E574" t="s">
        <v>19</v>
      </c>
      <c r="F574" t="s">
        <v>25</v>
      </c>
      <c r="G574" t="s">
        <v>26</v>
      </c>
      <c r="H574">
        <v>1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P574">
        <v>63.6</v>
      </c>
      <c r="R574" t="str">
        <f t="shared" si="48"/>
        <v>Unique</v>
      </c>
      <c r="S574" t="str">
        <f t="shared" si="49"/>
        <v>Valid</v>
      </c>
      <c r="T574" t="str">
        <f t="shared" si="50"/>
        <v>Valid</v>
      </c>
      <c r="U574" t="str">
        <f t="shared" si="51"/>
        <v>Valid</v>
      </c>
      <c r="V574" t="str">
        <f t="shared" si="52"/>
        <v>Valid</v>
      </c>
      <c r="W574" t="str">
        <f t="shared" si="53"/>
        <v>Valid</v>
      </c>
    </row>
    <row r="575" spans="1:23">
      <c r="A575" t="s">
        <v>605</v>
      </c>
      <c r="B575" s="2">
        <v>45708</v>
      </c>
      <c r="C575" t="s">
        <v>17</v>
      </c>
      <c r="D575" t="s">
        <v>32</v>
      </c>
      <c r="E575" t="s">
        <v>24</v>
      </c>
      <c r="F575" t="s">
        <v>20</v>
      </c>
      <c r="G575" t="s">
        <v>26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2</v>
      </c>
      <c r="N575">
        <v>0</v>
      </c>
      <c r="P575">
        <v>45.1</v>
      </c>
      <c r="R575" t="str">
        <f t="shared" si="48"/>
        <v>Unique</v>
      </c>
      <c r="S575" t="str">
        <f t="shared" si="49"/>
        <v>Valid</v>
      </c>
      <c r="T575" t="str">
        <f t="shared" si="50"/>
        <v>Valid</v>
      </c>
      <c r="U575" t="str">
        <f t="shared" si="51"/>
        <v>Valid</v>
      </c>
      <c r="V575" t="str">
        <f t="shared" si="52"/>
        <v>Valid</v>
      </c>
      <c r="W575" t="str">
        <f t="shared" si="53"/>
        <v>Valid</v>
      </c>
    </row>
    <row r="576" spans="1:23">
      <c r="A576" t="s">
        <v>606</v>
      </c>
      <c r="B576" s="2">
        <v>45670</v>
      </c>
      <c r="C576" t="s">
        <v>17</v>
      </c>
      <c r="D576" t="s">
        <v>23</v>
      </c>
      <c r="E576" t="s">
        <v>24</v>
      </c>
      <c r="F576" t="s">
        <v>41</v>
      </c>
      <c r="G576" t="s">
        <v>26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P576">
        <v>77.5</v>
      </c>
      <c r="R576" t="str">
        <f t="shared" si="48"/>
        <v>Unique</v>
      </c>
      <c r="S576" t="str">
        <f t="shared" si="49"/>
        <v>Valid</v>
      </c>
      <c r="T576" t="str">
        <f t="shared" si="50"/>
        <v>Valid</v>
      </c>
      <c r="U576" t="str">
        <f t="shared" si="51"/>
        <v>Valid</v>
      </c>
      <c r="V576" t="str">
        <f t="shared" si="52"/>
        <v>Valid</v>
      </c>
      <c r="W576" t="str">
        <f t="shared" si="53"/>
        <v>Valid</v>
      </c>
    </row>
    <row r="577" spans="1:23">
      <c r="A577" t="s">
        <v>607</v>
      </c>
      <c r="B577" s="2">
        <v>45790</v>
      </c>
      <c r="C577" t="s">
        <v>17</v>
      </c>
      <c r="D577" t="s">
        <v>28</v>
      </c>
      <c r="E577" t="s">
        <v>19</v>
      </c>
      <c r="F577" t="s">
        <v>29</v>
      </c>
      <c r="G577" t="s">
        <v>21</v>
      </c>
      <c r="H577">
        <v>1</v>
      </c>
      <c r="I577">
        <v>1</v>
      </c>
      <c r="J577">
        <v>0</v>
      </c>
      <c r="K577">
        <v>0</v>
      </c>
      <c r="L577">
        <v>0</v>
      </c>
      <c r="M577">
        <v>0</v>
      </c>
      <c r="N577">
        <v>0</v>
      </c>
      <c r="P577">
        <v>58</v>
      </c>
      <c r="R577" t="str">
        <f t="shared" si="48"/>
        <v>Unique</v>
      </c>
      <c r="S577" t="str">
        <f t="shared" si="49"/>
        <v>Valid</v>
      </c>
      <c r="T577" t="str">
        <f t="shared" si="50"/>
        <v>Valid</v>
      </c>
      <c r="U577" t="str">
        <f t="shared" si="51"/>
        <v>Valid</v>
      </c>
      <c r="V577" t="str">
        <f t="shared" si="52"/>
        <v>Valid</v>
      </c>
      <c r="W577" t="str">
        <f t="shared" si="53"/>
        <v>Valid</v>
      </c>
    </row>
    <row r="578" spans="1:23">
      <c r="A578" t="s">
        <v>608</v>
      </c>
      <c r="B578" s="2">
        <v>45768</v>
      </c>
      <c r="C578" t="s">
        <v>17</v>
      </c>
      <c r="D578" t="s">
        <v>32</v>
      </c>
      <c r="E578" t="s">
        <v>34</v>
      </c>
      <c r="F578" t="s">
        <v>25</v>
      </c>
      <c r="G578" t="s">
        <v>26</v>
      </c>
      <c r="H578">
        <v>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P578">
        <v>68.099999999999994</v>
      </c>
      <c r="R578" t="str">
        <f t="shared" si="48"/>
        <v>Unique</v>
      </c>
      <c r="S578" t="str">
        <f t="shared" si="49"/>
        <v>Valid</v>
      </c>
      <c r="T578" t="str">
        <f t="shared" si="50"/>
        <v>Valid</v>
      </c>
      <c r="U578" t="str">
        <f t="shared" si="51"/>
        <v>Valid</v>
      </c>
      <c r="V578" t="str">
        <f t="shared" si="52"/>
        <v>Valid</v>
      </c>
      <c r="W578" t="str">
        <f t="shared" si="53"/>
        <v>Valid</v>
      </c>
    </row>
    <row r="579" spans="1:23">
      <c r="A579" t="s">
        <v>609</v>
      </c>
      <c r="B579" s="2">
        <v>45717</v>
      </c>
      <c r="C579" t="s">
        <v>17</v>
      </c>
      <c r="D579" t="s">
        <v>28</v>
      </c>
      <c r="E579" t="s">
        <v>34</v>
      </c>
      <c r="F579" t="s">
        <v>25</v>
      </c>
      <c r="G579" t="s">
        <v>30</v>
      </c>
      <c r="H579">
        <v>1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P579">
        <v>35.4</v>
      </c>
      <c r="R579" t="str">
        <f t="shared" ref="R579:R642" si="54">IF(COUNTIF($A:$A,A579)&gt;1,"Duplicate","Unique")</f>
        <v>Unique</v>
      </c>
      <c r="S579" t="str">
        <f t="shared" ref="S579:S642" si="55">IF(OR(H579=0,H579=1),"Valid","Invalid")</f>
        <v>Valid</v>
      </c>
      <c r="T579" t="str">
        <f t="shared" ref="T579:T642" si="56">IF(OR(I579=0,I579=1),"Valid","Invalid")</f>
        <v>Valid</v>
      </c>
      <c r="U579" t="str">
        <f t="shared" ref="U579:U642" si="57">IF(OR(J579=0,J579=1),"Valid","Invalid")</f>
        <v>Valid</v>
      </c>
      <c r="V579" t="str">
        <f t="shared" ref="V579:V642" si="58">IF(OR(K579=0,K579=1),"Valid","Invalid")</f>
        <v>Valid</v>
      </c>
      <c r="W579" t="str">
        <f t="shared" ref="W579:W642" si="59">IF(OR(N579=0,N579=1),"Valid","Invalid")</f>
        <v>Valid</v>
      </c>
    </row>
    <row r="580" spans="1:23">
      <c r="A580" t="s">
        <v>610</v>
      </c>
      <c r="B580" s="2">
        <v>45726</v>
      </c>
      <c r="C580" t="s">
        <v>17</v>
      </c>
      <c r="D580" t="s">
        <v>23</v>
      </c>
      <c r="E580" t="s">
        <v>34</v>
      </c>
      <c r="F580" t="s">
        <v>25</v>
      </c>
      <c r="G580" t="s">
        <v>26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P580">
        <v>47</v>
      </c>
      <c r="R580" t="str">
        <f t="shared" si="54"/>
        <v>Unique</v>
      </c>
      <c r="S580" t="str">
        <f t="shared" si="55"/>
        <v>Valid</v>
      </c>
      <c r="T580" t="str">
        <f t="shared" si="56"/>
        <v>Valid</v>
      </c>
      <c r="U580" t="str">
        <f t="shared" si="57"/>
        <v>Valid</v>
      </c>
      <c r="V580" t="str">
        <f t="shared" si="58"/>
        <v>Valid</v>
      </c>
      <c r="W580" t="str">
        <f t="shared" si="59"/>
        <v>Valid</v>
      </c>
    </row>
    <row r="581" spans="1:23">
      <c r="A581" t="s">
        <v>611</v>
      </c>
      <c r="B581" s="2">
        <v>45724</v>
      </c>
      <c r="C581" t="s">
        <v>17</v>
      </c>
      <c r="D581" t="s">
        <v>28</v>
      </c>
      <c r="E581" t="s">
        <v>19</v>
      </c>
      <c r="F581" t="s">
        <v>29</v>
      </c>
      <c r="G581" t="s">
        <v>26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P581">
        <v>75</v>
      </c>
      <c r="R581" t="str">
        <f t="shared" si="54"/>
        <v>Unique</v>
      </c>
      <c r="S581" t="str">
        <f t="shared" si="55"/>
        <v>Valid</v>
      </c>
      <c r="T581" t="str">
        <f t="shared" si="56"/>
        <v>Valid</v>
      </c>
      <c r="U581" t="str">
        <f t="shared" si="57"/>
        <v>Valid</v>
      </c>
      <c r="V581" t="str">
        <f t="shared" si="58"/>
        <v>Valid</v>
      </c>
      <c r="W581" t="str">
        <f t="shared" si="59"/>
        <v>Valid</v>
      </c>
    </row>
    <row r="582" spans="1:23">
      <c r="A582" t="s">
        <v>612</v>
      </c>
      <c r="B582" s="2">
        <v>45803</v>
      </c>
      <c r="C582" t="s">
        <v>17</v>
      </c>
      <c r="D582" t="s">
        <v>32</v>
      </c>
      <c r="E582" t="s">
        <v>19</v>
      </c>
      <c r="F582" t="s">
        <v>29</v>
      </c>
      <c r="G582" t="s">
        <v>26</v>
      </c>
      <c r="H582">
        <v>1</v>
      </c>
      <c r="I582">
        <v>1</v>
      </c>
      <c r="J582">
        <v>1</v>
      </c>
      <c r="K582">
        <v>0</v>
      </c>
      <c r="L582">
        <v>0</v>
      </c>
      <c r="M582">
        <v>3</v>
      </c>
      <c r="N582">
        <v>0</v>
      </c>
      <c r="P582">
        <v>50.2</v>
      </c>
      <c r="R582" t="str">
        <f t="shared" si="54"/>
        <v>Unique</v>
      </c>
      <c r="S582" t="str">
        <f t="shared" si="55"/>
        <v>Valid</v>
      </c>
      <c r="T582" t="str">
        <f t="shared" si="56"/>
        <v>Valid</v>
      </c>
      <c r="U582" t="str">
        <f t="shared" si="57"/>
        <v>Valid</v>
      </c>
      <c r="V582" t="str">
        <f t="shared" si="58"/>
        <v>Valid</v>
      </c>
      <c r="W582" t="str">
        <f t="shared" si="59"/>
        <v>Valid</v>
      </c>
    </row>
    <row r="583" spans="1:23">
      <c r="A583" t="s">
        <v>613</v>
      </c>
      <c r="B583" s="2">
        <v>45797</v>
      </c>
      <c r="C583" t="s">
        <v>17</v>
      </c>
      <c r="D583" t="s">
        <v>28</v>
      </c>
      <c r="E583" t="s">
        <v>19</v>
      </c>
      <c r="F583" t="s">
        <v>29</v>
      </c>
      <c r="G583" t="s">
        <v>26</v>
      </c>
      <c r="H583">
        <v>1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P583">
        <v>40.1</v>
      </c>
      <c r="R583" t="str">
        <f t="shared" si="54"/>
        <v>Unique</v>
      </c>
      <c r="S583" t="str">
        <f t="shared" si="55"/>
        <v>Valid</v>
      </c>
      <c r="T583" t="str">
        <f t="shared" si="56"/>
        <v>Valid</v>
      </c>
      <c r="U583" t="str">
        <f t="shared" si="57"/>
        <v>Valid</v>
      </c>
      <c r="V583" t="str">
        <f t="shared" si="58"/>
        <v>Valid</v>
      </c>
      <c r="W583" t="str">
        <f t="shared" si="59"/>
        <v>Valid</v>
      </c>
    </row>
    <row r="584" spans="1:23">
      <c r="A584" t="s">
        <v>614</v>
      </c>
      <c r="B584" s="2">
        <v>45738</v>
      </c>
      <c r="C584" t="s">
        <v>17</v>
      </c>
      <c r="D584" t="s">
        <v>23</v>
      </c>
      <c r="E584" t="s">
        <v>19</v>
      </c>
      <c r="F584" t="s">
        <v>29</v>
      </c>
      <c r="G584" t="s">
        <v>26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P584">
        <v>61.1</v>
      </c>
      <c r="R584" t="str">
        <f t="shared" si="54"/>
        <v>Unique</v>
      </c>
      <c r="S584" t="str">
        <f t="shared" si="55"/>
        <v>Valid</v>
      </c>
      <c r="T584" t="str">
        <f t="shared" si="56"/>
        <v>Valid</v>
      </c>
      <c r="U584" t="str">
        <f t="shared" si="57"/>
        <v>Valid</v>
      </c>
      <c r="V584" t="str">
        <f t="shared" si="58"/>
        <v>Valid</v>
      </c>
      <c r="W584" t="str">
        <f t="shared" si="59"/>
        <v>Valid</v>
      </c>
    </row>
    <row r="585" spans="1:23">
      <c r="A585" t="s">
        <v>615</v>
      </c>
      <c r="B585" s="2">
        <v>45703</v>
      </c>
      <c r="C585" t="s">
        <v>17</v>
      </c>
      <c r="D585" t="s">
        <v>32</v>
      </c>
      <c r="E585" t="s">
        <v>19</v>
      </c>
      <c r="F585" t="s">
        <v>29</v>
      </c>
      <c r="G585" t="s">
        <v>26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P585">
        <v>42.4</v>
      </c>
      <c r="R585" t="str">
        <f t="shared" si="54"/>
        <v>Unique</v>
      </c>
      <c r="S585" t="str">
        <f t="shared" si="55"/>
        <v>Valid</v>
      </c>
      <c r="T585" t="str">
        <f t="shared" si="56"/>
        <v>Valid</v>
      </c>
      <c r="U585" t="str">
        <f t="shared" si="57"/>
        <v>Valid</v>
      </c>
      <c r="V585" t="str">
        <f t="shared" si="58"/>
        <v>Valid</v>
      </c>
      <c r="W585" t="str">
        <f t="shared" si="59"/>
        <v>Valid</v>
      </c>
    </row>
    <row r="586" spans="1:23">
      <c r="A586" t="s">
        <v>616</v>
      </c>
      <c r="B586" s="2">
        <v>45665</v>
      </c>
      <c r="C586" t="s">
        <v>17</v>
      </c>
      <c r="D586" t="s">
        <v>18</v>
      </c>
      <c r="E586" t="s">
        <v>24</v>
      </c>
      <c r="F586" t="s">
        <v>41</v>
      </c>
      <c r="G586" t="s">
        <v>26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P586">
        <v>46.6</v>
      </c>
      <c r="R586" t="str">
        <f t="shared" si="54"/>
        <v>Unique</v>
      </c>
      <c r="S586" t="str">
        <f t="shared" si="55"/>
        <v>Valid</v>
      </c>
      <c r="T586" t="str">
        <f t="shared" si="56"/>
        <v>Valid</v>
      </c>
      <c r="U586" t="str">
        <f t="shared" si="57"/>
        <v>Valid</v>
      </c>
      <c r="V586" t="str">
        <f t="shared" si="58"/>
        <v>Valid</v>
      </c>
      <c r="W586" t="str">
        <f t="shared" si="59"/>
        <v>Valid</v>
      </c>
    </row>
    <row r="587" spans="1:23">
      <c r="A587" t="s">
        <v>617</v>
      </c>
      <c r="B587" s="2">
        <v>45686</v>
      </c>
      <c r="C587" t="s">
        <v>17</v>
      </c>
      <c r="D587" t="s">
        <v>32</v>
      </c>
      <c r="E587" t="s">
        <v>24</v>
      </c>
      <c r="F587" t="s">
        <v>25</v>
      </c>
      <c r="G587" t="s">
        <v>30</v>
      </c>
      <c r="H587">
        <v>1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P587">
        <v>72.099999999999994</v>
      </c>
      <c r="R587" t="str">
        <f t="shared" si="54"/>
        <v>Unique</v>
      </c>
      <c r="S587" t="str">
        <f t="shared" si="55"/>
        <v>Valid</v>
      </c>
      <c r="T587" t="str">
        <f t="shared" si="56"/>
        <v>Valid</v>
      </c>
      <c r="U587" t="str">
        <f t="shared" si="57"/>
        <v>Valid</v>
      </c>
      <c r="V587" t="str">
        <f t="shared" si="58"/>
        <v>Valid</v>
      </c>
      <c r="W587" t="str">
        <f t="shared" si="59"/>
        <v>Valid</v>
      </c>
    </row>
    <row r="588" spans="1:23">
      <c r="A588" t="s">
        <v>618</v>
      </c>
      <c r="B588" s="2">
        <v>45784</v>
      </c>
      <c r="C588" t="s">
        <v>17</v>
      </c>
      <c r="D588" t="s">
        <v>28</v>
      </c>
      <c r="E588" t="s">
        <v>34</v>
      </c>
      <c r="F588" t="s">
        <v>25</v>
      </c>
      <c r="G588" t="s">
        <v>26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P588">
        <v>21.5</v>
      </c>
      <c r="R588" t="str">
        <f t="shared" si="54"/>
        <v>Unique</v>
      </c>
      <c r="S588" t="str">
        <f t="shared" si="55"/>
        <v>Valid</v>
      </c>
      <c r="T588" t="str">
        <f t="shared" si="56"/>
        <v>Valid</v>
      </c>
      <c r="U588" t="str">
        <f t="shared" si="57"/>
        <v>Valid</v>
      </c>
      <c r="V588" t="str">
        <f t="shared" si="58"/>
        <v>Valid</v>
      </c>
      <c r="W588" t="str">
        <f t="shared" si="59"/>
        <v>Valid</v>
      </c>
    </row>
    <row r="589" spans="1:23">
      <c r="A589" t="s">
        <v>619</v>
      </c>
      <c r="B589" s="2">
        <v>45717</v>
      </c>
      <c r="C589" t="s">
        <v>17</v>
      </c>
      <c r="D589" t="s">
        <v>18</v>
      </c>
      <c r="E589" t="s">
        <v>24</v>
      </c>
      <c r="F589" t="s">
        <v>41</v>
      </c>
      <c r="G589" t="s">
        <v>21</v>
      </c>
      <c r="H589">
        <v>1</v>
      </c>
      <c r="I589">
        <v>0</v>
      </c>
      <c r="J589">
        <v>0</v>
      </c>
      <c r="K589">
        <v>0</v>
      </c>
      <c r="L589">
        <v>0</v>
      </c>
      <c r="M589">
        <v>1</v>
      </c>
      <c r="N589">
        <v>0</v>
      </c>
      <c r="P589">
        <v>65.400000000000006</v>
      </c>
      <c r="R589" t="str">
        <f t="shared" si="54"/>
        <v>Unique</v>
      </c>
      <c r="S589" t="str">
        <f t="shared" si="55"/>
        <v>Valid</v>
      </c>
      <c r="T589" t="str">
        <f t="shared" si="56"/>
        <v>Valid</v>
      </c>
      <c r="U589" t="str">
        <f t="shared" si="57"/>
        <v>Valid</v>
      </c>
      <c r="V589" t="str">
        <f t="shared" si="58"/>
        <v>Valid</v>
      </c>
      <c r="W589" t="str">
        <f t="shared" si="59"/>
        <v>Valid</v>
      </c>
    </row>
    <row r="590" spans="1:23">
      <c r="A590" t="s">
        <v>620</v>
      </c>
      <c r="B590" s="2">
        <v>45767</v>
      </c>
      <c r="C590" t="s">
        <v>17</v>
      </c>
      <c r="D590" t="s">
        <v>28</v>
      </c>
      <c r="E590" t="s">
        <v>24</v>
      </c>
      <c r="F590" t="s">
        <v>25</v>
      </c>
      <c r="G590" t="s">
        <v>26</v>
      </c>
      <c r="H590">
        <v>1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P590">
        <v>53.3</v>
      </c>
      <c r="R590" t="str">
        <f t="shared" si="54"/>
        <v>Unique</v>
      </c>
      <c r="S590" t="str">
        <f t="shared" si="55"/>
        <v>Valid</v>
      </c>
      <c r="T590" t="str">
        <f t="shared" si="56"/>
        <v>Valid</v>
      </c>
      <c r="U590" t="str">
        <f t="shared" si="57"/>
        <v>Valid</v>
      </c>
      <c r="V590" t="str">
        <f t="shared" si="58"/>
        <v>Valid</v>
      </c>
      <c r="W590" t="str">
        <f t="shared" si="59"/>
        <v>Valid</v>
      </c>
    </row>
    <row r="591" spans="1:23">
      <c r="A591" t="s">
        <v>621</v>
      </c>
      <c r="B591" s="2">
        <v>45673</v>
      </c>
      <c r="C591" t="s">
        <v>17</v>
      </c>
      <c r="D591" t="s">
        <v>28</v>
      </c>
      <c r="E591" t="s">
        <v>24</v>
      </c>
      <c r="F591" t="s">
        <v>25</v>
      </c>
      <c r="G591" t="s">
        <v>30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2</v>
      </c>
      <c r="N591">
        <v>0</v>
      </c>
      <c r="P591">
        <v>52.3</v>
      </c>
      <c r="R591" t="str">
        <f t="shared" si="54"/>
        <v>Unique</v>
      </c>
      <c r="S591" t="str">
        <f t="shared" si="55"/>
        <v>Valid</v>
      </c>
      <c r="T591" t="str">
        <f t="shared" si="56"/>
        <v>Valid</v>
      </c>
      <c r="U591" t="str">
        <f t="shared" si="57"/>
        <v>Valid</v>
      </c>
      <c r="V591" t="str">
        <f t="shared" si="58"/>
        <v>Valid</v>
      </c>
      <c r="W591" t="str">
        <f t="shared" si="59"/>
        <v>Valid</v>
      </c>
    </row>
    <row r="592" spans="1:23">
      <c r="A592" t="s">
        <v>622</v>
      </c>
      <c r="B592" s="2">
        <v>45751</v>
      </c>
      <c r="C592" t="s">
        <v>17</v>
      </c>
      <c r="D592" t="s">
        <v>28</v>
      </c>
      <c r="E592" t="s">
        <v>24</v>
      </c>
      <c r="F592" t="s">
        <v>29</v>
      </c>
      <c r="G592" t="s">
        <v>26</v>
      </c>
      <c r="H592">
        <v>1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P592">
        <v>62.5</v>
      </c>
      <c r="R592" t="str">
        <f t="shared" si="54"/>
        <v>Unique</v>
      </c>
      <c r="S592" t="str">
        <f t="shared" si="55"/>
        <v>Valid</v>
      </c>
      <c r="T592" t="str">
        <f t="shared" si="56"/>
        <v>Valid</v>
      </c>
      <c r="U592" t="str">
        <f t="shared" si="57"/>
        <v>Valid</v>
      </c>
      <c r="V592" t="str">
        <f t="shared" si="58"/>
        <v>Valid</v>
      </c>
      <c r="W592" t="str">
        <f t="shared" si="59"/>
        <v>Valid</v>
      </c>
    </row>
    <row r="593" spans="1:23">
      <c r="A593" t="s">
        <v>623</v>
      </c>
      <c r="B593" s="2">
        <v>45686</v>
      </c>
      <c r="C593" t="s">
        <v>17</v>
      </c>
      <c r="D593" t="s">
        <v>18</v>
      </c>
      <c r="E593" t="s">
        <v>34</v>
      </c>
      <c r="F593" t="s">
        <v>41</v>
      </c>
      <c r="G593" t="s">
        <v>26</v>
      </c>
      <c r="H593">
        <v>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P593">
        <v>69.8</v>
      </c>
      <c r="R593" t="str">
        <f t="shared" si="54"/>
        <v>Unique</v>
      </c>
      <c r="S593" t="str">
        <f t="shared" si="55"/>
        <v>Valid</v>
      </c>
      <c r="T593" t="str">
        <f t="shared" si="56"/>
        <v>Valid</v>
      </c>
      <c r="U593" t="str">
        <f t="shared" si="57"/>
        <v>Valid</v>
      </c>
      <c r="V593" t="str">
        <f t="shared" si="58"/>
        <v>Valid</v>
      </c>
      <c r="W593" t="str">
        <f t="shared" si="59"/>
        <v>Valid</v>
      </c>
    </row>
    <row r="594" spans="1:23">
      <c r="A594" t="s">
        <v>624</v>
      </c>
      <c r="B594" s="2">
        <v>45766</v>
      </c>
      <c r="C594" t="s">
        <v>17</v>
      </c>
      <c r="D594" t="s">
        <v>28</v>
      </c>
      <c r="E594" t="s">
        <v>24</v>
      </c>
      <c r="F594" t="s">
        <v>20</v>
      </c>
      <c r="G594" t="s">
        <v>26</v>
      </c>
      <c r="H594">
        <v>1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P594">
        <v>68.2</v>
      </c>
      <c r="R594" t="str">
        <f t="shared" si="54"/>
        <v>Unique</v>
      </c>
      <c r="S594" t="str">
        <f t="shared" si="55"/>
        <v>Valid</v>
      </c>
      <c r="T594" t="str">
        <f t="shared" si="56"/>
        <v>Valid</v>
      </c>
      <c r="U594" t="str">
        <f t="shared" si="57"/>
        <v>Valid</v>
      </c>
      <c r="V594" t="str">
        <f t="shared" si="58"/>
        <v>Valid</v>
      </c>
      <c r="W594" t="str">
        <f t="shared" si="59"/>
        <v>Valid</v>
      </c>
    </row>
    <row r="595" spans="1:23">
      <c r="A595" t="s">
        <v>625</v>
      </c>
      <c r="B595" s="2">
        <v>45726</v>
      </c>
      <c r="C595" t="s">
        <v>17</v>
      </c>
      <c r="D595" t="s">
        <v>32</v>
      </c>
      <c r="E595" t="s">
        <v>24</v>
      </c>
      <c r="F595" t="s">
        <v>41</v>
      </c>
      <c r="G595" t="s">
        <v>21</v>
      </c>
      <c r="H595">
        <v>1</v>
      </c>
      <c r="I595">
        <v>1</v>
      </c>
      <c r="J595">
        <v>1</v>
      </c>
      <c r="K595">
        <v>1</v>
      </c>
      <c r="L595">
        <v>751.73</v>
      </c>
      <c r="M595">
        <v>0</v>
      </c>
      <c r="N595">
        <v>0</v>
      </c>
      <c r="O595">
        <v>6</v>
      </c>
      <c r="P595">
        <v>35.200000000000003</v>
      </c>
      <c r="R595" t="str">
        <f t="shared" si="54"/>
        <v>Unique</v>
      </c>
      <c r="S595" t="str">
        <f t="shared" si="55"/>
        <v>Valid</v>
      </c>
      <c r="T595" t="str">
        <f t="shared" si="56"/>
        <v>Valid</v>
      </c>
      <c r="U595" t="str">
        <f t="shared" si="57"/>
        <v>Valid</v>
      </c>
      <c r="V595" t="str">
        <f t="shared" si="58"/>
        <v>Valid</v>
      </c>
      <c r="W595" t="str">
        <f t="shared" si="59"/>
        <v>Valid</v>
      </c>
    </row>
    <row r="596" spans="1:23">
      <c r="A596" t="s">
        <v>626</v>
      </c>
      <c r="B596" s="2">
        <v>45787</v>
      </c>
      <c r="C596" t="s">
        <v>17</v>
      </c>
      <c r="D596" t="s">
        <v>32</v>
      </c>
      <c r="E596" t="s">
        <v>24</v>
      </c>
      <c r="F596" t="s">
        <v>41</v>
      </c>
      <c r="G596" t="s">
        <v>21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P596">
        <v>59.3</v>
      </c>
      <c r="R596" t="str">
        <f t="shared" si="54"/>
        <v>Unique</v>
      </c>
      <c r="S596" t="str">
        <f t="shared" si="55"/>
        <v>Valid</v>
      </c>
      <c r="T596" t="str">
        <f t="shared" si="56"/>
        <v>Valid</v>
      </c>
      <c r="U596" t="str">
        <f t="shared" si="57"/>
        <v>Valid</v>
      </c>
      <c r="V596" t="str">
        <f t="shared" si="58"/>
        <v>Valid</v>
      </c>
      <c r="W596" t="str">
        <f t="shared" si="59"/>
        <v>Valid</v>
      </c>
    </row>
    <row r="597" spans="1:23">
      <c r="A597" t="s">
        <v>627</v>
      </c>
      <c r="B597" s="2">
        <v>45690</v>
      </c>
      <c r="C597" t="s">
        <v>17</v>
      </c>
      <c r="D597" t="s">
        <v>18</v>
      </c>
      <c r="E597" t="s">
        <v>24</v>
      </c>
      <c r="F597" t="s">
        <v>41</v>
      </c>
      <c r="G597" t="s">
        <v>26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P597">
        <v>68.099999999999994</v>
      </c>
      <c r="R597" t="str">
        <f t="shared" si="54"/>
        <v>Unique</v>
      </c>
      <c r="S597" t="str">
        <f t="shared" si="55"/>
        <v>Valid</v>
      </c>
      <c r="T597" t="str">
        <f t="shared" si="56"/>
        <v>Valid</v>
      </c>
      <c r="U597" t="str">
        <f t="shared" si="57"/>
        <v>Valid</v>
      </c>
      <c r="V597" t="str">
        <f t="shared" si="58"/>
        <v>Valid</v>
      </c>
      <c r="W597" t="str">
        <f t="shared" si="59"/>
        <v>Valid</v>
      </c>
    </row>
    <row r="598" spans="1:23">
      <c r="A598" t="s">
        <v>628</v>
      </c>
      <c r="B598" s="2">
        <v>45783</v>
      </c>
      <c r="C598" t="s">
        <v>17</v>
      </c>
      <c r="D598" t="s">
        <v>18</v>
      </c>
      <c r="E598" t="s">
        <v>19</v>
      </c>
      <c r="F598" t="s">
        <v>25</v>
      </c>
      <c r="G598" t="s">
        <v>26</v>
      </c>
      <c r="H598">
        <v>1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P598">
        <v>74.8</v>
      </c>
      <c r="R598" t="str">
        <f t="shared" si="54"/>
        <v>Unique</v>
      </c>
      <c r="S598" t="str">
        <f t="shared" si="55"/>
        <v>Valid</v>
      </c>
      <c r="T598" t="str">
        <f t="shared" si="56"/>
        <v>Valid</v>
      </c>
      <c r="U598" t="str">
        <f t="shared" si="57"/>
        <v>Valid</v>
      </c>
      <c r="V598" t="str">
        <f t="shared" si="58"/>
        <v>Valid</v>
      </c>
      <c r="W598" t="str">
        <f t="shared" si="59"/>
        <v>Valid</v>
      </c>
    </row>
    <row r="599" spans="1:23">
      <c r="A599" t="s">
        <v>629</v>
      </c>
      <c r="B599" s="2">
        <v>45676</v>
      </c>
      <c r="C599" t="s">
        <v>17</v>
      </c>
      <c r="D599" t="s">
        <v>23</v>
      </c>
      <c r="E599" t="s">
        <v>19</v>
      </c>
      <c r="F599" t="s">
        <v>25</v>
      </c>
      <c r="G599" t="s">
        <v>26</v>
      </c>
      <c r="H599">
        <v>1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P599">
        <v>61.7</v>
      </c>
      <c r="R599" t="str">
        <f t="shared" si="54"/>
        <v>Unique</v>
      </c>
      <c r="S599" t="str">
        <f t="shared" si="55"/>
        <v>Valid</v>
      </c>
      <c r="T599" t="str">
        <f t="shared" si="56"/>
        <v>Valid</v>
      </c>
      <c r="U599" t="str">
        <f t="shared" si="57"/>
        <v>Valid</v>
      </c>
      <c r="V599" t="str">
        <f t="shared" si="58"/>
        <v>Valid</v>
      </c>
      <c r="W599" t="str">
        <f t="shared" si="59"/>
        <v>Valid</v>
      </c>
    </row>
    <row r="600" spans="1:23">
      <c r="A600" t="s">
        <v>630</v>
      </c>
      <c r="B600" s="2">
        <v>45659</v>
      </c>
      <c r="C600" t="s">
        <v>17</v>
      </c>
      <c r="D600" t="s">
        <v>18</v>
      </c>
      <c r="E600" t="s">
        <v>24</v>
      </c>
      <c r="F600" t="s">
        <v>25</v>
      </c>
      <c r="G600" t="s">
        <v>26</v>
      </c>
      <c r="H600">
        <v>1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P600">
        <v>24.3</v>
      </c>
      <c r="R600" t="str">
        <f t="shared" si="54"/>
        <v>Unique</v>
      </c>
      <c r="S600" t="str">
        <f t="shared" si="55"/>
        <v>Valid</v>
      </c>
      <c r="T600" t="str">
        <f t="shared" si="56"/>
        <v>Valid</v>
      </c>
      <c r="U600" t="str">
        <f t="shared" si="57"/>
        <v>Valid</v>
      </c>
      <c r="V600" t="str">
        <f t="shared" si="58"/>
        <v>Valid</v>
      </c>
      <c r="W600" t="str">
        <f t="shared" si="59"/>
        <v>Valid</v>
      </c>
    </row>
    <row r="601" spans="1:23">
      <c r="A601" t="s">
        <v>631</v>
      </c>
      <c r="B601" s="2">
        <v>45780</v>
      </c>
      <c r="C601" t="s">
        <v>17</v>
      </c>
      <c r="D601" t="s">
        <v>32</v>
      </c>
      <c r="E601" t="s">
        <v>19</v>
      </c>
      <c r="F601" t="s">
        <v>29</v>
      </c>
      <c r="G601" t="s">
        <v>26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1</v>
      </c>
      <c r="N601">
        <v>0</v>
      </c>
      <c r="P601">
        <v>61.9</v>
      </c>
      <c r="R601" t="str">
        <f t="shared" si="54"/>
        <v>Unique</v>
      </c>
      <c r="S601" t="str">
        <f t="shared" si="55"/>
        <v>Valid</v>
      </c>
      <c r="T601" t="str">
        <f t="shared" si="56"/>
        <v>Valid</v>
      </c>
      <c r="U601" t="str">
        <f t="shared" si="57"/>
        <v>Valid</v>
      </c>
      <c r="V601" t="str">
        <f t="shared" si="58"/>
        <v>Valid</v>
      </c>
      <c r="W601" t="str">
        <f t="shared" si="59"/>
        <v>Valid</v>
      </c>
    </row>
    <row r="602" spans="1:23">
      <c r="A602" t="s">
        <v>632</v>
      </c>
      <c r="B602" s="2">
        <v>45804</v>
      </c>
      <c r="C602" t="s">
        <v>17</v>
      </c>
      <c r="D602" t="s">
        <v>28</v>
      </c>
      <c r="E602" t="s">
        <v>19</v>
      </c>
      <c r="F602" t="s">
        <v>39</v>
      </c>
      <c r="G602" t="s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2</v>
      </c>
      <c r="N602">
        <v>0</v>
      </c>
      <c r="P602">
        <v>41.7</v>
      </c>
      <c r="R602" t="str">
        <f t="shared" si="54"/>
        <v>Unique</v>
      </c>
      <c r="S602" t="str">
        <f t="shared" si="55"/>
        <v>Valid</v>
      </c>
      <c r="T602" t="str">
        <f t="shared" si="56"/>
        <v>Valid</v>
      </c>
      <c r="U602" t="str">
        <f t="shared" si="57"/>
        <v>Valid</v>
      </c>
      <c r="V602" t="str">
        <f t="shared" si="58"/>
        <v>Valid</v>
      </c>
      <c r="W602" t="str">
        <f t="shared" si="59"/>
        <v>Valid</v>
      </c>
    </row>
    <row r="603" spans="1:23">
      <c r="A603" t="s">
        <v>633</v>
      </c>
      <c r="B603" s="2">
        <v>45697</v>
      </c>
      <c r="C603" t="s">
        <v>17</v>
      </c>
      <c r="D603" t="s">
        <v>32</v>
      </c>
      <c r="E603" t="s">
        <v>19</v>
      </c>
      <c r="F603" t="s">
        <v>41</v>
      </c>
      <c r="G603" t="s">
        <v>26</v>
      </c>
      <c r="H603">
        <v>1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P603">
        <v>87.6</v>
      </c>
      <c r="R603" t="str">
        <f t="shared" si="54"/>
        <v>Unique</v>
      </c>
      <c r="S603" t="str">
        <f t="shared" si="55"/>
        <v>Valid</v>
      </c>
      <c r="T603" t="str">
        <f t="shared" si="56"/>
        <v>Valid</v>
      </c>
      <c r="U603" t="str">
        <f t="shared" si="57"/>
        <v>Valid</v>
      </c>
      <c r="V603" t="str">
        <f t="shared" si="58"/>
        <v>Valid</v>
      </c>
      <c r="W603" t="str">
        <f t="shared" si="59"/>
        <v>Valid</v>
      </c>
    </row>
    <row r="604" spans="1:23">
      <c r="A604" t="s">
        <v>634</v>
      </c>
      <c r="B604" s="2">
        <v>45795</v>
      </c>
      <c r="C604" t="s">
        <v>17</v>
      </c>
      <c r="D604" t="s">
        <v>28</v>
      </c>
      <c r="E604" t="s">
        <v>24</v>
      </c>
      <c r="F604" t="s">
        <v>29</v>
      </c>
      <c r="G604" t="s">
        <v>26</v>
      </c>
      <c r="H604">
        <v>1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P604">
        <v>30.8</v>
      </c>
      <c r="R604" t="str">
        <f t="shared" si="54"/>
        <v>Unique</v>
      </c>
      <c r="S604" t="str">
        <f t="shared" si="55"/>
        <v>Valid</v>
      </c>
      <c r="T604" t="str">
        <f t="shared" si="56"/>
        <v>Valid</v>
      </c>
      <c r="U604" t="str">
        <f t="shared" si="57"/>
        <v>Valid</v>
      </c>
      <c r="V604" t="str">
        <f t="shared" si="58"/>
        <v>Valid</v>
      </c>
      <c r="W604" t="str">
        <f t="shared" si="59"/>
        <v>Valid</v>
      </c>
    </row>
    <row r="605" spans="1:23">
      <c r="A605" t="s">
        <v>635</v>
      </c>
      <c r="B605" s="2">
        <v>45794</v>
      </c>
      <c r="C605" t="s">
        <v>17</v>
      </c>
      <c r="D605" t="s">
        <v>18</v>
      </c>
      <c r="E605" t="s">
        <v>24</v>
      </c>
      <c r="F605" t="s">
        <v>20</v>
      </c>
      <c r="G605" t="s">
        <v>26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P605">
        <v>54</v>
      </c>
      <c r="R605" t="str">
        <f t="shared" si="54"/>
        <v>Unique</v>
      </c>
      <c r="S605" t="str">
        <f t="shared" si="55"/>
        <v>Valid</v>
      </c>
      <c r="T605" t="str">
        <f t="shared" si="56"/>
        <v>Valid</v>
      </c>
      <c r="U605" t="str">
        <f t="shared" si="57"/>
        <v>Valid</v>
      </c>
      <c r="V605" t="str">
        <f t="shared" si="58"/>
        <v>Valid</v>
      </c>
      <c r="W605" t="str">
        <f t="shared" si="59"/>
        <v>Valid</v>
      </c>
    </row>
    <row r="606" spans="1:23">
      <c r="A606" t="s">
        <v>636</v>
      </c>
      <c r="B606" s="2">
        <v>45682</v>
      </c>
      <c r="C606" t="s">
        <v>17</v>
      </c>
      <c r="D606" t="s">
        <v>28</v>
      </c>
      <c r="E606" t="s">
        <v>19</v>
      </c>
      <c r="F606" t="s">
        <v>39</v>
      </c>
      <c r="G606" t="s">
        <v>21</v>
      </c>
      <c r="H606">
        <v>1</v>
      </c>
      <c r="I606">
        <v>0</v>
      </c>
      <c r="J606">
        <v>0</v>
      </c>
      <c r="K606">
        <v>0</v>
      </c>
      <c r="L606">
        <v>0</v>
      </c>
      <c r="M606">
        <v>1</v>
      </c>
      <c r="N606">
        <v>0</v>
      </c>
      <c r="P606">
        <v>54.5</v>
      </c>
      <c r="R606" t="str">
        <f t="shared" si="54"/>
        <v>Unique</v>
      </c>
      <c r="S606" t="str">
        <f t="shared" si="55"/>
        <v>Valid</v>
      </c>
      <c r="T606" t="str">
        <f t="shared" si="56"/>
        <v>Valid</v>
      </c>
      <c r="U606" t="str">
        <f t="shared" si="57"/>
        <v>Valid</v>
      </c>
      <c r="V606" t="str">
        <f t="shared" si="58"/>
        <v>Valid</v>
      </c>
      <c r="W606" t="str">
        <f t="shared" si="59"/>
        <v>Valid</v>
      </c>
    </row>
    <row r="607" spans="1:23">
      <c r="A607" t="s">
        <v>637</v>
      </c>
      <c r="B607" s="2">
        <v>45781</v>
      </c>
      <c r="C607" t="s">
        <v>17</v>
      </c>
      <c r="D607" t="s">
        <v>23</v>
      </c>
      <c r="E607" t="s">
        <v>24</v>
      </c>
      <c r="F607" t="s">
        <v>29</v>
      </c>
      <c r="G607" t="s">
        <v>30</v>
      </c>
      <c r="H607">
        <v>1</v>
      </c>
      <c r="I607">
        <v>1</v>
      </c>
      <c r="J607">
        <v>0</v>
      </c>
      <c r="K607">
        <v>0</v>
      </c>
      <c r="L607">
        <v>0</v>
      </c>
      <c r="M607">
        <v>0</v>
      </c>
      <c r="N607">
        <v>0</v>
      </c>
      <c r="P607">
        <v>61.3</v>
      </c>
      <c r="R607" t="str">
        <f t="shared" si="54"/>
        <v>Unique</v>
      </c>
      <c r="S607" t="str">
        <f t="shared" si="55"/>
        <v>Valid</v>
      </c>
      <c r="T607" t="str">
        <f t="shared" si="56"/>
        <v>Valid</v>
      </c>
      <c r="U607" t="str">
        <f t="shared" si="57"/>
        <v>Valid</v>
      </c>
      <c r="V607" t="str">
        <f t="shared" si="58"/>
        <v>Valid</v>
      </c>
      <c r="W607" t="str">
        <f t="shared" si="59"/>
        <v>Valid</v>
      </c>
    </row>
    <row r="608" spans="1:23">
      <c r="A608" t="s">
        <v>638</v>
      </c>
      <c r="B608" s="2">
        <v>45761</v>
      </c>
      <c r="C608" t="s">
        <v>17</v>
      </c>
      <c r="D608" t="s">
        <v>23</v>
      </c>
      <c r="E608" t="s">
        <v>24</v>
      </c>
      <c r="F608" t="s">
        <v>25</v>
      </c>
      <c r="G608" t="s">
        <v>26</v>
      </c>
      <c r="H608">
        <v>1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P608">
        <v>62.7</v>
      </c>
      <c r="R608" t="str">
        <f t="shared" si="54"/>
        <v>Unique</v>
      </c>
      <c r="S608" t="str">
        <f t="shared" si="55"/>
        <v>Valid</v>
      </c>
      <c r="T608" t="str">
        <f t="shared" si="56"/>
        <v>Valid</v>
      </c>
      <c r="U608" t="str">
        <f t="shared" si="57"/>
        <v>Valid</v>
      </c>
      <c r="V608" t="str">
        <f t="shared" si="58"/>
        <v>Valid</v>
      </c>
      <c r="W608" t="str">
        <f t="shared" si="59"/>
        <v>Valid</v>
      </c>
    </row>
    <row r="609" spans="1:23">
      <c r="A609" t="s">
        <v>639</v>
      </c>
      <c r="B609" s="2">
        <v>45765</v>
      </c>
      <c r="C609" t="s">
        <v>17</v>
      </c>
      <c r="D609" t="s">
        <v>32</v>
      </c>
      <c r="E609" t="s">
        <v>24</v>
      </c>
      <c r="F609" t="s">
        <v>29</v>
      </c>
      <c r="G609" t="s">
        <v>26</v>
      </c>
      <c r="H609">
        <v>1</v>
      </c>
      <c r="I609">
        <v>1</v>
      </c>
      <c r="J609">
        <v>0</v>
      </c>
      <c r="K609">
        <v>0</v>
      </c>
      <c r="L609">
        <v>0</v>
      </c>
      <c r="M609">
        <v>0</v>
      </c>
      <c r="N609">
        <v>0</v>
      </c>
      <c r="P609">
        <v>43.1</v>
      </c>
      <c r="R609" t="str">
        <f t="shared" si="54"/>
        <v>Unique</v>
      </c>
      <c r="S609" t="str">
        <f t="shared" si="55"/>
        <v>Valid</v>
      </c>
      <c r="T609" t="str">
        <f t="shared" si="56"/>
        <v>Valid</v>
      </c>
      <c r="U609" t="str">
        <f t="shared" si="57"/>
        <v>Valid</v>
      </c>
      <c r="V609" t="str">
        <f t="shared" si="58"/>
        <v>Valid</v>
      </c>
      <c r="W609" t="str">
        <f t="shared" si="59"/>
        <v>Valid</v>
      </c>
    </row>
    <row r="610" spans="1:23">
      <c r="A610" t="s">
        <v>640</v>
      </c>
      <c r="B610" s="2">
        <v>45712</v>
      </c>
      <c r="C610" t="s">
        <v>17</v>
      </c>
      <c r="D610" t="s">
        <v>32</v>
      </c>
      <c r="E610" t="s">
        <v>19</v>
      </c>
      <c r="F610" t="s">
        <v>20</v>
      </c>
      <c r="G610" t="s">
        <v>21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P610">
        <v>59.9</v>
      </c>
      <c r="R610" t="str">
        <f t="shared" si="54"/>
        <v>Unique</v>
      </c>
      <c r="S610" t="str">
        <f t="shared" si="55"/>
        <v>Valid</v>
      </c>
      <c r="T610" t="str">
        <f t="shared" si="56"/>
        <v>Valid</v>
      </c>
      <c r="U610" t="str">
        <f t="shared" si="57"/>
        <v>Valid</v>
      </c>
      <c r="V610" t="str">
        <f t="shared" si="58"/>
        <v>Valid</v>
      </c>
      <c r="W610" t="str">
        <f t="shared" si="59"/>
        <v>Valid</v>
      </c>
    </row>
    <row r="611" spans="1:23">
      <c r="A611" t="s">
        <v>641</v>
      </c>
      <c r="B611" s="2">
        <v>45766</v>
      </c>
      <c r="C611" t="s">
        <v>17</v>
      </c>
      <c r="D611" t="s">
        <v>18</v>
      </c>
      <c r="E611" t="s">
        <v>34</v>
      </c>
      <c r="F611" t="s">
        <v>29</v>
      </c>
      <c r="G611" t="s">
        <v>26</v>
      </c>
      <c r="H611">
        <v>1</v>
      </c>
      <c r="I611">
        <v>1</v>
      </c>
      <c r="J611">
        <v>1</v>
      </c>
      <c r="K611">
        <v>0</v>
      </c>
      <c r="L611">
        <v>0</v>
      </c>
      <c r="M611">
        <v>0</v>
      </c>
      <c r="N611">
        <v>0</v>
      </c>
      <c r="P611">
        <v>55.7</v>
      </c>
      <c r="R611" t="str">
        <f t="shared" si="54"/>
        <v>Unique</v>
      </c>
      <c r="S611" t="str">
        <f t="shared" si="55"/>
        <v>Valid</v>
      </c>
      <c r="T611" t="str">
        <f t="shared" si="56"/>
        <v>Valid</v>
      </c>
      <c r="U611" t="str">
        <f t="shared" si="57"/>
        <v>Valid</v>
      </c>
      <c r="V611" t="str">
        <f t="shared" si="58"/>
        <v>Valid</v>
      </c>
      <c r="W611" t="str">
        <f t="shared" si="59"/>
        <v>Valid</v>
      </c>
    </row>
    <row r="612" spans="1:23">
      <c r="A612" t="s">
        <v>642</v>
      </c>
      <c r="B612" s="2">
        <v>45723</v>
      </c>
      <c r="C612" t="s">
        <v>17</v>
      </c>
      <c r="D612" t="s">
        <v>32</v>
      </c>
      <c r="E612" t="s">
        <v>19</v>
      </c>
      <c r="F612" t="s">
        <v>25</v>
      </c>
      <c r="G612" t="s">
        <v>21</v>
      </c>
      <c r="H612">
        <v>1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P612">
        <v>37.1</v>
      </c>
      <c r="R612" t="str">
        <f t="shared" si="54"/>
        <v>Unique</v>
      </c>
      <c r="S612" t="str">
        <f t="shared" si="55"/>
        <v>Valid</v>
      </c>
      <c r="T612" t="str">
        <f t="shared" si="56"/>
        <v>Valid</v>
      </c>
      <c r="U612" t="str">
        <f t="shared" si="57"/>
        <v>Valid</v>
      </c>
      <c r="V612" t="str">
        <f t="shared" si="58"/>
        <v>Valid</v>
      </c>
      <c r="W612" t="str">
        <f t="shared" si="59"/>
        <v>Valid</v>
      </c>
    </row>
    <row r="613" spans="1:23">
      <c r="A613" t="s">
        <v>643</v>
      </c>
      <c r="B613" s="2">
        <v>45725</v>
      </c>
      <c r="C613" t="s">
        <v>17</v>
      </c>
      <c r="D613" t="s">
        <v>28</v>
      </c>
      <c r="E613" t="s">
        <v>24</v>
      </c>
      <c r="F613" t="s">
        <v>25</v>
      </c>
      <c r="G613" t="s">
        <v>21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0</v>
      </c>
      <c r="P613">
        <v>46.7</v>
      </c>
      <c r="R613" t="str">
        <f t="shared" si="54"/>
        <v>Unique</v>
      </c>
      <c r="S613" t="str">
        <f t="shared" si="55"/>
        <v>Valid</v>
      </c>
      <c r="T613" t="str">
        <f t="shared" si="56"/>
        <v>Valid</v>
      </c>
      <c r="U613" t="str">
        <f t="shared" si="57"/>
        <v>Valid</v>
      </c>
      <c r="V613" t="str">
        <f t="shared" si="58"/>
        <v>Valid</v>
      </c>
      <c r="W613" t="str">
        <f t="shared" si="59"/>
        <v>Valid</v>
      </c>
    </row>
    <row r="614" spans="1:23">
      <c r="A614" t="s">
        <v>644</v>
      </c>
      <c r="B614" s="2">
        <v>45778</v>
      </c>
      <c r="C614" t="s">
        <v>17</v>
      </c>
      <c r="D614" t="s">
        <v>32</v>
      </c>
      <c r="E614" t="s">
        <v>19</v>
      </c>
      <c r="F614" t="s">
        <v>25</v>
      </c>
      <c r="G614" t="s">
        <v>21</v>
      </c>
      <c r="H614">
        <v>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P614">
        <v>54.1</v>
      </c>
      <c r="R614" t="str">
        <f t="shared" si="54"/>
        <v>Unique</v>
      </c>
      <c r="S614" t="str">
        <f t="shared" si="55"/>
        <v>Valid</v>
      </c>
      <c r="T614" t="str">
        <f t="shared" si="56"/>
        <v>Valid</v>
      </c>
      <c r="U614" t="str">
        <f t="shared" si="57"/>
        <v>Valid</v>
      </c>
      <c r="V614" t="str">
        <f t="shared" si="58"/>
        <v>Valid</v>
      </c>
      <c r="W614" t="str">
        <f t="shared" si="59"/>
        <v>Valid</v>
      </c>
    </row>
    <row r="615" spans="1:23">
      <c r="A615" t="s">
        <v>645</v>
      </c>
      <c r="B615" s="2">
        <v>45697</v>
      </c>
      <c r="C615" t="s">
        <v>17</v>
      </c>
      <c r="D615" t="s">
        <v>23</v>
      </c>
      <c r="E615" t="s">
        <v>19</v>
      </c>
      <c r="F615" t="s">
        <v>25</v>
      </c>
      <c r="G615" t="s">
        <v>30</v>
      </c>
      <c r="H615">
        <v>1</v>
      </c>
      <c r="I615">
        <v>1</v>
      </c>
      <c r="J615">
        <v>1</v>
      </c>
      <c r="K615">
        <v>0</v>
      </c>
      <c r="L615">
        <v>0</v>
      </c>
      <c r="M615">
        <v>0</v>
      </c>
      <c r="N615">
        <v>0</v>
      </c>
      <c r="P615">
        <v>56.1</v>
      </c>
      <c r="R615" t="str">
        <f t="shared" si="54"/>
        <v>Unique</v>
      </c>
      <c r="S615" t="str">
        <f t="shared" si="55"/>
        <v>Valid</v>
      </c>
      <c r="T615" t="str">
        <f t="shared" si="56"/>
        <v>Valid</v>
      </c>
      <c r="U615" t="str">
        <f t="shared" si="57"/>
        <v>Valid</v>
      </c>
      <c r="V615" t="str">
        <f t="shared" si="58"/>
        <v>Valid</v>
      </c>
      <c r="W615" t="str">
        <f t="shared" si="59"/>
        <v>Valid</v>
      </c>
    </row>
    <row r="616" spans="1:23">
      <c r="A616" t="s">
        <v>646</v>
      </c>
      <c r="B616" s="2">
        <v>45799</v>
      </c>
      <c r="C616" t="s">
        <v>17</v>
      </c>
      <c r="D616" t="s">
        <v>23</v>
      </c>
      <c r="E616" t="s">
        <v>24</v>
      </c>
      <c r="F616" t="s">
        <v>39</v>
      </c>
      <c r="G616" t="s">
        <v>30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P616">
        <v>23.6</v>
      </c>
      <c r="R616" t="str">
        <f t="shared" si="54"/>
        <v>Unique</v>
      </c>
      <c r="S616" t="str">
        <f t="shared" si="55"/>
        <v>Valid</v>
      </c>
      <c r="T616" t="str">
        <f t="shared" si="56"/>
        <v>Valid</v>
      </c>
      <c r="U616" t="str">
        <f t="shared" si="57"/>
        <v>Valid</v>
      </c>
      <c r="V616" t="str">
        <f t="shared" si="58"/>
        <v>Valid</v>
      </c>
      <c r="W616" t="str">
        <f t="shared" si="59"/>
        <v>Valid</v>
      </c>
    </row>
    <row r="617" spans="1:23">
      <c r="A617" t="s">
        <v>647</v>
      </c>
      <c r="B617" s="2">
        <v>45699</v>
      </c>
      <c r="C617" t="s">
        <v>17</v>
      </c>
      <c r="D617" t="s">
        <v>18</v>
      </c>
      <c r="E617" t="s">
        <v>24</v>
      </c>
      <c r="F617" t="s">
        <v>25</v>
      </c>
      <c r="G617" t="s">
        <v>30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P617">
        <v>54.7</v>
      </c>
      <c r="R617" t="str">
        <f t="shared" si="54"/>
        <v>Unique</v>
      </c>
      <c r="S617" t="str">
        <f t="shared" si="55"/>
        <v>Valid</v>
      </c>
      <c r="T617" t="str">
        <f t="shared" si="56"/>
        <v>Valid</v>
      </c>
      <c r="U617" t="str">
        <f t="shared" si="57"/>
        <v>Valid</v>
      </c>
      <c r="V617" t="str">
        <f t="shared" si="58"/>
        <v>Valid</v>
      </c>
      <c r="W617" t="str">
        <f t="shared" si="59"/>
        <v>Valid</v>
      </c>
    </row>
    <row r="618" spans="1:23">
      <c r="A618" t="s">
        <v>648</v>
      </c>
      <c r="B618" s="2">
        <v>45759</v>
      </c>
      <c r="C618" t="s">
        <v>17</v>
      </c>
      <c r="D618" t="s">
        <v>18</v>
      </c>
      <c r="E618" t="s">
        <v>24</v>
      </c>
      <c r="F618" t="s">
        <v>39</v>
      </c>
      <c r="G618" t="s">
        <v>21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2</v>
      </c>
      <c r="N618">
        <v>0</v>
      </c>
      <c r="P618">
        <v>50.4</v>
      </c>
      <c r="R618" t="str">
        <f t="shared" si="54"/>
        <v>Unique</v>
      </c>
      <c r="S618" t="str">
        <f t="shared" si="55"/>
        <v>Valid</v>
      </c>
      <c r="T618" t="str">
        <f t="shared" si="56"/>
        <v>Valid</v>
      </c>
      <c r="U618" t="str">
        <f t="shared" si="57"/>
        <v>Valid</v>
      </c>
      <c r="V618" t="str">
        <f t="shared" si="58"/>
        <v>Valid</v>
      </c>
      <c r="W618" t="str">
        <f t="shared" si="59"/>
        <v>Valid</v>
      </c>
    </row>
    <row r="619" spans="1:23">
      <c r="A619" t="s">
        <v>649</v>
      </c>
      <c r="B619" s="2">
        <v>45717</v>
      </c>
      <c r="C619" t="s">
        <v>17</v>
      </c>
      <c r="D619" t="s">
        <v>23</v>
      </c>
      <c r="E619" t="s">
        <v>24</v>
      </c>
      <c r="F619" t="s">
        <v>41</v>
      </c>
      <c r="G619" t="s">
        <v>26</v>
      </c>
      <c r="H619">
        <v>1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P619">
        <v>54.5</v>
      </c>
      <c r="R619" t="str">
        <f t="shared" si="54"/>
        <v>Unique</v>
      </c>
      <c r="S619" t="str">
        <f t="shared" si="55"/>
        <v>Valid</v>
      </c>
      <c r="T619" t="str">
        <f t="shared" si="56"/>
        <v>Valid</v>
      </c>
      <c r="U619" t="str">
        <f t="shared" si="57"/>
        <v>Valid</v>
      </c>
      <c r="V619" t="str">
        <f t="shared" si="58"/>
        <v>Valid</v>
      </c>
      <c r="W619" t="str">
        <f t="shared" si="59"/>
        <v>Valid</v>
      </c>
    </row>
    <row r="620" spans="1:23">
      <c r="A620" t="s">
        <v>650</v>
      </c>
      <c r="B620" s="2">
        <v>45733</v>
      </c>
      <c r="C620" t="s">
        <v>17</v>
      </c>
      <c r="D620" t="s">
        <v>23</v>
      </c>
      <c r="E620" t="s">
        <v>19</v>
      </c>
      <c r="F620" t="s">
        <v>20</v>
      </c>
      <c r="G620" t="s">
        <v>21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P620">
        <v>58</v>
      </c>
      <c r="R620" t="str">
        <f t="shared" si="54"/>
        <v>Unique</v>
      </c>
      <c r="S620" t="str">
        <f t="shared" si="55"/>
        <v>Valid</v>
      </c>
      <c r="T620" t="str">
        <f t="shared" si="56"/>
        <v>Valid</v>
      </c>
      <c r="U620" t="str">
        <f t="shared" si="57"/>
        <v>Valid</v>
      </c>
      <c r="V620" t="str">
        <f t="shared" si="58"/>
        <v>Valid</v>
      </c>
      <c r="W620" t="str">
        <f t="shared" si="59"/>
        <v>Valid</v>
      </c>
    </row>
    <row r="621" spans="1:23">
      <c r="A621" t="s">
        <v>651</v>
      </c>
      <c r="B621" s="2">
        <v>45668</v>
      </c>
      <c r="C621" t="s">
        <v>17</v>
      </c>
      <c r="D621" t="s">
        <v>18</v>
      </c>
      <c r="E621" t="s">
        <v>24</v>
      </c>
      <c r="F621" t="s">
        <v>29</v>
      </c>
      <c r="G621" t="s">
        <v>26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P621">
        <v>42.9</v>
      </c>
      <c r="R621" t="str">
        <f t="shared" si="54"/>
        <v>Unique</v>
      </c>
      <c r="S621" t="str">
        <f t="shared" si="55"/>
        <v>Valid</v>
      </c>
      <c r="T621" t="str">
        <f t="shared" si="56"/>
        <v>Valid</v>
      </c>
      <c r="U621" t="str">
        <f t="shared" si="57"/>
        <v>Valid</v>
      </c>
      <c r="V621" t="str">
        <f t="shared" si="58"/>
        <v>Valid</v>
      </c>
      <c r="W621" t="str">
        <f t="shared" si="59"/>
        <v>Valid</v>
      </c>
    </row>
    <row r="622" spans="1:23">
      <c r="A622" t="s">
        <v>652</v>
      </c>
      <c r="B622" s="2">
        <v>45705</v>
      </c>
      <c r="C622" t="s">
        <v>17</v>
      </c>
      <c r="D622" t="s">
        <v>32</v>
      </c>
      <c r="E622" t="s">
        <v>24</v>
      </c>
      <c r="F622" t="s">
        <v>41</v>
      </c>
      <c r="G622" t="s">
        <v>30</v>
      </c>
      <c r="H622">
        <v>1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P622">
        <v>51.1</v>
      </c>
      <c r="R622" t="str">
        <f t="shared" si="54"/>
        <v>Unique</v>
      </c>
      <c r="S622" t="str">
        <f t="shared" si="55"/>
        <v>Valid</v>
      </c>
      <c r="T622" t="str">
        <f t="shared" si="56"/>
        <v>Valid</v>
      </c>
      <c r="U622" t="str">
        <f t="shared" si="57"/>
        <v>Valid</v>
      </c>
      <c r="V622" t="str">
        <f t="shared" si="58"/>
        <v>Valid</v>
      </c>
      <c r="W622" t="str">
        <f t="shared" si="59"/>
        <v>Valid</v>
      </c>
    </row>
    <row r="623" spans="1:23">
      <c r="A623" t="s">
        <v>653</v>
      </c>
      <c r="B623" s="2">
        <v>45741</v>
      </c>
      <c r="C623" t="s">
        <v>17</v>
      </c>
      <c r="D623" t="s">
        <v>28</v>
      </c>
      <c r="E623" t="s">
        <v>24</v>
      </c>
      <c r="F623" t="s">
        <v>29</v>
      </c>
      <c r="G623" t="s">
        <v>21</v>
      </c>
      <c r="H623">
        <v>1</v>
      </c>
      <c r="I623">
        <v>1</v>
      </c>
      <c r="J623">
        <v>0</v>
      </c>
      <c r="K623">
        <v>0</v>
      </c>
      <c r="L623">
        <v>0</v>
      </c>
      <c r="M623">
        <v>0</v>
      </c>
      <c r="N623">
        <v>0</v>
      </c>
      <c r="P623">
        <v>51.8</v>
      </c>
      <c r="R623" t="str">
        <f t="shared" si="54"/>
        <v>Unique</v>
      </c>
      <c r="S623" t="str">
        <f t="shared" si="55"/>
        <v>Valid</v>
      </c>
      <c r="T623" t="str">
        <f t="shared" si="56"/>
        <v>Valid</v>
      </c>
      <c r="U623" t="str">
        <f t="shared" si="57"/>
        <v>Valid</v>
      </c>
      <c r="V623" t="str">
        <f t="shared" si="58"/>
        <v>Valid</v>
      </c>
      <c r="W623" t="str">
        <f t="shared" si="59"/>
        <v>Valid</v>
      </c>
    </row>
    <row r="624" spans="1:23">
      <c r="A624" t="s">
        <v>654</v>
      </c>
      <c r="B624" s="2">
        <v>45778</v>
      </c>
      <c r="C624" t="s">
        <v>17</v>
      </c>
      <c r="D624" t="s">
        <v>32</v>
      </c>
      <c r="E624" t="s">
        <v>24</v>
      </c>
      <c r="F624" t="s">
        <v>29</v>
      </c>
      <c r="G624" t="s">
        <v>26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P624">
        <v>67.7</v>
      </c>
      <c r="R624" t="str">
        <f t="shared" si="54"/>
        <v>Unique</v>
      </c>
      <c r="S624" t="str">
        <f t="shared" si="55"/>
        <v>Valid</v>
      </c>
      <c r="T624" t="str">
        <f t="shared" si="56"/>
        <v>Valid</v>
      </c>
      <c r="U624" t="str">
        <f t="shared" si="57"/>
        <v>Valid</v>
      </c>
      <c r="V624" t="str">
        <f t="shared" si="58"/>
        <v>Valid</v>
      </c>
      <c r="W624" t="str">
        <f t="shared" si="59"/>
        <v>Valid</v>
      </c>
    </row>
    <row r="625" spans="1:23">
      <c r="A625" t="s">
        <v>655</v>
      </c>
      <c r="B625" s="2">
        <v>45749</v>
      </c>
      <c r="C625" t="s">
        <v>17</v>
      </c>
      <c r="D625" t="s">
        <v>28</v>
      </c>
      <c r="E625" t="s">
        <v>24</v>
      </c>
      <c r="F625" t="s">
        <v>25</v>
      </c>
      <c r="G625" t="s">
        <v>21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P625">
        <v>75.8</v>
      </c>
      <c r="R625" t="str">
        <f t="shared" si="54"/>
        <v>Unique</v>
      </c>
      <c r="S625" t="str">
        <f t="shared" si="55"/>
        <v>Valid</v>
      </c>
      <c r="T625" t="str">
        <f t="shared" si="56"/>
        <v>Valid</v>
      </c>
      <c r="U625" t="str">
        <f t="shared" si="57"/>
        <v>Valid</v>
      </c>
      <c r="V625" t="str">
        <f t="shared" si="58"/>
        <v>Valid</v>
      </c>
      <c r="W625" t="str">
        <f t="shared" si="59"/>
        <v>Valid</v>
      </c>
    </row>
    <row r="626" spans="1:23">
      <c r="A626" t="s">
        <v>656</v>
      </c>
      <c r="B626" s="2">
        <v>45752</v>
      </c>
      <c r="C626" t="s">
        <v>17</v>
      </c>
      <c r="D626" t="s">
        <v>28</v>
      </c>
      <c r="E626" t="s">
        <v>24</v>
      </c>
      <c r="F626" t="s">
        <v>20</v>
      </c>
      <c r="G626" t="s">
        <v>26</v>
      </c>
      <c r="H626">
        <v>1</v>
      </c>
      <c r="I626">
        <v>1</v>
      </c>
      <c r="J626">
        <v>0</v>
      </c>
      <c r="K626">
        <v>0</v>
      </c>
      <c r="L626">
        <v>0</v>
      </c>
      <c r="M626">
        <v>0</v>
      </c>
      <c r="N626">
        <v>0</v>
      </c>
      <c r="P626">
        <v>72.8</v>
      </c>
      <c r="R626" t="str">
        <f t="shared" si="54"/>
        <v>Unique</v>
      </c>
      <c r="S626" t="str">
        <f t="shared" si="55"/>
        <v>Valid</v>
      </c>
      <c r="T626" t="str">
        <f t="shared" si="56"/>
        <v>Valid</v>
      </c>
      <c r="U626" t="str">
        <f t="shared" si="57"/>
        <v>Valid</v>
      </c>
      <c r="V626" t="str">
        <f t="shared" si="58"/>
        <v>Valid</v>
      </c>
      <c r="W626" t="str">
        <f t="shared" si="59"/>
        <v>Valid</v>
      </c>
    </row>
    <row r="627" spans="1:23">
      <c r="A627" t="s">
        <v>657</v>
      </c>
      <c r="B627" s="2">
        <v>45712</v>
      </c>
      <c r="C627" t="s">
        <v>17</v>
      </c>
      <c r="D627" t="s">
        <v>18</v>
      </c>
      <c r="E627" t="s">
        <v>19</v>
      </c>
      <c r="F627" t="s">
        <v>41</v>
      </c>
      <c r="G627" t="s">
        <v>26</v>
      </c>
      <c r="H627">
        <v>1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P627">
        <v>54.4</v>
      </c>
      <c r="R627" t="str">
        <f t="shared" si="54"/>
        <v>Unique</v>
      </c>
      <c r="S627" t="str">
        <f t="shared" si="55"/>
        <v>Valid</v>
      </c>
      <c r="T627" t="str">
        <f t="shared" si="56"/>
        <v>Valid</v>
      </c>
      <c r="U627" t="str">
        <f t="shared" si="57"/>
        <v>Valid</v>
      </c>
      <c r="V627" t="str">
        <f t="shared" si="58"/>
        <v>Valid</v>
      </c>
      <c r="W627" t="str">
        <f t="shared" si="59"/>
        <v>Valid</v>
      </c>
    </row>
    <row r="628" spans="1:23">
      <c r="A628" t="s">
        <v>658</v>
      </c>
      <c r="B628" s="2">
        <v>45681</v>
      </c>
      <c r="C628" t="s">
        <v>17</v>
      </c>
      <c r="D628" t="s">
        <v>23</v>
      </c>
      <c r="E628" t="s">
        <v>24</v>
      </c>
      <c r="F628" t="s">
        <v>29</v>
      </c>
      <c r="G628" t="s">
        <v>21</v>
      </c>
      <c r="H628">
        <v>1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P628">
        <v>51.8</v>
      </c>
      <c r="R628" t="str">
        <f t="shared" si="54"/>
        <v>Unique</v>
      </c>
      <c r="S628" t="str">
        <f t="shared" si="55"/>
        <v>Valid</v>
      </c>
      <c r="T628" t="str">
        <f t="shared" si="56"/>
        <v>Valid</v>
      </c>
      <c r="U628" t="str">
        <f t="shared" si="57"/>
        <v>Valid</v>
      </c>
      <c r="V628" t="str">
        <f t="shared" si="58"/>
        <v>Valid</v>
      </c>
      <c r="W628" t="str">
        <f t="shared" si="59"/>
        <v>Valid</v>
      </c>
    </row>
    <row r="629" spans="1:23">
      <c r="A629" t="s">
        <v>659</v>
      </c>
      <c r="B629" s="2">
        <v>45757</v>
      </c>
      <c r="C629" t="s">
        <v>17</v>
      </c>
      <c r="D629" t="s">
        <v>32</v>
      </c>
      <c r="E629" t="s">
        <v>24</v>
      </c>
      <c r="F629" t="s">
        <v>29</v>
      </c>
      <c r="G629" t="s">
        <v>26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P629">
        <v>40.299999999999997</v>
      </c>
      <c r="R629" t="str">
        <f t="shared" si="54"/>
        <v>Unique</v>
      </c>
      <c r="S629" t="str">
        <f t="shared" si="55"/>
        <v>Valid</v>
      </c>
      <c r="T629" t="str">
        <f t="shared" si="56"/>
        <v>Valid</v>
      </c>
      <c r="U629" t="str">
        <f t="shared" si="57"/>
        <v>Valid</v>
      </c>
      <c r="V629" t="str">
        <f t="shared" si="58"/>
        <v>Valid</v>
      </c>
      <c r="W629" t="str">
        <f t="shared" si="59"/>
        <v>Valid</v>
      </c>
    </row>
    <row r="630" spans="1:23">
      <c r="A630" t="s">
        <v>660</v>
      </c>
      <c r="B630" s="2">
        <v>45707</v>
      </c>
      <c r="C630" t="s">
        <v>17</v>
      </c>
      <c r="D630" t="s">
        <v>32</v>
      </c>
      <c r="E630" t="s">
        <v>24</v>
      </c>
      <c r="F630" t="s">
        <v>39</v>
      </c>
      <c r="G630" t="s">
        <v>26</v>
      </c>
      <c r="H630">
        <v>1</v>
      </c>
      <c r="I630">
        <v>1</v>
      </c>
      <c r="J630">
        <v>1</v>
      </c>
      <c r="K630">
        <v>0</v>
      </c>
      <c r="L630">
        <v>0</v>
      </c>
      <c r="M630">
        <v>0</v>
      </c>
      <c r="N630">
        <v>0</v>
      </c>
      <c r="P630">
        <v>61.7</v>
      </c>
      <c r="R630" t="str">
        <f t="shared" si="54"/>
        <v>Unique</v>
      </c>
      <c r="S630" t="str">
        <f t="shared" si="55"/>
        <v>Valid</v>
      </c>
      <c r="T630" t="str">
        <f t="shared" si="56"/>
        <v>Valid</v>
      </c>
      <c r="U630" t="str">
        <f t="shared" si="57"/>
        <v>Valid</v>
      </c>
      <c r="V630" t="str">
        <f t="shared" si="58"/>
        <v>Valid</v>
      </c>
      <c r="W630" t="str">
        <f t="shared" si="59"/>
        <v>Valid</v>
      </c>
    </row>
    <row r="631" spans="1:23">
      <c r="A631" t="s">
        <v>661</v>
      </c>
      <c r="B631" s="2">
        <v>45738</v>
      </c>
      <c r="C631" t="s">
        <v>17</v>
      </c>
      <c r="D631" t="s">
        <v>18</v>
      </c>
      <c r="E631" t="s">
        <v>24</v>
      </c>
      <c r="F631" t="s">
        <v>41</v>
      </c>
      <c r="G631" t="s">
        <v>26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P631">
        <v>45</v>
      </c>
      <c r="R631" t="str">
        <f t="shared" si="54"/>
        <v>Unique</v>
      </c>
      <c r="S631" t="str">
        <f t="shared" si="55"/>
        <v>Valid</v>
      </c>
      <c r="T631" t="str">
        <f t="shared" si="56"/>
        <v>Valid</v>
      </c>
      <c r="U631" t="str">
        <f t="shared" si="57"/>
        <v>Valid</v>
      </c>
      <c r="V631" t="str">
        <f t="shared" si="58"/>
        <v>Valid</v>
      </c>
      <c r="W631" t="str">
        <f t="shared" si="59"/>
        <v>Valid</v>
      </c>
    </row>
    <row r="632" spans="1:23">
      <c r="A632" t="s">
        <v>662</v>
      </c>
      <c r="B632" s="2">
        <v>45755</v>
      </c>
      <c r="C632" t="s">
        <v>17</v>
      </c>
      <c r="D632" t="s">
        <v>28</v>
      </c>
      <c r="E632" t="s">
        <v>19</v>
      </c>
      <c r="F632" t="s">
        <v>25</v>
      </c>
      <c r="G632" t="s">
        <v>30</v>
      </c>
      <c r="H632">
        <v>1</v>
      </c>
      <c r="I632">
        <v>1</v>
      </c>
      <c r="J632">
        <v>1</v>
      </c>
      <c r="K632">
        <v>0</v>
      </c>
      <c r="L632">
        <v>0</v>
      </c>
      <c r="M632">
        <v>0</v>
      </c>
      <c r="N632">
        <v>0</v>
      </c>
      <c r="P632">
        <v>60</v>
      </c>
      <c r="R632" t="str">
        <f t="shared" si="54"/>
        <v>Unique</v>
      </c>
      <c r="S632" t="str">
        <f t="shared" si="55"/>
        <v>Valid</v>
      </c>
      <c r="T632" t="str">
        <f t="shared" si="56"/>
        <v>Valid</v>
      </c>
      <c r="U632" t="str">
        <f t="shared" si="57"/>
        <v>Valid</v>
      </c>
      <c r="V632" t="str">
        <f t="shared" si="58"/>
        <v>Valid</v>
      </c>
      <c r="W632" t="str">
        <f t="shared" si="59"/>
        <v>Valid</v>
      </c>
    </row>
    <row r="633" spans="1:23">
      <c r="A633" t="s">
        <v>663</v>
      </c>
      <c r="B633" s="2">
        <v>45732</v>
      </c>
      <c r="C633" t="s">
        <v>17</v>
      </c>
      <c r="D633" t="s">
        <v>18</v>
      </c>
      <c r="E633" t="s">
        <v>24</v>
      </c>
      <c r="F633" t="s">
        <v>41</v>
      </c>
      <c r="G633" t="s">
        <v>26</v>
      </c>
      <c r="H633">
        <v>1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P633">
        <v>60.02</v>
      </c>
      <c r="R633" t="str">
        <f t="shared" si="54"/>
        <v>Unique</v>
      </c>
      <c r="S633" t="str">
        <f t="shared" si="55"/>
        <v>Valid</v>
      </c>
      <c r="T633" t="str">
        <f t="shared" si="56"/>
        <v>Valid</v>
      </c>
      <c r="U633" t="str">
        <f t="shared" si="57"/>
        <v>Valid</v>
      </c>
      <c r="V633" t="str">
        <f t="shared" si="58"/>
        <v>Valid</v>
      </c>
      <c r="W633" t="str">
        <f t="shared" si="59"/>
        <v>Valid</v>
      </c>
    </row>
    <row r="634" spans="1:23">
      <c r="A634" t="s">
        <v>664</v>
      </c>
      <c r="B634" s="2">
        <v>45723</v>
      </c>
      <c r="C634" t="s">
        <v>17</v>
      </c>
      <c r="D634" t="s">
        <v>28</v>
      </c>
      <c r="E634" t="s">
        <v>24</v>
      </c>
      <c r="F634" t="s">
        <v>29</v>
      </c>
      <c r="G634" t="s">
        <v>26</v>
      </c>
      <c r="H634">
        <v>1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P634">
        <v>55.5</v>
      </c>
      <c r="R634" t="str">
        <f t="shared" si="54"/>
        <v>Unique</v>
      </c>
      <c r="S634" t="str">
        <f t="shared" si="55"/>
        <v>Valid</v>
      </c>
      <c r="T634" t="str">
        <f t="shared" si="56"/>
        <v>Valid</v>
      </c>
      <c r="U634" t="str">
        <f t="shared" si="57"/>
        <v>Valid</v>
      </c>
      <c r="V634" t="str">
        <f t="shared" si="58"/>
        <v>Valid</v>
      </c>
      <c r="W634" t="str">
        <f t="shared" si="59"/>
        <v>Valid</v>
      </c>
    </row>
    <row r="635" spans="1:23">
      <c r="A635" t="s">
        <v>665</v>
      </c>
      <c r="B635" s="2">
        <v>45732</v>
      </c>
      <c r="C635" t="s">
        <v>17</v>
      </c>
      <c r="D635" t="s">
        <v>32</v>
      </c>
      <c r="E635" t="s">
        <v>24</v>
      </c>
      <c r="F635" t="s">
        <v>39</v>
      </c>
      <c r="G635" t="s">
        <v>21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P635">
        <v>51.8</v>
      </c>
      <c r="R635" t="str">
        <f t="shared" si="54"/>
        <v>Unique</v>
      </c>
      <c r="S635" t="str">
        <f t="shared" si="55"/>
        <v>Valid</v>
      </c>
      <c r="T635" t="str">
        <f t="shared" si="56"/>
        <v>Valid</v>
      </c>
      <c r="U635" t="str">
        <f t="shared" si="57"/>
        <v>Valid</v>
      </c>
      <c r="V635" t="str">
        <f t="shared" si="58"/>
        <v>Valid</v>
      </c>
      <c r="W635" t="str">
        <f t="shared" si="59"/>
        <v>Valid</v>
      </c>
    </row>
    <row r="636" spans="1:23">
      <c r="A636" t="s">
        <v>666</v>
      </c>
      <c r="B636" s="2">
        <v>45803</v>
      </c>
      <c r="C636" t="s">
        <v>17</v>
      </c>
      <c r="D636" t="s">
        <v>28</v>
      </c>
      <c r="E636" t="s">
        <v>24</v>
      </c>
      <c r="F636" t="s">
        <v>1451</v>
      </c>
      <c r="G636" t="s">
        <v>30</v>
      </c>
      <c r="H636">
        <v>1</v>
      </c>
      <c r="I636">
        <v>0</v>
      </c>
      <c r="J636">
        <v>0</v>
      </c>
      <c r="K636">
        <v>0</v>
      </c>
      <c r="L636">
        <v>0</v>
      </c>
      <c r="M636">
        <v>3</v>
      </c>
      <c r="N636">
        <v>0</v>
      </c>
      <c r="P636">
        <v>56</v>
      </c>
      <c r="R636" t="str">
        <f t="shared" si="54"/>
        <v>Unique</v>
      </c>
      <c r="S636" t="str">
        <f t="shared" si="55"/>
        <v>Valid</v>
      </c>
      <c r="T636" t="str">
        <f t="shared" si="56"/>
        <v>Valid</v>
      </c>
      <c r="U636" t="str">
        <f t="shared" si="57"/>
        <v>Valid</v>
      </c>
      <c r="V636" t="str">
        <f t="shared" si="58"/>
        <v>Valid</v>
      </c>
      <c r="W636" t="str">
        <f t="shared" si="59"/>
        <v>Valid</v>
      </c>
    </row>
    <row r="637" spans="1:23">
      <c r="A637" t="s">
        <v>667</v>
      </c>
      <c r="B637" s="2">
        <v>45671</v>
      </c>
      <c r="C637" t="s">
        <v>17</v>
      </c>
      <c r="D637" t="s">
        <v>23</v>
      </c>
      <c r="E637" t="s">
        <v>24</v>
      </c>
      <c r="F637" t="s">
        <v>25</v>
      </c>
      <c r="G637" t="s">
        <v>26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P637">
        <v>52.5</v>
      </c>
      <c r="R637" t="str">
        <f t="shared" si="54"/>
        <v>Unique</v>
      </c>
      <c r="S637" t="str">
        <f t="shared" si="55"/>
        <v>Valid</v>
      </c>
      <c r="T637" t="str">
        <f t="shared" si="56"/>
        <v>Valid</v>
      </c>
      <c r="U637" t="str">
        <f t="shared" si="57"/>
        <v>Valid</v>
      </c>
      <c r="V637" t="str">
        <f t="shared" si="58"/>
        <v>Valid</v>
      </c>
      <c r="W637" t="str">
        <f t="shared" si="59"/>
        <v>Valid</v>
      </c>
    </row>
    <row r="638" spans="1:23">
      <c r="A638" t="s">
        <v>668</v>
      </c>
      <c r="B638" s="2">
        <v>45746</v>
      </c>
      <c r="C638" t="s">
        <v>17</v>
      </c>
      <c r="D638" t="s">
        <v>23</v>
      </c>
      <c r="E638" t="s">
        <v>24</v>
      </c>
      <c r="F638" t="s">
        <v>29</v>
      </c>
      <c r="G638" t="s">
        <v>30</v>
      </c>
      <c r="H638">
        <v>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P638">
        <v>42.5</v>
      </c>
      <c r="R638" t="str">
        <f t="shared" si="54"/>
        <v>Unique</v>
      </c>
      <c r="S638" t="str">
        <f t="shared" si="55"/>
        <v>Valid</v>
      </c>
      <c r="T638" t="str">
        <f t="shared" si="56"/>
        <v>Valid</v>
      </c>
      <c r="U638" t="str">
        <f t="shared" si="57"/>
        <v>Valid</v>
      </c>
      <c r="V638" t="str">
        <f t="shared" si="58"/>
        <v>Valid</v>
      </c>
      <c r="W638" t="str">
        <f t="shared" si="59"/>
        <v>Valid</v>
      </c>
    </row>
    <row r="639" spans="1:23">
      <c r="A639" t="s">
        <v>669</v>
      </c>
      <c r="B639" s="2">
        <v>45789</v>
      </c>
      <c r="C639" t="s">
        <v>17</v>
      </c>
      <c r="D639" t="s">
        <v>28</v>
      </c>
      <c r="E639" t="s">
        <v>19</v>
      </c>
      <c r="F639" t="s">
        <v>20</v>
      </c>
      <c r="G639" t="s">
        <v>26</v>
      </c>
      <c r="H639">
        <v>1</v>
      </c>
      <c r="I639">
        <v>1</v>
      </c>
      <c r="J639">
        <v>1</v>
      </c>
      <c r="K639">
        <v>0</v>
      </c>
      <c r="L639">
        <v>0</v>
      </c>
      <c r="M639">
        <v>0</v>
      </c>
      <c r="N639">
        <v>0</v>
      </c>
      <c r="P639">
        <v>65.3</v>
      </c>
      <c r="R639" t="str">
        <f t="shared" si="54"/>
        <v>Unique</v>
      </c>
      <c r="S639" t="str">
        <f t="shared" si="55"/>
        <v>Valid</v>
      </c>
      <c r="T639" t="str">
        <f t="shared" si="56"/>
        <v>Valid</v>
      </c>
      <c r="U639" t="str">
        <f t="shared" si="57"/>
        <v>Valid</v>
      </c>
      <c r="V639" t="str">
        <f t="shared" si="58"/>
        <v>Valid</v>
      </c>
      <c r="W639" t="str">
        <f t="shared" si="59"/>
        <v>Valid</v>
      </c>
    </row>
    <row r="640" spans="1:23">
      <c r="A640" t="s">
        <v>670</v>
      </c>
      <c r="B640" s="2">
        <v>45787</v>
      </c>
      <c r="C640" t="s">
        <v>17</v>
      </c>
      <c r="D640" t="s">
        <v>23</v>
      </c>
      <c r="E640" t="s">
        <v>24</v>
      </c>
      <c r="F640" t="s">
        <v>29</v>
      </c>
      <c r="G640" t="s">
        <v>26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P640">
        <v>37.6</v>
      </c>
      <c r="R640" t="str">
        <f t="shared" si="54"/>
        <v>Unique</v>
      </c>
      <c r="S640" t="str">
        <f t="shared" si="55"/>
        <v>Valid</v>
      </c>
      <c r="T640" t="str">
        <f t="shared" si="56"/>
        <v>Valid</v>
      </c>
      <c r="U640" t="str">
        <f t="shared" si="57"/>
        <v>Valid</v>
      </c>
      <c r="V640" t="str">
        <f t="shared" si="58"/>
        <v>Valid</v>
      </c>
      <c r="W640" t="str">
        <f t="shared" si="59"/>
        <v>Valid</v>
      </c>
    </row>
    <row r="641" spans="1:23">
      <c r="A641" t="s">
        <v>671</v>
      </c>
      <c r="B641" s="2">
        <v>45756</v>
      </c>
      <c r="C641" t="s">
        <v>17</v>
      </c>
      <c r="D641" t="s">
        <v>28</v>
      </c>
      <c r="E641" t="s">
        <v>24</v>
      </c>
      <c r="F641" t="s">
        <v>41</v>
      </c>
      <c r="G641" t="s">
        <v>21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P641">
        <v>57.8</v>
      </c>
      <c r="R641" t="str">
        <f t="shared" si="54"/>
        <v>Unique</v>
      </c>
      <c r="S641" t="str">
        <f t="shared" si="55"/>
        <v>Valid</v>
      </c>
      <c r="T641" t="str">
        <f t="shared" si="56"/>
        <v>Valid</v>
      </c>
      <c r="U641" t="str">
        <f t="shared" si="57"/>
        <v>Valid</v>
      </c>
      <c r="V641" t="str">
        <f t="shared" si="58"/>
        <v>Valid</v>
      </c>
      <c r="W641" t="str">
        <f t="shared" si="59"/>
        <v>Valid</v>
      </c>
    </row>
    <row r="642" spans="1:23">
      <c r="A642" t="s">
        <v>672</v>
      </c>
      <c r="B642" s="2">
        <v>45803</v>
      </c>
      <c r="C642" t="s">
        <v>17</v>
      </c>
      <c r="D642" t="s">
        <v>18</v>
      </c>
      <c r="E642" t="s">
        <v>24</v>
      </c>
      <c r="F642" t="s">
        <v>41</v>
      </c>
      <c r="G642" t="s">
        <v>26</v>
      </c>
      <c r="H642">
        <v>1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P642">
        <v>52.7</v>
      </c>
      <c r="R642" t="str">
        <f t="shared" si="54"/>
        <v>Unique</v>
      </c>
      <c r="S642" t="str">
        <f t="shared" si="55"/>
        <v>Valid</v>
      </c>
      <c r="T642" t="str">
        <f t="shared" si="56"/>
        <v>Valid</v>
      </c>
      <c r="U642" t="str">
        <f t="shared" si="57"/>
        <v>Valid</v>
      </c>
      <c r="V642" t="str">
        <f t="shared" si="58"/>
        <v>Valid</v>
      </c>
      <c r="W642" t="str">
        <f t="shared" si="59"/>
        <v>Valid</v>
      </c>
    </row>
    <row r="643" spans="1:23">
      <c r="A643" t="s">
        <v>673</v>
      </c>
      <c r="B643" s="2">
        <v>45700</v>
      </c>
      <c r="C643" t="s">
        <v>17</v>
      </c>
      <c r="D643" t="s">
        <v>18</v>
      </c>
      <c r="E643" t="s">
        <v>24</v>
      </c>
      <c r="F643" t="s">
        <v>25</v>
      </c>
      <c r="G643" t="s">
        <v>26</v>
      </c>
      <c r="H643">
        <v>1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P643">
        <v>51.7</v>
      </c>
      <c r="R643" t="str">
        <f t="shared" ref="R643:R706" si="60">IF(COUNTIF($A:$A,A643)&gt;1,"Duplicate","Unique")</f>
        <v>Unique</v>
      </c>
      <c r="S643" t="str">
        <f t="shared" ref="S643:S706" si="61">IF(OR(H643=0,H643=1),"Valid","Invalid")</f>
        <v>Valid</v>
      </c>
      <c r="T643" t="str">
        <f t="shared" ref="T643:T706" si="62">IF(OR(I643=0,I643=1),"Valid","Invalid")</f>
        <v>Valid</v>
      </c>
      <c r="U643" t="str">
        <f t="shared" ref="U643:U706" si="63">IF(OR(J643=0,J643=1),"Valid","Invalid")</f>
        <v>Valid</v>
      </c>
      <c r="V643" t="str">
        <f t="shared" ref="V643:V706" si="64">IF(OR(K643=0,K643=1),"Valid","Invalid")</f>
        <v>Valid</v>
      </c>
      <c r="W643" t="str">
        <f t="shared" ref="W643:W706" si="65">IF(OR(N643=0,N643=1),"Valid","Invalid")</f>
        <v>Valid</v>
      </c>
    </row>
    <row r="644" spans="1:23">
      <c r="A644" t="s">
        <v>674</v>
      </c>
      <c r="B644" s="2">
        <v>45748</v>
      </c>
      <c r="C644" t="s">
        <v>17</v>
      </c>
      <c r="D644" t="s">
        <v>18</v>
      </c>
      <c r="E644" t="s">
        <v>19</v>
      </c>
      <c r="F644" t="s">
        <v>20</v>
      </c>
      <c r="G644" t="s">
        <v>21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P644">
        <v>57</v>
      </c>
      <c r="R644" t="str">
        <f t="shared" si="60"/>
        <v>Unique</v>
      </c>
      <c r="S644" t="str">
        <f t="shared" si="61"/>
        <v>Valid</v>
      </c>
      <c r="T644" t="str">
        <f t="shared" si="62"/>
        <v>Valid</v>
      </c>
      <c r="U644" t="str">
        <f t="shared" si="63"/>
        <v>Valid</v>
      </c>
      <c r="V644" t="str">
        <f t="shared" si="64"/>
        <v>Valid</v>
      </c>
      <c r="W644" t="str">
        <f t="shared" si="65"/>
        <v>Valid</v>
      </c>
    </row>
    <row r="645" spans="1:23">
      <c r="A645" t="s">
        <v>675</v>
      </c>
      <c r="B645" s="2">
        <v>45675</v>
      </c>
      <c r="C645" t="s">
        <v>17</v>
      </c>
      <c r="D645" t="s">
        <v>32</v>
      </c>
      <c r="E645" t="s">
        <v>19</v>
      </c>
      <c r="F645" t="s">
        <v>25</v>
      </c>
      <c r="G645" t="s">
        <v>21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P645">
        <v>39.5</v>
      </c>
      <c r="R645" t="str">
        <f t="shared" si="60"/>
        <v>Unique</v>
      </c>
      <c r="S645" t="str">
        <f t="shared" si="61"/>
        <v>Valid</v>
      </c>
      <c r="T645" t="str">
        <f t="shared" si="62"/>
        <v>Valid</v>
      </c>
      <c r="U645" t="str">
        <f t="shared" si="63"/>
        <v>Valid</v>
      </c>
      <c r="V645" t="str">
        <f t="shared" si="64"/>
        <v>Valid</v>
      </c>
      <c r="W645" t="str">
        <f t="shared" si="65"/>
        <v>Valid</v>
      </c>
    </row>
    <row r="646" spans="1:23">
      <c r="A646" t="s">
        <v>676</v>
      </c>
      <c r="B646" s="2">
        <v>45753</v>
      </c>
      <c r="C646" t="s">
        <v>17</v>
      </c>
      <c r="D646" t="s">
        <v>28</v>
      </c>
      <c r="E646" t="s">
        <v>34</v>
      </c>
      <c r="F646" t="s">
        <v>25</v>
      </c>
      <c r="G646" t="s">
        <v>26</v>
      </c>
      <c r="H646">
        <v>1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P646">
        <v>76.5</v>
      </c>
      <c r="R646" t="str">
        <f t="shared" si="60"/>
        <v>Unique</v>
      </c>
      <c r="S646" t="str">
        <f t="shared" si="61"/>
        <v>Valid</v>
      </c>
      <c r="T646" t="str">
        <f t="shared" si="62"/>
        <v>Valid</v>
      </c>
      <c r="U646" t="str">
        <f t="shared" si="63"/>
        <v>Valid</v>
      </c>
      <c r="V646" t="str">
        <f t="shared" si="64"/>
        <v>Valid</v>
      </c>
      <c r="W646" t="str">
        <f t="shared" si="65"/>
        <v>Valid</v>
      </c>
    </row>
    <row r="647" spans="1:23">
      <c r="A647" t="s">
        <v>677</v>
      </c>
      <c r="B647" s="2">
        <v>45764</v>
      </c>
      <c r="C647" t="s">
        <v>17</v>
      </c>
      <c r="D647" t="s">
        <v>28</v>
      </c>
      <c r="E647" t="s">
        <v>24</v>
      </c>
      <c r="F647" t="s">
        <v>25</v>
      </c>
      <c r="G647" t="s">
        <v>26</v>
      </c>
      <c r="H647">
        <v>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P647">
        <v>32.4</v>
      </c>
      <c r="R647" t="str">
        <f t="shared" si="60"/>
        <v>Unique</v>
      </c>
      <c r="S647" t="str">
        <f t="shared" si="61"/>
        <v>Valid</v>
      </c>
      <c r="T647" t="str">
        <f t="shared" si="62"/>
        <v>Valid</v>
      </c>
      <c r="U647" t="str">
        <f t="shared" si="63"/>
        <v>Valid</v>
      </c>
      <c r="V647" t="str">
        <f t="shared" si="64"/>
        <v>Valid</v>
      </c>
      <c r="W647" t="str">
        <f t="shared" si="65"/>
        <v>Valid</v>
      </c>
    </row>
    <row r="648" spans="1:23">
      <c r="A648" t="s">
        <v>678</v>
      </c>
      <c r="B648" s="2">
        <v>45695</v>
      </c>
      <c r="C648" t="s">
        <v>17</v>
      </c>
      <c r="D648" t="s">
        <v>18</v>
      </c>
      <c r="E648" t="s">
        <v>19</v>
      </c>
      <c r="F648" t="s">
        <v>29</v>
      </c>
      <c r="G648" t="s">
        <v>26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P648">
        <v>58.6</v>
      </c>
      <c r="R648" t="str">
        <f t="shared" si="60"/>
        <v>Unique</v>
      </c>
      <c r="S648" t="str">
        <f t="shared" si="61"/>
        <v>Valid</v>
      </c>
      <c r="T648" t="str">
        <f t="shared" si="62"/>
        <v>Valid</v>
      </c>
      <c r="U648" t="str">
        <f t="shared" si="63"/>
        <v>Valid</v>
      </c>
      <c r="V648" t="str">
        <f t="shared" si="64"/>
        <v>Valid</v>
      </c>
      <c r="W648" t="str">
        <f t="shared" si="65"/>
        <v>Valid</v>
      </c>
    </row>
    <row r="649" spans="1:23">
      <c r="A649" t="s">
        <v>679</v>
      </c>
      <c r="B649" s="2">
        <v>45720</v>
      </c>
      <c r="C649" t="s">
        <v>17</v>
      </c>
      <c r="D649" t="s">
        <v>28</v>
      </c>
      <c r="E649" t="s">
        <v>24</v>
      </c>
      <c r="F649" t="s">
        <v>25</v>
      </c>
      <c r="G649" t="s">
        <v>21</v>
      </c>
      <c r="H649">
        <v>1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P649">
        <v>78.599999999999994</v>
      </c>
      <c r="R649" t="str">
        <f t="shared" si="60"/>
        <v>Unique</v>
      </c>
      <c r="S649" t="str">
        <f t="shared" si="61"/>
        <v>Valid</v>
      </c>
      <c r="T649" t="str">
        <f t="shared" si="62"/>
        <v>Valid</v>
      </c>
      <c r="U649" t="str">
        <f t="shared" si="63"/>
        <v>Valid</v>
      </c>
      <c r="V649" t="str">
        <f t="shared" si="64"/>
        <v>Valid</v>
      </c>
      <c r="W649" t="str">
        <f t="shared" si="65"/>
        <v>Valid</v>
      </c>
    </row>
    <row r="650" spans="1:23">
      <c r="A650" t="s">
        <v>680</v>
      </c>
      <c r="B650" s="2">
        <v>45705</v>
      </c>
      <c r="C650" t="s">
        <v>17</v>
      </c>
      <c r="D650" t="s">
        <v>18</v>
      </c>
      <c r="E650" t="s">
        <v>19</v>
      </c>
      <c r="F650" t="s">
        <v>25</v>
      </c>
      <c r="G650" t="s">
        <v>30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P650">
        <v>54.5</v>
      </c>
      <c r="R650" t="str">
        <f t="shared" si="60"/>
        <v>Unique</v>
      </c>
      <c r="S650" t="str">
        <f t="shared" si="61"/>
        <v>Valid</v>
      </c>
      <c r="T650" t="str">
        <f t="shared" si="62"/>
        <v>Valid</v>
      </c>
      <c r="U650" t="str">
        <f t="shared" si="63"/>
        <v>Valid</v>
      </c>
      <c r="V650" t="str">
        <f t="shared" si="64"/>
        <v>Valid</v>
      </c>
      <c r="W650" t="str">
        <f t="shared" si="65"/>
        <v>Valid</v>
      </c>
    </row>
    <row r="651" spans="1:23">
      <c r="A651" t="s">
        <v>681</v>
      </c>
      <c r="B651" s="2">
        <v>45783</v>
      </c>
      <c r="C651" t="s">
        <v>17</v>
      </c>
      <c r="D651" t="s">
        <v>32</v>
      </c>
      <c r="E651" t="s">
        <v>24</v>
      </c>
      <c r="F651" t="s">
        <v>39</v>
      </c>
      <c r="G651" t="s">
        <v>26</v>
      </c>
      <c r="H651">
        <v>1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P651">
        <v>57.6</v>
      </c>
      <c r="R651" t="str">
        <f t="shared" si="60"/>
        <v>Unique</v>
      </c>
      <c r="S651" t="str">
        <f t="shared" si="61"/>
        <v>Valid</v>
      </c>
      <c r="T651" t="str">
        <f t="shared" si="62"/>
        <v>Valid</v>
      </c>
      <c r="U651" t="str">
        <f t="shared" si="63"/>
        <v>Valid</v>
      </c>
      <c r="V651" t="str">
        <f t="shared" si="64"/>
        <v>Valid</v>
      </c>
      <c r="W651" t="str">
        <f t="shared" si="65"/>
        <v>Valid</v>
      </c>
    </row>
    <row r="652" spans="1:23">
      <c r="A652" t="s">
        <v>682</v>
      </c>
      <c r="B652" s="2">
        <v>45741</v>
      </c>
      <c r="C652" t="s">
        <v>17</v>
      </c>
      <c r="D652" t="s">
        <v>32</v>
      </c>
      <c r="E652" t="s">
        <v>24</v>
      </c>
      <c r="F652" t="s">
        <v>39</v>
      </c>
      <c r="G652" t="s">
        <v>30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P652">
        <v>52.8</v>
      </c>
      <c r="R652" t="str">
        <f t="shared" si="60"/>
        <v>Unique</v>
      </c>
      <c r="S652" t="str">
        <f t="shared" si="61"/>
        <v>Valid</v>
      </c>
      <c r="T652" t="str">
        <f t="shared" si="62"/>
        <v>Valid</v>
      </c>
      <c r="U652" t="str">
        <f t="shared" si="63"/>
        <v>Valid</v>
      </c>
      <c r="V652" t="str">
        <f t="shared" si="64"/>
        <v>Valid</v>
      </c>
      <c r="W652" t="str">
        <f t="shared" si="65"/>
        <v>Valid</v>
      </c>
    </row>
    <row r="653" spans="1:23">
      <c r="A653" t="s">
        <v>683</v>
      </c>
      <c r="B653" s="2">
        <v>45720</v>
      </c>
      <c r="C653" t="s">
        <v>17</v>
      </c>
      <c r="D653" t="s">
        <v>23</v>
      </c>
      <c r="E653" t="s">
        <v>24</v>
      </c>
      <c r="F653" t="s">
        <v>20</v>
      </c>
      <c r="G653" t="s">
        <v>30</v>
      </c>
      <c r="H653">
        <v>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P653">
        <v>52.9</v>
      </c>
      <c r="R653" t="str">
        <f t="shared" si="60"/>
        <v>Unique</v>
      </c>
      <c r="S653" t="str">
        <f t="shared" si="61"/>
        <v>Valid</v>
      </c>
      <c r="T653" t="str">
        <f t="shared" si="62"/>
        <v>Valid</v>
      </c>
      <c r="U653" t="str">
        <f t="shared" si="63"/>
        <v>Valid</v>
      </c>
      <c r="V653" t="str">
        <f t="shared" si="64"/>
        <v>Valid</v>
      </c>
      <c r="W653" t="str">
        <f t="shared" si="65"/>
        <v>Valid</v>
      </c>
    </row>
    <row r="654" spans="1:23">
      <c r="A654" t="s">
        <v>684</v>
      </c>
      <c r="B654" s="2">
        <v>45786</v>
      </c>
      <c r="C654" t="s">
        <v>17</v>
      </c>
      <c r="D654" t="s">
        <v>23</v>
      </c>
      <c r="E654" t="s">
        <v>24</v>
      </c>
      <c r="F654" t="s">
        <v>25</v>
      </c>
      <c r="G654" t="s">
        <v>26</v>
      </c>
      <c r="H654">
        <v>1</v>
      </c>
      <c r="I654">
        <v>0</v>
      </c>
      <c r="J654">
        <v>0</v>
      </c>
      <c r="K654">
        <v>0</v>
      </c>
      <c r="L654">
        <v>0</v>
      </c>
      <c r="M654">
        <v>1</v>
      </c>
      <c r="N654">
        <v>0</v>
      </c>
      <c r="P654">
        <v>55.9</v>
      </c>
      <c r="R654" t="str">
        <f t="shared" si="60"/>
        <v>Unique</v>
      </c>
      <c r="S654" t="str">
        <f t="shared" si="61"/>
        <v>Valid</v>
      </c>
      <c r="T654" t="str">
        <f t="shared" si="62"/>
        <v>Valid</v>
      </c>
      <c r="U654" t="str">
        <f t="shared" si="63"/>
        <v>Valid</v>
      </c>
      <c r="V654" t="str">
        <f t="shared" si="64"/>
        <v>Valid</v>
      </c>
      <c r="W654" t="str">
        <f t="shared" si="65"/>
        <v>Valid</v>
      </c>
    </row>
    <row r="655" spans="1:23">
      <c r="A655" t="s">
        <v>685</v>
      </c>
      <c r="B655" s="2">
        <v>45794</v>
      </c>
      <c r="C655" t="s">
        <v>17</v>
      </c>
      <c r="D655" t="s">
        <v>23</v>
      </c>
      <c r="E655" t="s">
        <v>24</v>
      </c>
      <c r="F655" t="s">
        <v>39</v>
      </c>
      <c r="G655" t="s">
        <v>30</v>
      </c>
      <c r="H655">
        <v>1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P655">
        <v>74.2</v>
      </c>
      <c r="R655" t="str">
        <f t="shared" si="60"/>
        <v>Unique</v>
      </c>
      <c r="S655" t="str">
        <f t="shared" si="61"/>
        <v>Valid</v>
      </c>
      <c r="T655" t="str">
        <f t="shared" si="62"/>
        <v>Valid</v>
      </c>
      <c r="U655" t="str">
        <f t="shared" si="63"/>
        <v>Valid</v>
      </c>
      <c r="V655" t="str">
        <f t="shared" si="64"/>
        <v>Valid</v>
      </c>
      <c r="W655" t="str">
        <f t="shared" si="65"/>
        <v>Valid</v>
      </c>
    </row>
    <row r="656" spans="1:23">
      <c r="A656" t="s">
        <v>686</v>
      </c>
      <c r="B656" s="2">
        <v>45669</v>
      </c>
      <c r="C656" t="s">
        <v>17</v>
      </c>
      <c r="D656" t="s">
        <v>23</v>
      </c>
      <c r="E656" t="s">
        <v>24</v>
      </c>
      <c r="F656" t="s">
        <v>25</v>
      </c>
      <c r="G656" t="s">
        <v>26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P656">
        <v>46.3</v>
      </c>
      <c r="R656" t="str">
        <f t="shared" si="60"/>
        <v>Unique</v>
      </c>
      <c r="S656" t="str">
        <f t="shared" si="61"/>
        <v>Valid</v>
      </c>
      <c r="T656" t="str">
        <f t="shared" si="62"/>
        <v>Valid</v>
      </c>
      <c r="U656" t="str">
        <f t="shared" si="63"/>
        <v>Valid</v>
      </c>
      <c r="V656" t="str">
        <f t="shared" si="64"/>
        <v>Valid</v>
      </c>
      <c r="W656" t="str">
        <f t="shared" si="65"/>
        <v>Valid</v>
      </c>
    </row>
    <row r="657" spans="1:23">
      <c r="A657" t="s">
        <v>687</v>
      </c>
      <c r="B657" s="2">
        <v>45728</v>
      </c>
      <c r="C657" t="s">
        <v>17</v>
      </c>
      <c r="D657" t="s">
        <v>23</v>
      </c>
      <c r="E657" t="s">
        <v>24</v>
      </c>
      <c r="F657" t="s">
        <v>25</v>
      </c>
      <c r="G657" t="s">
        <v>30</v>
      </c>
      <c r="H657">
        <v>1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P657">
        <v>62</v>
      </c>
      <c r="R657" t="str">
        <f t="shared" si="60"/>
        <v>Unique</v>
      </c>
      <c r="S657" t="str">
        <f t="shared" si="61"/>
        <v>Valid</v>
      </c>
      <c r="T657" t="str">
        <f t="shared" si="62"/>
        <v>Valid</v>
      </c>
      <c r="U657" t="str">
        <f t="shared" si="63"/>
        <v>Valid</v>
      </c>
      <c r="V657" t="str">
        <f t="shared" si="64"/>
        <v>Valid</v>
      </c>
      <c r="W657" t="str">
        <f t="shared" si="65"/>
        <v>Valid</v>
      </c>
    </row>
    <row r="658" spans="1:23">
      <c r="A658" t="s">
        <v>688</v>
      </c>
      <c r="B658" s="2">
        <v>45749</v>
      </c>
      <c r="C658" t="s">
        <v>17</v>
      </c>
      <c r="D658" t="s">
        <v>32</v>
      </c>
      <c r="E658" t="s">
        <v>24</v>
      </c>
      <c r="F658" t="s">
        <v>25</v>
      </c>
      <c r="G658" t="s">
        <v>21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P658">
        <v>55.6</v>
      </c>
      <c r="R658" t="str">
        <f t="shared" si="60"/>
        <v>Unique</v>
      </c>
      <c r="S658" t="str">
        <f t="shared" si="61"/>
        <v>Valid</v>
      </c>
      <c r="T658" t="str">
        <f t="shared" si="62"/>
        <v>Valid</v>
      </c>
      <c r="U658" t="str">
        <f t="shared" si="63"/>
        <v>Valid</v>
      </c>
      <c r="V658" t="str">
        <f t="shared" si="64"/>
        <v>Valid</v>
      </c>
      <c r="W658" t="str">
        <f t="shared" si="65"/>
        <v>Valid</v>
      </c>
    </row>
    <row r="659" spans="1:23">
      <c r="A659" t="s">
        <v>689</v>
      </c>
      <c r="B659" s="2">
        <v>45670</v>
      </c>
      <c r="C659" t="s">
        <v>17</v>
      </c>
      <c r="D659" t="s">
        <v>32</v>
      </c>
      <c r="E659" t="s">
        <v>24</v>
      </c>
      <c r="F659" t="s">
        <v>25</v>
      </c>
      <c r="G659" t="s">
        <v>21</v>
      </c>
      <c r="H659">
        <v>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P659">
        <v>62.8</v>
      </c>
      <c r="R659" t="str">
        <f t="shared" si="60"/>
        <v>Unique</v>
      </c>
      <c r="S659" t="str">
        <f t="shared" si="61"/>
        <v>Valid</v>
      </c>
      <c r="T659" t="str">
        <f t="shared" si="62"/>
        <v>Valid</v>
      </c>
      <c r="U659" t="str">
        <f t="shared" si="63"/>
        <v>Valid</v>
      </c>
      <c r="V659" t="str">
        <f t="shared" si="64"/>
        <v>Valid</v>
      </c>
      <c r="W659" t="str">
        <f t="shared" si="65"/>
        <v>Valid</v>
      </c>
    </row>
    <row r="660" spans="1:23">
      <c r="A660" t="s">
        <v>690</v>
      </c>
      <c r="B660" s="2">
        <v>45723</v>
      </c>
      <c r="C660" t="s">
        <v>17</v>
      </c>
      <c r="D660" t="s">
        <v>28</v>
      </c>
      <c r="E660" t="s">
        <v>24</v>
      </c>
      <c r="F660" t="s">
        <v>39</v>
      </c>
      <c r="G660" t="s">
        <v>26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P660">
        <v>73.099999999999994</v>
      </c>
      <c r="R660" t="str">
        <f t="shared" si="60"/>
        <v>Unique</v>
      </c>
      <c r="S660" t="str">
        <f t="shared" si="61"/>
        <v>Valid</v>
      </c>
      <c r="T660" t="str">
        <f t="shared" si="62"/>
        <v>Valid</v>
      </c>
      <c r="U660" t="str">
        <f t="shared" si="63"/>
        <v>Valid</v>
      </c>
      <c r="V660" t="str">
        <f t="shared" si="64"/>
        <v>Valid</v>
      </c>
      <c r="W660" t="str">
        <f t="shared" si="65"/>
        <v>Valid</v>
      </c>
    </row>
    <row r="661" spans="1:23">
      <c r="A661" t="s">
        <v>691</v>
      </c>
      <c r="B661" s="2">
        <v>45767</v>
      </c>
      <c r="C661" t="s">
        <v>17</v>
      </c>
      <c r="D661" t="s">
        <v>32</v>
      </c>
      <c r="E661" t="s">
        <v>19</v>
      </c>
      <c r="F661" t="s">
        <v>41</v>
      </c>
      <c r="G661" t="s">
        <v>26</v>
      </c>
      <c r="H661">
        <v>1</v>
      </c>
      <c r="I661">
        <v>1</v>
      </c>
      <c r="J661">
        <v>1</v>
      </c>
      <c r="K661">
        <v>1</v>
      </c>
      <c r="L661">
        <v>347.52</v>
      </c>
      <c r="M661">
        <v>0</v>
      </c>
      <c r="N661">
        <v>0</v>
      </c>
      <c r="O661">
        <v>2</v>
      </c>
      <c r="P661">
        <v>57.2</v>
      </c>
      <c r="R661" t="str">
        <f t="shared" si="60"/>
        <v>Unique</v>
      </c>
      <c r="S661" t="str">
        <f t="shared" si="61"/>
        <v>Valid</v>
      </c>
      <c r="T661" t="str">
        <f t="shared" si="62"/>
        <v>Valid</v>
      </c>
      <c r="U661" t="str">
        <f t="shared" si="63"/>
        <v>Valid</v>
      </c>
      <c r="V661" t="str">
        <f t="shared" si="64"/>
        <v>Valid</v>
      </c>
      <c r="W661" t="str">
        <f t="shared" si="65"/>
        <v>Valid</v>
      </c>
    </row>
    <row r="662" spans="1:23">
      <c r="A662" t="s">
        <v>692</v>
      </c>
      <c r="B662" s="2">
        <v>45664</v>
      </c>
      <c r="C662" t="s">
        <v>17</v>
      </c>
      <c r="D662" t="s">
        <v>32</v>
      </c>
      <c r="E662" t="s">
        <v>24</v>
      </c>
      <c r="F662" t="s">
        <v>29</v>
      </c>
      <c r="G662" t="s">
        <v>26</v>
      </c>
      <c r="H662">
        <v>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P662">
        <v>67.900000000000006</v>
      </c>
      <c r="R662" t="str">
        <f t="shared" si="60"/>
        <v>Unique</v>
      </c>
      <c r="S662" t="str">
        <f t="shared" si="61"/>
        <v>Valid</v>
      </c>
      <c r="T662" t="str">
        <f t="shared" si="62"/>
        <v>Valid</v>
      </c>
      <c r="U662" t="str">
        <f t="shared" si="63"/>
        <v>Valid</v>
      </c>
      <c r="V662" t="str">
        <f t="shared" si="64"/>
        <v>Valid</v>
      </c>
      <c r="W662" t="str">
        <f t="shared" si="65"/>
        <v>Valid</v>
      </c>
    </row>
    <row r="663" spans="1:23">
      <c r="A663" t="s">
        <v>693</v>
      </c>
      <c r="B663" s="2">
        <v>45770</v>
      </c>
      <c r="C663" t="s">
        <v>17</v>
      </c>
      <c r="D663" t="s">
        <v>32</v>
      </c>
      <c r="E663" t="s">
        <v>24</v>
      </c>
      <c r="F663" t="s">
        <v>39</v>
      </c>
      <c r="G663" t="s">
        <v>26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P663">
        <v>50.1</v>
      </c>
      <c r="R663" t="str">
        <f t="shared" si="60"/>
        <v>Unique</v>
      </c>
      <c r="S663" t="str">
        <f t="shared" si="61"/>
        <v>Valid</v>
      </c>
      <c r="T663" t="str">
        <f t="shared" si="62"/>
        <v>Valid</v>
      </c>
      <c r="U663" t="str">
        <f t="shared" si="63"/>
        <v>Valid</v>
      </c>
      <c r="V663" t="str">
        <f t="shared" si="64"/>
        <v>Valid</v>
      </c>
      <c r="W663" t="str">
        <f t="shared" si="65"/>
        <v>Valid</v>
      </c>
    </row>
    <row r="664" spans="1:23">
      <c r="A664" t="s">
        <v>694</v>
      </c>
      <c r="B664" s="2">
        <v>45803</v>
      </c>
      <c r="C664" t="s">
        <v>17</v>
      </c>
      <c r="D664" t="s">
        <v>18</v>
      </c>
      <c r="E664" t="s">
        <v>24</v>
      </c>
      <c r="F664" t="s">
        <v>29</v>
      </c>
      <c r="G664" t="s">
        <v>21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P664">
        <v>67.8</v>
      </c>
      <c r="R664" t="str">
        <f t="shared" si="60"/>
        <v>Unique</v>
      </c>
      <c r="S664" t="str">
        <f t="shared" si="61"/>
        <v>Valid</v>
      </c>
      <c r="T664" t="str">
        <f t="shared" si="62"/>
        <v>Valid</v>
      </c>
      <c r="U664" t="str">
        <f t="shared" si="63"/>
        <v>Valid</v>
      </c>
      <c r="V664" t="str">
        <f t="shared" si="64"/>
        <v>Valid</v>
      </c>
      <c r="W664" t="str">
        <f t="shared" si="65"/>
        <v>Valid</v>
      </c>
    </row>
    <row r="665" spans="1:23">
      <c r="A665" t="s">
        <v>695</v>
      </c>
      <c r="B665" s="2">
        <v>45733</v>
      </c>
      <c r="C665" t="s">
        <v>17</v>
      </c>
      <c r="D665" t="s">
        <v>18</v>
      </c>
      <c r="E665" t="s">
        <v>19</v>
      </c>
      <c r="F665" t="s">
        <v>41</v>
      </c>
      <c r="G665" t="s">
        <v>21</v>
      </c>
      <c r="H665">
        <v>1</v>
      </c>
      <c r="I665">
        <v>1</v>
      </c>
      <c r="J665">
        <v>1</v>
      </c>
      <c r="K665">
        <v>0</v>
      </c>
      <c r="L665">
        <v>0</v>
      </c>
      <c r="M665">
        <v>0</v>
      </c>
      <c r="N665">
        <v>0</v>
      </c>
      <c r="P665">
        <v>60.8</v>
      </c>
      <c r="R665" t="str">
        <f t="shared" si="60"/>
        <v>Unique</v>
      </c>
      <c r="S665" t="str">
        <f t="shared" si="61"/>
        <v>Valid</v>
      </c>
      <c r="T665" t="str">
        <f t="shared" si="62"/>
        <v>Valid</v>
      </c>
      <c r="U665" t="str">
        <f t="shared" si="63"/>
        <v>Valid</v>
      </c>
      <c r="V665" t="str">
        <f t="shared" si="64"/>
        <v>Valid</v>
      </c>
      <c r="W665" t="str">
        <f t="shared" si="65"/>
        <v>Valid</v>
      </c>
    </row>
    <row r="666" spans="1:23">
      <c r="A666" t="s">
        <v>696</v>
      </c>
      <c r="B666" s="2">
        <v>45794</v>
      </c>
      <c r="C666" t="s">
        <v>17</v>
      </c>
      <c r="D666" t="s">
        <v>18</v>
      </c>
      <c r="E666" t="s">
        <v>19</v>
      </c>
      <c r="F666" t="s">
        <v>29</v>
      </c>
      <c r="G666" t="s">
        <v>21</v>
      </c>
      <c r="H666">
        <v>1</v>
      </c>
      <c r="I666">
        <v>0</v>
      </c>
      <c r="J666">
        <v>0</v>
      </c>
      <c r="K666">
        <v>0</v>
      </c>
      <c r="L666">
        <v>0</v>
      </c>
      <c r="M666">
        <v>3</v>
      </c>
      <c r="N666">
        <v>0</v>
      </c>
      <c r="P666">
        <v>33.700000000000003</v>
      </c>
      <c r="R666" t="str">
        <f t="shared" si="60"/>
        <v>Unique</v>
      </c>
      <c r="S666" t="str">
        <f t="shared" si="61"/>
        <v>Valid</v>
      </c>
      <c r="T666" t="str">
        <f t="shared" si="62"/>
        <v>Valid</v>
      </c>
      <c r="U666" t="str">
        <f t="shared" si="63"/>
        <v>Valid</v>
      </c>
      <c r="V666" t="str">
        <f t="shared" si="64"/>
        <v>Valid</v>
      </c>
      <c r="W666" t="str">
        <f t="shared" si="65"/>
        <v>Valid</v>
      </c>
    </row>
    <row r="667" spans="1:23">
      <c r="A667" t="s">
        <v>697</v>
      </c>
      <c r="B667" s="2">
        <v>45709</v>
      </c>
      <c r="C667" t="s">
        <v>17</v>
      </c>
      <c r="D667" t="s">
        <v>18</v>
      </c>
      <c r="E667" t="s">
        <v>24</v>
      </c>
      <c r="F667" t="s">
        <v>29</v>
      </c>
      <c r="G667" t="s">
        <v>21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P667">
        <v>45.2</v>
      </c>
      <c r="R667" t="str">
        <f t="shared" si="60"/>
        <v>Unique</v>
      </c>
      <c r="S667" t="str">
        <f t="shared" si="61"/>
        <v>Valid</v>
      </c>
      <c r="T667" t="str">
        <f t="shared" si="62"/>
        <v>Valid</v>
      </c>
      <c r="U667" t="str">
        <f t="shared" si="63"/>
        <v>Valid</v>
      </c>
      <c r="V667" t="str">
        <f t="shared" si="64"/>
        <v>Valid</v>
      </c>
      <c r="W667" t="str">
        <f t="shared" si="65"/>
        <v>Valid</v>
      </c>
    </row>
    <row r="668" spans="1:23">
      <c r="A668" t="s">
        <v>698</v>
      </c>
      <c r="B668" s="2">
        <v>45713</v>
      </c>
      <c r="C668" t="s">
        <v>17</v>
      </c>
      <c r="D668" t="s">
        <v>28</v>
      </c>
      <c r="E668" t="s">
        <v>19</v>
      </c>
      <c r="F668" t="s">
        <v>29</v>
      </c>
      <c r="G668" t="s">
        <v>30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P668">
        <v>48.2</v>
      </c>
      <c r="R668" t="str">
        <f t="shared" si="60"/>
        <v>Unique</v>
      </c>
      <c r="S668" t="str">
        <f t="shared" si="61"/>
        <v>Valid</v>
      </c>
      <c r="T668" t="str">
        <f t="shared" si="62"/>
        <v>Valid</v>
      </c>
      <c r="U668" t="str">
        <f t="shared" si="63"/>
        <v>Valid</v>
      </c>
      <c r="V668" t="str">
        <f t="shared" si="64"/>
        <v>Valid</v>
      </c>
      <c r="W668" t="str">
        <f t="shared" si="65"/>
        <v>Valid</v>
      </c>
    </row>
    <row r="669" spans="1:23">
      <c r="A669" t="s">
        <v>699</v>
      </c>
      <c r="B669" s="2">
        <v>45687</v>
      </c>
      <c r="C669" t="s">
        <v>17</v>
      </c>
      <c r="D669" t="s">
        <v>32</v>
      </c>
      <c r="E669" t="s">
        <v>24</v>
      </c>
      <c r="F669" t="s">
        <v>41</v>
      </c>
      <c r="G669" t="s">
        <v>26</v>
      </c>
      <c r="H669">
        <v>1</v>
      </c>
      <c r="I669">
        <v>1</v>
      </c>
      <c r="J669">
        <v>0</v>
      </c>
      <c r="K669">
        <v>0</v>
      </c>
      <c r="L669">
        <v>0</v>
      </c>
      <c r="M669">
        <v>1</v>
      </c>
      <c r="N669">
        <v>0</v>
      </c>
      <c r="P669">
        <v>44.8</v>
      </c>
      <c r="R669" t="str">
        <f t="shared" si="60"/>
        <v>Unique</v>
      </c>
      <c r="S669" t="str">
        <f t="shared" si="61"/>
        <v>Valid</v>
      </c>
      <c r="T669" t="str">
        <f t="shared" si="62"/>
        <v>Valid</v>
      </c>
      <c r="U669" t="str">
        <f t="shared" si="63"/>
        <v>Valid</v>
      </c>
      <c r="V669" t="str">
        <f t="shared" si="64"/>
        <v>Valid</v>
      </c>
      <c r="W669" t="str">
        <f t="shared" si="65"/>
        <v>Valid</v>
      </c>
    </row>
    <row r="670" spans="1:23">
      <c r="A670" t="s">
        <v>700</v>
      </c>
      <c r="B670" s="2">
        <v>45705</v>
      </c>
      <c r="C670" t="s">
        <v>17</v>
      </c>
      <c r="D670" t="s">
        <v>18</v>
      </c>
      <c r="E670" t="s">
        <v>34</v>
      </c>
      <c r="F670" t="s">
        <v>41</v>
      </c>
      <c r="G670" t="s">
        <v>21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P670">
        <v>52.1</v>
      </c>
      <c r="R670" t="str">
        <f t="shared" si="60"/>
        <v>Unique</v>
      </c>
      <c r="S670" t="str">
        <f t="shared" si="61"/>
        <v>Valid</v>
      </c>
      <c r="T670" t="str">
        <f t="shared" si="62"/>
        <v>Valid</v>
      </c>
      <c r="U670" t="str">
        <f t="shared" si="63"/>
        <v>Valid</v>
      </c>
      <c r="V670" t="str">
        <f t="shared" si="64"/>
        <v>Valid</v>
      </c>
      <c r="W670" t="str">
        <f t="shared" si="65"/>
        <v>Valid</v>
      </c>
    </row>
    <row r="671" spans="1:23">
      <c r="A671" t="s">
        <v>701</v>
      </c>
      <c r="B671" s="2">
        <v>45794</v>
      </c>
      <c r="C671" t="s">
        <v>17</v>
      </c>
      <c r="D671" t="s">
        <v>18</v>
      </c>
      <c r="E671" t="s">
        <v>19</v>
      </c>
      <c r="F671" t="s">
        <v>29</v>
      </c>
      <c r="G671" t="s">
        <v>21</v>
      </c>
      <c r="H671">
        <v>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P671">
        <v>30.7</v>
      </c>
      <c r="R671" t="str">
        <f t="shared" si="60"/>
        <v>Unique</v>
      </c>
      <c r="S671" t="str">
        <f t="shared" si="61"/>
        <v>Valid</v>
      </c>
      <c r="T671" t="str">
        <f t="shared" si="62"/>
        <v>Valid</v>
      </c>
      <c r="U671" t="str">
        <f t="shared" si="63"/>
        <v>Valid</v>
      </c>
      <c r="V671" t="str">
        <f t="shared" si="64"/>
        <v>Valid</v>
      </c>
      <c r="W671" t="str">
        <f t="shared" si="65"/>
        <v>Valid</v>
      </c>
    </row>
    <row r="672" spans="1:23">
      <c r="A672" t="s">
        <v>702</v>
      </c>
      <c r="B672" s="2">
        <v>45777</v>
      </c>
      <c r="C672" t="s">
        <v>17</v>
      </c>
      <c r="D672" t="s">
        <v>28</v>
      </c>
      <c r="E672" t="s">
        <v>19</v>
      </c>
      <c r="F672" t="s">
        <v>29</v>
      </c>
      <c r="G672" t="s">
        <v>26</v>
      </c>
      <c r="H672">
        <v>1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P672">
        <v>58.4</v>
      </c>
      <c r="R672" t="str">
        <f t="shared" si="60"/>
        <v>Unique</v>
      </c>
      <c r="S672" t="str">
        <f t="shared" si="61"/>
        <v>Valid</v>
      </c>
      <c r="T672" t="str">
        <f t="shared" si="62"/>
        <v>Valid</v>
      </c>
      <c r="U672" t="str">
        <f t="shared" si="63"/>
        <v>Valid</v>
      </c>
      <c r="V672" t="str">
        <f t="shared" si="64"/>
        <v>Valid</v>
      </c>
      <c r="W672" t="str">
        <f t="shared" si="65"/>
        <v>Valid</v>
      </c>
    </row>
    <row r="673" spans="1:23">
      <c r="A673" t="s">
        <v>703</v>
      </c>
      <c r="B673" s="2">
        <v>45738</v>
      </c>
      <c r="C673" t="s">
        <v>17</v>
      </c>
      <c r="D673" t="s">
        <v>23</v>
      </c>
      <c r="E673" t="s">
        <v>24</v>
      </c>
      <c r="F673" t="s">
        <v>39</v>
      </c>
      <c r="G673" t="s">
        <v>26</v>
      </c>
      <c r="H673">
        <v>1</v>
      </c>
      <c r="I673">
        <v>1</v>
      </c>
      <c r="J673">
        <v>0</v>
      </c>
      <c r="K673">
        <v>0</v>
      </c>
      <c r="L673">
        <v>0</v>
      </c>
      <c r="M673">
        <v>0</v>
      </c>
      <c r="N673">
        <v>0</v>
      </c>
      <c r="P673">
        <v>52.6</v>
      </c>
      <c r="R673" t="str">
        <f t="shared" si="60"/>
        <v>Unique</v>
      </c>
      <c r="S673" t="str">
        <f t="shared" si="61"/>
        <v>Valid</v>
      </c>
      <c r="T673" t="str">
        <f t="shared" si="62"/>
        <v>Valid</v>
      </c>
      <c r="U673" t="str">
        <f t="shared" si="63"/>
        <v>Valid</v>
      </c>
      <c r="V673" t="str">
        <f t="shared" si="64"/>
        <v>Valid</v>
      </c>
      <c r="W673" t="str">
        <f t="shared" si="65"/>
        <v>Valid</v>
      </c>
    </row>
    <row r="674" spans="1:23">
      <c r="A674" t="s">
        <v>704</v>
      </c>
      <c r="B674" s="2">
        <v>45667</v>
      </c>
      <c r="C674" t="s">
        <v>17</v>
      </c>
      <c r="D674" t="s">
        <v>23</v>
      </c>
      <c r="E674" t="s">
        <v>1451</v>
      </c>
      <c r="F674" t="s">
        <v>29</v>
      </c>
      <c r="G674" t="s">
        <v>26</v>
      </c>
      <c r="H674">
        <v>1</v>
      </c>
      <c r="I674">
        <v>0</v>
      </c>
      <c r="J674">
        <v>0</v>
      </c>
      <c r="K674">
        <v>0</v>
      </c>
      <c r="L674">
        <v>0</v>
      </c>
      <c r="M674">
        <v>1</v>
      </c>
      <c r="N674">
        <v>0</v>
      </c>
      <c r="P674">
        <v>19.100000000000001</v>
      </c>
      <c r="R674" t="str">
        <f t="shared" si="60"/>
        <v>Unique</v>
      </c>
      <c r="S674" t="str">
        <f t="shared" si="61"/>
        <v>Valid</v>
      </c>
      <c r="T674" t="str">
        <f t="shared" si="62"/>
        <v>Valid</v>
      </c>
      <c r="U674" t="str">
        <f t="shared" si="63"/>
        <v>Valid</v>
      </c>
      <c r="V674" t="str">
        <f t="shared" si="64"/>
        <v>Valid</v>
      </c>
      <c r="W674" t="str">
        <f t="shared" si="65"/>
        <v>Valid</v>
      </c>
    </row>
    <row r="675" spans="1:23">
      <c r="A675" t="s">
        <v>705</v>
      </c>
      <c r="B675" s="2">
        <v>45737</v>
      </c>
      <c r="C675" t="s">
        <v>17</v>
      </c>
      <c r="D675" t="s">
        <v>32</v>
      </c>
      <c r="E675" t="s">
        <v>1451</v>
      </c>
      <c r="F675" t="s">
        <v>29</v>
      </c>
      <c r="G675" t="s">
        <v>26</v>
      </c>
      <c r="H675">
        <v>1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P675">
        <v>36.799999999999997</v>
      </c>
      <c r="R675" t="str">
        <f t="shared" si="60"/>
        <v>Unique</v>
      </c>
      <c r="S675" t="str">
        <f t="shared" si="61"/>
        <v>Valid</v>
      </c>
      <c r="T675" t="str">
        <f t="shared" si="62"/>
        <v>Valid</v>
      </c>
      <c r="U675" t="str">
        <f t="shared" si="63"/>
        <v>Valid</v>
      </c>
      <c r="V675" t="str">
        <f t="shared" si="64"/>
        <v>Valid</v>
      </c>
      <c r="W675" t="str">
        <f t="shared" si="65"/>
        <v>Valid</v>
      </c>
    </row>
    <row r="676" spans="1:23">
      <c r="A676" t="s">
        <v>706</v>
      </c>
      <c r="B676" s="2">
        <v>45789</v>
      </c>
      <c r="C676" t="s">
        <v>17</v>
      </c>
      <c r="D676" t="s">
        <v>18</v>
      </c>
      <c r="E676" t="s">
        <v>19</v>
      </c>
      <c r="F676" t="s">
        <v>29</v>
      </c>
      <c r="G676" t="s">
        <v>21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P676">
        <v>68.5</v>
      </c>
      <c r="R676" t="str">
        <f t="shared" si="60"/>
        <v>Unique</v>
      </c>
      <c r="S676" t="str">
        <f t="shared" si="61"/>
        <v>Valid</v>
      </c>
      <c r="T676" t="str">
        <f t="shared" si="62"/>
        <v>Valid</v>
      </c>
      <c r="U676" t="str">
        <f t="shared" si="63"/>
        <v>Valid</v>
      </c>
      <c r="V676" t="str">
        <f t="shared" si="64"/>
        <v>Valid</v>
      </c>
      <c r="W676" t="str">
        <f t="shared" si="65"/>
        <v>Valid</v>
      </c>
    </row>
    <row r="677" spans="1:23">
      <c r="A677" t="s">
        <v>707</v>
      </c>
      <c r="B677" s="2">
        <v>45801</v>
      </c>
      <c r="C677" t="s">
        <v>17</v>
      </c>
      <c r="D677" t="s">
        <v>23</v>
      </c>
      <c r="E677" t="s">
        <v>24</v>
      </c>
      <c r="F677" t="s">
        <v>29</v>
      </c>
      <c r="G677" t="s">
        <v>26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P677">
        <v>40.1</v>
      </c>
      <c r="R677" t="str">
        <f t="shared" si="60"/>
        <v>Unique</v>
      </c>
      <c r="S677" t="str">
        <f t="shared" si="61"/>
        <v>Valid</v>
      </c>
      <c r="T677" t="str">
        <f t="shared" si="62"/>
        <v>Valid</v>
      </c>
      <c r="U677" t="str">
        <f t="shared" si="63"/>
        <v>Valid</v>
      </c>
      <c r="V677" t="str">
        <f t="shared" si="64"/>
        <v>Valid</v>
      </c>
      <c r="W677" t="str">
        <f t="shared" si="65"/>
        <v>Valid</v>
      </c>
    </row>
    <row r="678" spans="1:23">
      <c r="A678" t="s">
        <v>708</v>
      </c>
      <c r="B678" s="2">
        <v>45780</v>
      </c>
      <c r="C678" t="s">
        <v>17</v>
      </c>
      <c r="D678" t="s">
        <v>23</v>
      </c>
      <c r="E678" t="s">
        <v>34</v>
      </c>
      <c r="F678" t="s">
        <v>25</v>
      </c>
      <c r="G678" t="s">
        <v>26</v>
      </c>
      <c r="H678">
        <v>1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P678">
        <v>47.5</v>
      </c>
      <c r="R678" t="str">
        <f t="shared" si="60"/>
        <v>Unique</v>
      </c>
      <c r="S678" t="str">
        <f t="shared" si="61"/>
        <v>Valid</v>
      </c>
      <c r="T678" t="str">
        <f t="shared" si="62"/>
        <v>Valid</v>
      </c>
      <c r="U678" t="str">
        <f t="shared" si="63"/>
        <v>Valid</v>
      </c>
      <c r="V678" t="str">
        <f t="shared" si="64"/>
        <v>Valid</v>
      </c>
      <c r="W678" t="str">
        <f t="shared" si="65"/>
        <v>Valid</v>
      </c>
    </row>
    <row r="679" spans="1:23">
      <c r="A679" t="s">
        <v>709</v>
      </c>
      <c r="B679" s="2">
        <v>45671</v>
      </c>
      <c r="C679" t="s">
        <v>17</v>
      </c>
      <c r="D679" t="s">
        <v>32</v>
      </c>
      <c r="E679" t="s">
        <v>24</v>
      </c>
      <c r="F679" t="s">
        <v>25</v>
      </c>
      <c r="G679" t="s">
        <v>21</v>
      </c>
      <c r="H679">
        <v>1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P679">
        <v>77.099999999999994</v>
      </c>
      <c r="R679" t="str">
        <f t="shared" si="60"/>
        <v>Unique</v>
      </c>
      <c r="S679" t="str">
        <f t="shared" si="61"/>
        <v>Valid</v>
      </c>
      <c r="T679" t="str">
        <f t="shared" si="62"/>
        <v>Valid</v>
      </c>
      <c r="U679" t="str">
        <f t="shared" si="63"/>
        <v>Valid</v>
      </c>
      <c r="V679" t="str">
        <f t="shared" si="64"/>
        <v>Valid</v>
      </c>
      <c r="W679" t="str">
        <f t="shared" si="65"/>
        <v>Valid</v>
      </c>
    </row>
    <row r="680" spans="1:23">
      <c r="A680" t="s">
        <v>710</v>
      </c>
      <c r="B680" s="2">
        <v>45743</v>
      </c>
      <c r="C680" t="s">
        <v>17</v>
      </c>
      <c r="D680" t="s">
        <v>23</v>
      </c>
      <c r="E680" t="s">
        <v>24</v>
      </c>
      <c r="F680" t="s">
        <v>41</v>
      </c>
      <c r="G680" t="s">
        <v>21</v>
      </c>
      <c r="H680">
        <v>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P680">
        <v>75.900000000000006</v>
      </c>
      <c r="R680" t="str">
        <f t="shared" si="60"/>
        <v>Unique</v>
      </c>
      <c r="S680" t="str">
        <f t="shared" si="61"/>
        <v>Valid</v>
      </c>
      <c r="T680" t="str">
        <f t="shared" si="62"/>
        <v>Valid</v>
      </c>
      <c r="U680" t="str">
        <f t="shared" si="63"/>
        <v>Valid</v>
      </c>
      <c r="V680" t="str">
        <f t="shared" si="64"/>
        <v>Valid</v>
      </c>
      <c r="W680" t="str">
        <f t="shared" si="65"/>
        <v>Valid</v>
      </c>
    </row>
    <row r="681" spans="1:23">
      <c r="A681" t="s">
        <v>711</v>
      </c>
      <c r="B681" s="2">
        <v>45716</v>
      </c>
      <c r="C681" t="s">
        <v>17</v>
      </c>
      <c r="D681" t="s">
        <v>18</v>
      </c>
      <c r="E681" t="s">
        <v>19</v>
      </c>
      <c r="F681" t="s">
        <v>39</v>
      </c>
      <c r="G681" t="s">
        <v>30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1</v>
      </c>
      <c r="N681">
        <v>0</v>
      </c>
      <c r="P681">
        <v>52</v>
      </c>
      <c r="R681" t="str">
        <f t="shared" si="60"/>
        <v>Unique</v>
      </c>
      <c r="S681" t="str">
        <f t="shared" si="61"/>
        <v>Valid</v>
      </c>
      <c r="T681" t="str">
        <f t="shared" si="62"/>
        <v>Valid</v>
      </c>
      <c r="U681" t="str">
        <f t="shared" si="63"/>
        <v>Valid</v>
      </c>
      <c r="V681" t="str">
        <f t="shared" si="64"/>
        <v>Valid</v>
      </c>
      <c r="W681" t="str">
        <f t="shared" si="65"/>
        <v>Valid</v>
      </c>
    </row>
    <row r="682" spans="1:23">
      <c r="A682" t="s">
        <v>712</v>
      </c>
      <c r="B682" s="2">
        <v>45789</v>
      </c>
      <c r="C682" t="s">
        <v>17</v>
      </c>
      <c r="D682" t="s">
        <v>23</v>
      </c>
      <c r="E682" t="s">
        <v>19</v>
      </c>
      <c r="F682" t="s">
        <v>39</v>
      </c>
      <c r="G682" t="s">
        <v>30</v>
      </c>
      <c r="H682">
        <v>1</v>
      </c>
      <c r="I682">
        <v>1</v>
      </c>
      <c r="J682">
        <v>1</v>
      </c>
      <c r="K682">
        <v>0</v>
      </c>
      <c r="L682">
        <v>0</v>
      </c>
      <c r="M682">
        <v>0</v>
      </c>
      <c r="N682">
        <v>0</v>
      </c>
      <c r="P682">
        <v>64.900000000000006</v>
      </c>
      <c r="R682" t="str">
        <f t="shared" si="60"/>
        <v>Unique</v>
      </c>
      <c r="S682" t="str">
        <f t="shared" si="61"/>
        <v>Valid</v>
      </c>
      <c r="T682" t="str">
        <f t="shared" si="62"/>
        <v>Valid</v>
      </c>
      <c r="U682" t="str">
        <f t="shared" si="63"/>
        <v>Valid</v>
      </c>
      <c r="V682" t="str">
        <f t="shared" si="64"/>
        <v>Valid</v>
      </c>
      <c r="W682" t="str">
        <f t="shared" si="65"/>
        <v>Valid</v>
      </c>
    </row>
    <row r="683" spans="1:23">
      <c r="A683" t="s">
        <v>713</v>
      </c>
      <c r="B683" s="2">
        <v>45730</v>
      </c>
      <c r="C683" t="s">
        <v>17</v>
      </c>
      <c r="D683" t="s">
        <v>18</v>
      </c>
      <c r="E683" t="s">
        <v>24</v>
      </c>
      <c r="F683" t="s">
        <v>25</v>
      </c>
      <c r="G683" t="s">
        <v>26</v>
      </c>
      <c r="H683">
        <v>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P683">
        <v>48.2</v>
      </c>
      <c r="R683" t="str">
        <f t="shared" si="60"/>
        <v>Unique</v>
      </c>
      <c r="S683" t="str">
        <f t="shared" si="61"/>
        <v>Valid</v>
      </c>
      <c r="T683" t="str">
        <f t="shared" si="62"/>
        <v>Valid</v>
      </c>
      <c r="U683" t="str">
        <f t="shared" si="63"/>
        <v>Valid</v>
      </c>
      <c r="V683" t="str">
        <f t="shared" si="64"/>
        <v>Valid</v>
      </c>
      <c r="W683" t="str">
        <f t="shared" si="65"/>
        <v>Valid</v>
      </c>
    </row>
    <row r="684" spans="1:23">
      <c r="A684" t="s">
        <v>714</v>
      </c>
      <c r="B684" s="2">
        <v>45797</v>
      </c>
      <c r="C684" t="s">
        <v>17</v>
      </c>
      <c r="D684" t="s">
        <v>28</v>
      </c>
      <c r="E684" t="s">
        <v>24</v>
      </c>
      <c r="F684" t="s">
        <v>25</v>
      </c>
      <c r="G684" t="s">
        <v>21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P684">
        <v>42.1</v>
      </c>
      <c r="R684" t="str">
        <f t="shared" si="60"/>
        <v>Unique</v>
      </c>
      <c r="S684" t="str">
        <f t="shared" si="61"/>
        <v>Valid</v>
      </c>
      <c r="T684" t="str">
        <f t="shared" si="62"/>
        <v>Valid</v>
      </c>
      <c r="U684" t="str">
        <f t="shared" si="63"/>
        <v>Valid</v>
      </c>
      <c r="V684" t="str">
        <f t="shared" si="64"/>
        <v>Valid</v>
      </c>
      <c r="W684" t="str">
        <f t="shared" si="65"/>
        <v>Valid</v>
      </c>
    </row>
    <row r="685" spans="1:23">
      <c r="A685" t="s">
        <v>715</v>
      </c>
      <c r="B685" s="2">
        <v>45712</v>
      </c>
      <c r="C685" t="s">
        <v>17</v>
      </c>
      <c r="D685" t="s">
        <v>32</v>
      </c>
      <c r="E685" t="s">
        <v>19</v>
      </c>
      <c r="F685" t="s">
        <v>39</v>
      </c>
      <c r="G685" t="s">
        <v>26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P685">
        <v>27.6</v>
      </c>
      <c r="R685" t="str">
        <f t="shared" si="60"/>
        <v>Unique</v>
      </c>
      <c r="S685" t="str">
        <f t="shared" si="61"/>
        <v>Valid</v>
      </c>
      <c r="T685" t="str">
        <f t="shared" si="62"/>
        <v>Valid</v>
      </c>
      <c r="U685" t="str">
        <f t="shared" si="63"/>
        <v>Valid</v>
      </c>
      <c r="V685" t="str">
        <f t="shared" si="64"/>
        <v>Valid</v>
      </c>
      <c r="W685" t="str">
        <f t="shared" si="65"/>
        <v>Valid</v>
      </c>
    </row>
    <row r="686" spans="1:23">
      <c r="A686" t="s">
        <v>716</v>
      </c>
      <c r="B686" s="2">
        <v>45701</v>
      </c>
      <c r="C686" t="s">
        <v>17</v>
      </c>
      <c r="D686" t="s">
        <v>23</v>
      </c>
      <c r="E686" t="s">
        <v>24</v>
      </c>
      <c r="F686" t="s">
        <v>25</v>
      </c>
      <c r="G686" t="s">
        <v>30</v>
      </c>
      <c r="H686">
        <v>1</v>
      </c>
      <c r="I686">
        <v>0</v>
      </c>
      <c r="J686">
        <v>0</v>
      </c>
      <c r="K686">
        <v>0</v>
      </c>
      <c r="L686">
        <v>0</v>
      </c>
      <c r="M686">
        <v>1</v>
      </c>
      <c r="N686">
        <v>0</v>
      </c>
      <c r="P686">
        <v>68.5</v>
      </c>
      <c r="R686" t="str">
        <f t="shared" si="60"/>
        <v>Unique</v>
      </c>
      <c r="S686" t="str">
        <f t="shared" si="61"/>
        <v>Valid</v>
      </c>
      <c r="T686" t="str">
        <f t="shared" si="62"/>
        <v>Valid</v>
      </c>
      <c r="U686" t="str">
        <f t="shared" si="63"/>
        <v>Valid</v>
      </c>
      <c r="V686" t="str">
        <f t="shared" si="64"/>
        <v>Valid</v>
      </c>
      <c r="W686" t="str">
        <f t="shared" si="65"/>
        <v>Valid</v>
      </c>
    </row>
    <row r="687" spans="1:23">
      <c r="A687" t="s">
        <v>717</v>
      </c>
      <c r="B687" s="2">
        <v>45694</v>
      </c>
      <c r="C687" t="s">
        <v>17</v>
      </c>
      <c r="D687" t="s">
        <v>32</v>
      </c>
      <c r="E687" t="s">
        <v>19</v>
      </c>
      <c r="F687" t="s">
        <v>25</v>
      </c>
      <c r="G687" t="s">
        <v>26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P687">
        <v>59.2</v>
      </c>
      <c r="R687" t="str">
        <f t="shared" si="60"/>
        <v>Unique</v>
      </c>
      <c r="S687" t="str">
        <f t="shared" si="61"/>
        <v>Valid</v>
      </c>
      <c r="T687" t="str">
        <f t="shared" si="62"/>
        <v>Valid</v>
      </c>
      <c r="U687" t="str">
        <f t="shared" si="63"/>
        <v>Valid</v>
      </c>
      <c r="V687" t="str">
        <f t="shared" si="64"/>
        <v>Valid</v>
      </c>
      <c r="W687" t="str">
        <f t="shared" si="65"/>
        <v>Valid</v>
      </c>
    </row>
    <row r="688" spans="1:23">
      <c r="A688" t="s">
        <v>718</v>
      </c>
      <c r="B688" s="2">
        <v>45718</v>
      </c>
      <c r="C688" t="s">
        <v>17</v>
      </c>
      <c r="D688" t="s">
        <v>18</v>
      </c>
      <c r="E688" t="s">
        <v>24</v>
      </c>
      <c r="F688" t="s">
        <v>41</v>
      </c>
      <c r="G688" t="s">
        <v>21</v>
      </c>
      <c r="H688">
        <v>1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P688">
        <v>63.3</v>
      </c>
      <c r="R688" t="str">
        <f t="shared" si="60"/>
        <v>Unique</v>
      </c>
      <c r="S688" t="str">
        <f t="shared" si="61"/>
        <v>Valid</v>
      </c>
      <c r="T688" t="str">
        <f t="shared" si="62"/>
        <v>Valid</v>
      </c>
      <c r="U688" t="str">
        <f t="shared" si="63"/>
        <v>Valid</v>
      </c>
      <c r="V688" t="str">
        <f t="shared" si="64"/>
        <v>Valid</v>
      </c>
      <c r="W688" t="str">
        <f t="shared" si="65"/>
        <v>Valid</v>
      </c>
    </row>
    <row r="689" spans="1:23">
      <c r="A689" t="s">
        <v>719</v>
      </c>
      <c r="B689" s="2">
        <v>45775</v>
      </c>
      <c r="C689" t="s">
        <v>17</v>
      </c>
      <c r="D689" t="s">
        <v>28</v>
      </c>
      <c r="E689" t="s">
        <v>19</v>
      </c>
      <c r="F689" t="s">
        <v>29</v>
      </c>
      <c r="G689" t="s">
        <v>26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P689">
        <v>55</v>
      </c>
      <c r="R689" t="str">
        <f t="shared" si="60"/>
        <v>Unique</v>
      </c>
      <c r="S689" t="str">
        <f t="shared" si="61"/>
        <v>Valid</v>
      </c>
      <c r="T689" t="str">
        <f t="shared" si="62"/>
        <v>Valid</v>
      </c>
      <c r="U689" t="str">
        <f t="shared" si="63"/>
        <v>Valid</v>
      </c>
      <c r="V689" t="str">
        <f t="shared" si="64"/>
        <v>Valid</v>
      </c>
      <c r="W689" t="str">
        <f t="shared" si="65"/>
        <v>Valid</v>
      </c>
    </row>
    <row r="690" spans="1:23">
      <c r="A690" t="s">
        <v>720</v>
      </c>
      <c r="B690" s="2">
        <v>45804</v>
      </c>
      <c r="C690" t="s">
        <v>17</v>
      </c>
      <c r="D690" t="s">
        <v>18</v>
      </c>
      <c r="E690" t="s">
        <v>19</v>
      </c>
      <c r="F690" t="s">
        <v>1451</v>
      </c>
      <c r="G690" t="s">
        <v>30</v>
      </c>
      <c r="H690">
        <v>1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P690">
        <v>64.8</v>
      </c>
      <c r="R690" t="str">
        <f t="shared" si="60"/>
        <v>Unique</v>
      </c>
      <c r="S690" t="str">
        <f t="shared" si="61"/>
        <v>Valid</v>
      </c>
      <c r="T690" t="str">
        <f t="shared" si="62"/>
        <v>Valid</v>
      </c>
      <c r="U690" t="str">
        <f t="shared" si="63"/>
        <v>Valid</v>
      </c>
      <c r="V690" t="str">
        <f t="shared" si="64"/>
        <v>Valid</v>
      </c>
      <c r="W690" t="str">
        <f t="shared" si="65"/>
        <v>Valid</v>
      </c>
    </row>
    <row r="691" spans="1:23">
      <c r="A691" t="s">
        <v>721</v>
      </c>
      <c r="B691" s="2">
        <v>45754</v>
      </c>
      <c r="C691" t="s">
        <v>17</v>
      </c>
      <c r="D691" t="s">
        <v>32</v>
      </c>
      <c r="E691" t="s">
        <v>19</v>
      </c>
      <c r="F691" t="s">
        <v>25</v>
      </c>
      <c r="G691" t="s">
        <v>21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2</v>
      </c>
      <c r="N691">
        <v>0</v>
      </c>
      <c r="P691">
        <v>41.8</v>
      </c>
      <c r="R691" t="str">
        <f t="shared" si="60"/>
        <v>Unique</v>
      </c>
      <c r="S691" t="str">
        <f t="shared" si="61"/>
        <v>Valid</v>
      </c>
      <c r="T691" t="str">
        <f t="shared" si="62"/>
        <v>Valid</v>
      </c>
      <c r="U691" t="str">
        <f t="shared" si="63"/>
        <v>Valid</v>
      </c>
      <c r="V691" t="str">
        <f t="shared" si="64"/>
        <v>Valid</v>
      </c>
      <c r="W691" t="str">
        <f t="shared" si="65"/>
        <v>Valid</v>
      </c>
    </row>
    <row r="692" spans="1:23">
      <c r="A692" t="s">
        <v>722</v>
      </c>
      <c r="B692" s="2">
        <v>45761</v>
      </c>
      <c r="C692" t="s">
        <v>723</v>
      </c>
      <c r="D692" t="s">
        <v>28</v>
      </c>
      <c r="E692" t="s">
        <v>19</v>
      </c>
      <c r="F692" t="s">
        <v>41</v>
      </c>
      <c r="G692" t="s">
        <v>21</v>
      </c>
      <c r="H692">
        <v>1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P692">
        <v>73.2</v>
      </c>
      <c r="R692" t="str">
        <f t="shared" si="60"/>
        <v>Unique</v>
      </c>
      <c r="S692" t="str">
        <f t="shared" si="61"/>
        <v>Valid</v>
      </c>
      <c r="T692" t="str">
        <f t="shared" si="62"/>
        <v>Valid</v>
      </c>
      <c r="U692" t="str">
        <f t="shared" si="63"/>
        <v>Valid</v>
      </c>
      <c r="V692" t="str">
        <f t="shared" si="64"/>
        <v>Valid</v>
      </c>
      <c r="W692" t="str">
        <f t="shared" si="65"/>
        <v>Valid</v>
      </c>
    </row>
    <row r="693" spans="1:23">
      <c r="A693" t="s">
        <v>724</v>
      </c>
      <c r="B693" s="2">
        <v>45786</v>
      </c>
      <c r="C693" t="s">
        <v>723</v>
      </c>
      <c r="D693" t="s">
        <v>28</v>
      </c>
      <c r="E693" t="s">
        <v>19</v>
      </c>
      <c r="F693" t="s">
        <v>25</v>
      </c>
      <c r="G693" t="s">
        <v>21</v>
      </c>
      <c r="H693">
        <v>1</v>
      </c>
      <c r="I693">
        <v>1</v>
      </c>
      <c r="J693">
        <v>1</v>
      </c>
      <c r="K693">
        <v>0</v>
      </c>
      <c r="L693">
        <v>0</v>
      </c>
      <c r="M693">
        <v>3</v>
      </c>
      <c r="N693">
        <v>0</v>
      </c>
      <c r="P693">
        <v>55.7</v>
      </c>
      <c r="R693" t="str">
        <f t="shared" si="60"/>
        <v>Unique</v>
      </c>
      <c r="S693" t="str">
        <f t="shared" si="61"/>
        <v>Valid</v>
      </c>
      <c r="T693" t="str">
        <f t="shared" si="62"/>
        <v>Valid</v>
      </c>
      <c r="U693" t="str">
        <f t="shared" si="63"/>
        <v>Valid</v>
      </c>
      <c r="V693" t="str">
        <f t="shared" si="64"/>
        <v>Valid</v>
      </c>
      <c r="W693" t="str">
        <f t="shared" si="65"/>
        <v>Valid</v>
      </c>
    </row>
    <row r="694" spans="1:23">
      <c r="A694" t="s">
        <v>725</v>
      </c>
      <c r="B694" s="2">
        <v>45737</v>
      </c>
      <c r="C694" t="s">
        <v>723</v>
      </c>
      <c r="D694" t="s">
        <v>18</v>
      </c>
      <c r="E694" t="s">
        <v>24</v>
      </c>
      <c r="F694" t="s">
        <v>25</v>
      </c>
      <c r="G694" t="s">
        <v>26</v>
      </c>
      <c r="H694">
        <v>1</v>
      </c>
      <c r="I694">
        <v>1</v>
      </c>
      <c r="J694">
        <v>1</v>
      </c>
      <c r="K694">
        <v>0</v>
      </c>
      <c r="L694">
        <v>0</v>
      </c>
      <c r="M694">
        <v>0</v>
      </c>
      <c r="N694">
        <v>0</v>
      </c>
      <c r="P694">
        <v>82.8</v>
      </c>
      <c r="R694" t="str">
        <f t="shared" si="60"/>
        <v>Unique</v>
      </c>
      <c r="S694" t="str">
        <f t="shared" si="61"/>
        <v>Valid</v>
      </c>
      <c r="T694" t="str">
        <f t="shared" si="62"/>
        <v>Valid</v>
      </c>
      <c r="U694" t="str">
        <f t="shared" si="63"/>
        <v>Valid</v>
      </c>
      <c r="V694" t="str">
        <f t="shared" si="64"/>
        <v>Valid</v>
      </c>
      <c r="W694" t="str">
        <f t="shared" si="65"/>
        <v>Valid</v>
      </c>
    </row>
    <row r="695" spans="1:23">
      <c r="A695" t="s">
        <v>726</v>
      </c>
      <c r="B695" s="2">
        <v>45743</v>
      </c>
      <c r="C695" t="s">
        <v>723</v>
      </c>
      <c r="D695" t="s">
        <v>18</v>
      </c>
      <c r="E695" t="s">
        <v>19</v>
      </c>
      <c r="F695" t="s">
        <v>41</v>
      </c>
      <c r="G695" t="s">
        <v>26</v>
      </c>
      <c r="H695">
        <v>1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P695">
        <v>60.02</v>
      </c>
      <c r="R695" t="str">
        <f t="shared" si="60"/>
        <v>Unique</v>
      </c>
      <c r="S695" t="str">
        <f t="shared" si="61"/>
        <v>Valid</v>
      </c>
      <c r="T695" t="str">
        <f t="shared" si="62"/>
        <v>Valid</v>
      </c>
      <c r="U695" t="str">
        <f t="shared" si="63"/>
        <v>Valid</v>
      </c>
      <c r="V695" t="str">
        <f t="shared" si="64"/>
        <v>Valid</v>
      </c>
      <c r="W695" t="str">
        <f t="shared" si="65"/>
        <v>Valid</v>
      </c>
    </row>
    <row r="696" spans="1:23">
      <c r="A696" t="s">
        <v>727</v>
      </c>
      <c r="B696" s="2">
        <v>45678</v>
      </c>
      <c r="C696" t="s">
        <v>723</v>
      </c>
      <c r="D696" t="s">
        <v>32</v>
      </c>
      <c r="E696" t="s">
        <v>24</v>
      </c>
      <c r="F696" t="s">
        <v>29</v>
      </c>
      <c r="G696" t="s">
        <v>26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P696">
        <v>34.4</v>
      </c>
      <c r="R696" t="str">
        <f t="shared" si="60"/>
        <v>Unique</v>
      </c>
      <c r="S696" t="str">
        <f t="shared" si="61"/>
        <v>Valid</v>
      </c>
      <c r="T696" t="str">
        <f t="shared" si="62"/>
        <v>Valid</v>
      </c>
      <c r="U696" t="str">
        <f t="shared" si="63"/>
        <v>Valid</v>
      </c>
      <c r="V696" t="str">
        <f t="shared" si="64"/>
        <v>Valid</v>
      </c>
      <c r="W696" t="str">
        <f t="shared" si="65"/>
        <v>Valid</v>
      </c>
    </row>
    <row r="697" spans="1:23">
      <c r="A697" t="s">
        <v>728</v>
      </c>
      <c r="B697" s="2">
        <v>45735</v>
      </c>
      <c r="C697" t="s">
        <v>723</v>
      </c>
      <c r="D697" t="s">
        <v>28</v>
      </c>
      <c r="E697" t="s">
        <v>19</v>
      </c>
      <c r="F697" t="s">
        <v>20</v>
      </c>
      <c r="G697" t="s">
        <v>26</v>
      </c>
      <c r="H697">
        <v>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P697">
        <v>45.2</v>
      </c>
      <c r="R697" t="str">
        <f t="shared" si="60"/>
        <v>Unique</v>
      </c>
      <c r="S697" t="str">
        <f t="shared" si="61"/>
        <v>Valid</v>
      </c>
      <c r="T697" t="str">
        <f t="shared" si="62"/>
        <v>Valid</v>
      </c>
      <c r="U697" t="str">
        <f t="shared" si="63"/>
        <v>Valid</v>
      </c>
      <c r="V697" t="str">
        <f t="shared" si="64"/>
        <v>Valid</v>
      </c>
      <c r="W697" t="str">
        <f t="shared" si="65"/>
        <v>Valid</v>
      </c>
    </row>
    <row r="698" spans="1:23">
      <c r="A698" t="s">
        <v>729</v>
      </c>
      <c r="B698" s="2">
        <v>45804</v>
      </c>
      <c r="C698" t="s">
        <v>723</v>
      </c>
      <c r="D698" t="s">
        <v>18</v>
      </c>
      <c r="E698" t="s">
        <v>24</v>
      </c>
      <c r="F698" t="s">
        <v>25</v>
      </c>
      <c r="G698" t="s">
        <v>21</v>
      </c>
      <c r="H698">
        <v>1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P698">
        <v>71.599999999999994</v>
      </c>
      <c r="R698" t="str">
        <f t="shared" si="60"/>
        <v>Unique</v>
      </c>
      <c r="S698" t="str">
        <f t="shared" si="61"/>
        <v>Valid</v>
      </c>
      <c r="T698" t="str">
        <f t="shared" si="62"/>
        <v>Valid</v>
      </c>
      <c r="U698" t="str">
        <f t="shared" si="63"/>
        <v>Valid</v>
      </c>
      <c r="V698" t="str">
        <f t="shared" si="64"/>
        <v>Valid</v>
      </c>
      <c r="W698" t="str">
        <f t="shared" si="65"/>
        <v>Valid</v>
      </c>
    </row>
    <row r="699" spans="1:23">
      <c r="A699" t="s">
        <v>730</v>
      </c>
      <c r="B699" s="2">
        <v>45658</v>
      </c>
      <c r="C699" t="s">
        <v>723</v>
      </c>
      <c r="D699" t="s">
        <v>18</v>
      </c>
      <c r="E699" t="s">
        <v>24</v>
      </c>
      <c r="F699" t="s">
        <v>41</v>
      </c>
      <c r="G699" t="s">
        <v>26</v>
      </c>
      <c r="H699">
        <v>1</v>
      </c>
      <c r="I699">
        <v>1</v>
      </c>
      <c r="J699">
        <v>1</v>
      </c>
      <c r="K699">
        <v>0</v>
      </c>
      <c r="L699">
        <v>0</v>
      </c>
      <c r="M699">
        <v>0</v>
      </c>
      <c r="N699">
        <v>0</v>
      </c>
      <c r="P699">
        <v>69.099999999999994</v>
      </c>
      <c r="R699" t="str">
        <f t="shared" si="60"/>
        <v>Unique</v>
      </c>
      <c r="S699" t="str">
        <f t="shared" si="61"/>
        <v>Valid</v>
      </c>
      <c r="T699" t="str">
        <f t="shared" si="62"/>
        <v>Valid</v>
      </c>
      <c r="U699" t="str">
        <f t="shared" si="63"/>
        <v>Valid</v>
      </c>
      <c r="V699" t="str">
        <f t="shared" si="64"/>
        <v>Valid</v>
      </c>
      <c r="W699" t="str">
        <f t="shared" si="65"/>
        <v>Valid</v>
      </c>
    </row>
    <row r="700" spans="1:23">
      <c r="A700" t="s">
        <v>731</v>
      </c>
      <c r="B700" s="2">
        <v>45745</v>
      </c>
      <c r="C700" t="s">
        <v>723</v>
      </c>
      <c r="D700" t="s">
        <v>23</v>
      </c>
      <c r="E700" t="s">
        <v>19</v>
      </c>
      <c r="F700" t="s">
        <v>29</v>
      </c>
      <c r="G700" t="s">
        <v>30</v>
      </c>
      <c r="H700">
        <v>1</v>
      </c>
      <c r="I700">
        <v>0</v>
      </c>
      <c r="J700">
        <v>0</v>
      </c>
      <c r="K700">
        <v>0</v>
      </c>
      <c r="L700">
        <v>0</v>
      </c>
      <c r="M700">
        <v>1</v>
      </c>
      <c r="N700">
        <v>0</v>
      </c>
      <c r="P700">
        <v>37.700000000000003</v>
      </c>
      <c r="R700" t="str">
        <f t="shared" si="60"/>
        <v>Unique</v>
      </c>
      <c r="S700" t="str">
        <f t="shared" si="61"/>
        <v>Valid</v>
      </c>
      <c r="T700" t="str">
        <f t="shared" si="62"/>
        <v>Valid</v>
      </c>
      <c r="U700" t="str">
        <f t="shared" si="63"/>
        <v>Valid</v>
      </c>
      <c r="V700" t="str">
        <f t="shared" si="64"/>
        <v>Valid</v>
      </c>
      <c r="W700" t="str">
        <f t="shared" si="65"/>
        <v>Valid</v>
      </c>
    </row>
    <row r="701" spans="1:23">
      <c r="A701" t="s">
        <v>732</v>
      </c>
      <c r="B701" s="2">
        <v>45733</v>
      </c>
      <c r="C701" t="s">
        <v>723</v>
      </c>
      <c r="D701" t="s">
        <v>23</v>
      </c>
      <c r="E701" t="s">
        <v>19</v>
      </c>
      <c r="F701" t="s">
        <v>25</v>
      </c>
      <c r="G701" t="s">
        <v>21</v>
      </c>
      <c r="H701">
        <v>1</v>
      </c>
      <c r="I701">
        <v>0</v>
      </c>
      <c r="J701">
        <v>0</v>
      </c>
      <c r="K701">
        <v>0</v>
      </c>
      <c r="L701">
        <v>0</v>
      </c>
      <c r="M701">
        <v>1</v>
      </c>
      <c r="N701">
        <v>0</v>
      </c>
      <c r="P701">
        <v>60.8</v>
      </c>
      <c r="R701" t="str">
        <f t="shared" si="60"/>
        <v>Unique</v>
      </c>
      <c r="S701" t="str">
        <f t="shared" si="61"/>
        <v>Valid</v>
      </c>
      <c r="T701" t="str">
        <f t="shared" si="62"/>
        <v>Valid</v>
      </c>
      <c r="U701" t="str">
        <f t="shared" si="63"/>
        <v>Valid</v>
      </c>
      <c r="V701" t="str">
        <f t="shared" si="64"/>
        <v>Valid</v>
      </c>
      <c r="W701" t="str">
        <f t="shared" si="65"/>
        <v>Valid</v>
      </c>
    </row>
    <row r="702" spans="1:23">
      <c r="A702" t="s">
        <v>733</v>
      </c>
      <c r="B702" s="2">
        <v>45782</v>
      </c>
      <c r="C702" t="s">
        <v>723</v>
      </c>
      <c r="D702" t="s">
        <v>18</v>
      </c>
      <c r="E702" t="s">
        <v>24</v>
      </c>
      <c r="F702" t="s">
        <v>25</v>
      </c>
      <c r="G702" t="s">
        <v>26</v>
      </c>
      <c r="H702">
        <v>1</v>
      </c>
      <c r="I702">
        <v>1</v>
      </c>
      <c r="J702">
        <v>1</v>
      </c>
      <c r="K702">
        <v>1</v>
      </c>
      <c r="L702">
        <v>444.13</v>
      </c>
      <c r="M702">
        <v>0</v>
      </c>
      <c r="N702">
        <v>0</v>
      </c>
      <c r="O702">
        <v>10</v>
      </c>
      <c r="P702">
        <v>80.7</v>
      </c>
      <c r="R702" t="str">
        <f t="shared" si="60"/>
        <v>Unique</v>
      </c>
      <c r="S702" t="str">
        <f t="shared" si="61"/>
        <v>Valid</v>
      </c>
      <c r="T702" t="str">
        <f t="shared" si="62"/>
        <v>Valid</v>
      </c>
      <c r="U702" t="str">
        <f t="shared" si="63"/>
        <v>Valid</v>
      </c>
      <c r="V702" t="str">
        <f t="shared" si="64"/>
        <v>Valid</v>
      </c>
      <c r="W702" t="str">
        <f t="shared" si="65"/>
        <v>Valid</v>
      </c>
    </row>
    <row r="703" spans="1:23">
      <c r="A703" t="s">
        <v>734</v>
      </c>
      <c r="B703" s="2">
        <v>45781</v>
      </c>
      <c r="C703" t="s">
        <v>723</v>
      </c>
      <c r="D703" t="s">
        <v>32</v>
      </c>
      <c r="E703" t="s">
        <v>24</v>
      </c>
      <c r="F703" t="s">
        <v>41</v>
      </c>
      <c r="G703" t="s">
        <v>26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P703">
        <v>69.2</v>
      </c>
      <c r="R703" t="str">
        <f t="shared" si="60"/>
        <v>Unique</v>
      </c>
      <c r="S703" t="str">
        <f t="shared" si="61"/>
        <v>Valid</v>
      </c>
      <c r="T703" t="str">
        <f t="shared" si="62"/>
        <v>Valid</v>
      </c>
      <c r="U703" t="str">
        <f t="shared" si="63"/>
        <v>Valid</v>
      </c>
      <c r="V703" t="str">
        <f t="shared" si="64"/>
        <v>Valid</v>
      </c>
      <c r="W703" t="str">
        <f t="shared" si="65"/>
        <v>Valid</v>
      </c>
    </row>
    <row r="704" spans="1:23">
      <c r="A704" t="s">
        <v>735</v>
      </c>
      <c r="B704" s="2">
        <v>45741</v>
      </c>
      <c r="C704" t="s">
        <v>723</v>
      </c>
      <c r="D704" t="s">
        <v>18</v>
      </c>
      <c r="E704" t="s">
        <v>24</v>
      </c>
      <c r="F704" t="s">
        <v>41</v>
      </c>
      <c r="G704" t="s">
        <v>30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3</v>
      </c>
      <c r="N704">
        <v>0</v>
      </c>
      <c r="P704">
        <v>55</v>
      </c>
      <c r="R704" t="str">
        <f t="shared" si="60"/>
        <v>Unique</v>
      </c>
      <c r="S704" t="str">
        <f t="shared" si="61"/>
        <v>Valid</v>
      </c>
      <c r="T704" t="str">
        <f t="shared" si="62"/>
        <v>Valid</v>
      </c>
      <c r="U704" t="str">
        <f t="shared" si="63"/>
        <v>Valid</v>
      </c>
      <c r="V704" t="str">
        <f t="shared" si="64"/>
        <v>Valid</v>
      </c>
      <c r="W704" t="str">
        <f t="shared" si="65"/>
        <v>Valid</v>
      </c>
    </row>
    <row r="705" spans="1:23">
      <c r="A705" t="s">
        <v>736</v>
      </c>
      <c r="B705" s="2">
        <v>45764</v>
      </c>
      <c r="C705" t="s">
        <v>723</v>
      </c>
      <c r="D705" t="s">
        <v>23</v>
      </c>
      <c r="E705" t="s">
        <v>24</v>
      </c>
      <c r="F705" t="s">
        <v>20</v>
      </c>
      <c r="G705" t="s">
        <v>26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1</v>
      </c>
      <c r="N705">
        <v>0</v>
      </c>
      <c r="P705">
        <v>73.599999999999994</v>
      </c>
      <c r="R705" t="str">
        <f t="shared" si="60"/>
        <v>Unique</v>
      </c>
      <c r="S705" t="str">
        <f t="shared" si="61"/>
        <v>Valid</v>
      </c>
      <c r="T705" t="str">
        <f t="shared" si="62"/>
        <v>Valid</v>
      </c>
      <c r="U705" t="str">
        <f t="shared" si="63"/>
        <v>Valid</v>
      </c>
      <c r="V705" t="str">
        <f t="shared" si="64"/>
        <v>Valid</v>
      </c>
      <c r="W705" t="str">
        <f t="shared" si="65"/>
        <v>Valid</v>
      </c>
    </row>
    <row r="706" spans="1:23">
      <c r="A706" t="s">
        <v>737</v>
      </c>
      <c r="B706" s="2">
        <v>45800</v>
      </c>
      <c r="C706" t="s">
        <v>723</v>
      </c>
      <c r="D706" t="s">
        <v>32</v>
      </c>
      <c r="E706" t="s">
        <v>24</v>
      </c>
      <c r="F706" t="s">
        <v>39</v>
      </c>
      <c r="G706" t="s">
        <v>21</v>
      </c>
      <c r="H706">
        <v>1</v>
      </c>
      <c r="I706">
        <v>1</v>
      </c>
      <c r="J706">
        <v>1</v>
      </c>
      <c r="K706">
        <v>0</v>
      </c>
      <c r="L706">
        <v>0</v>
      </c>
      <c r="M706">
        <v>1</v>
      </c>
      <c r="N706">
        <v>0</v>
      </c>
      <c r="P706">
        <v>47.3</v>
      </c>
      <c r="R706" t="str">
        <f t="shared" si="60"/>
        <v>Unique</v>
      </c>
      <c r="S706" t="str">
        <f t="shared" si="61"/>
        <v>Valid</v>
      </c>
      <c r="T706" t="str">
        <f t="shared" si="62"/>
        <v>Valid</v>
      </c>
      <c r="U706" t="str">
        <f t="shared" si="63"/>
        <v>Valid</v>
      </c>
      <c r="V706" t="str">
        <f t="shared" si="64"/>
        <v>Valid</v>
      </c>
      <c r="W706" t="str">
        <f t="shared" si="65"/>
        <v>Valid</v>
      </c>
    </row>
    <row r="707" spans="1:23">
      <c r="A707" t="s">
        <v>738</v>
      </c>
      <c r="B707" s="2">
        <v>45670</v>
      </c>
      <c r="C707" t="s">
        <v>723</v>
      </c>
      <c r="D707" t="s">
        <v>18</v>
      </c>
      <c r="E707" t="s">
        <v>24</v>
      </c>
      <c r="F707" t="s">
        <v>25</v>
      </c>
      <c r="G707" t="s">
        <v>21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P707">
        <v>43.6</v>
      </c>
      <c r="R707" t="str">
        <f t="shared" ref="R707:R770" si="66">IF(COUNTIF($A:$A,A707)&gt;1,"Duplicate","Unique")</f>
        <v>Unique</v>
      </c>
      <c r="S707" t="str">
        <f t="shared" ref="S707:S770" si="67">IF(OR(H707=0,H707=1),"Valid","Invalid")</f>
        <v>Valid</v>
      </c>
      <c r="T707" t="str">
        <f t="shared" ref="T707:T770" si="68">IF(OR(I707=0,I707=1),"Valid","Invalid")</f>
        <v>Valid</v>
      </c>
      <c r="U707" t="str">
        <f t="shared" ref="U707:U770" si="69">IF(OR(J707=0,J707=1),"Valid","Invalid")</f>
        <v>Valid</v>
      </c>
      <c r="V707" t="str">
        <f t="shared" ref="V707:V770" si="70">IF(OR(K707=0,K707=1),"Valid","Invalid")</f>
        <v>Valid</v>
      </c>
      <c r="W707" t="str">
        <f t="shared" ref="W707:W770" si="71">IF(OR(N707=0,N707=1),"Valid","Invalid")</f>
        <v>Valid</v>
      </c>
    </row>
    <row r="708" spans="1:23">
      <c r="A708" t="s">
        <v>739</v>
      </c>
      <c r="B708" s="2">
        <v>45686</v>
      </c>
      <c r="C708" t="s">
        <v>723</v>
      </c>
      <c r="D708" t="s">
        <v>18</v>
      </c>
      <c r="E708" t="s">
        <v>19</v>
      </c>
      <c r="F708" t="s">
        <v>25</v>
      </c>
      <c r="G708" t="s">
        <v>21</v>
      </c>
      <c r="H708">
        <v>1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P708">
        <v>60.02</v>
      </c>
      <c r="R708" t="str">
        <f t="shared" si="66"/>
        <v>Unique</v>
      </c>
      <c r="S708" t="str">
        <f t="shared" si="67"/>
        <v>Valid</v>
      </c>
      <c r="T708" t="str">
        <f t="shared" si="68"/>
        <v>Valid</v>
      </c>
      <c r="U708" t="str">
        <f t="shared" si="69"/>
        <v>Valid</v>
      </c>
      <c r="V708" t="str">
        <f t="shared" si="70"/>
        <v>Valid</v>
      </c>
      <c r="W708" t="str">
        <f t="shared" si="71"/>
        <v>Valid</v>
      </c>
    </row>
    <row r="709" spans="1:23">
      <c r="A709" t="s">
        <v>740</v>
      </c>
      <c r="B709" s="2">
        <v>45788</v>
      </c>
      <c r="C709" t="s">
        <v>723</v>
      </c>
      <c r="D709" t="s">
        <v>32</v>
      </c>
      <c r="E709" t="s">
        <v>24</v>
      </c>
      <c r="F709" t="s">
        <v>20</v>
      </c>
      <c r="G709" t="s">
        <v>26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P709">
        <v>55.2</v>
      </c>
      <c r="R709" t="str">
        <f t="shared" si="66"/>
        <v>Unique</v>
      </c>
      <c r="S709" t="str">
        <f t="shared" si="67"/>
        <v>Valid</v>
      </c>
      <c r="T709" t="str">
        <f t="shared" si="68"/>
        <v>Valid</v>
      </c>
      <c r="U709" t="str">
        <f t="shared" si="69"/>
        <v>Valid</v>
      </c>
      <c r="V709" t="str">
        <f t="shared" si="70"/>
        <v>Valid</v>
      </c>
      <c r="W709" t="str">
        <f t="shared" si="71"/>
        <v>Valid</v>
      </c>
    </row>
    <row r="710" spans="1:23">
      <c r="A710" t="s">
        <v>741</v>
      </c>
      <c r="B710" s="2">
        <v>45769</v>
      </c>
      <c r="C710" t="s">
        <v>723</v>
      </c>
      <c r="D710" t="s">
        <v>32</v>
      </c>
      <c r="E710" t="s">
        <v>24</v>
      </c>
      <c r="F710" t="s">
        <v>25</v>
      </c>
      <c r="G710" t="s">
        <v>21</v>
      </c>
      <c r="H710">
        <v>1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P710">
        <v>49.4</v>
      </c>
      <c r="R710" t="str">
        <f t="shared" si="66"/>
        <v>Unique</v>
      </c>
      <c r="S710" t="str">
        <f t="shared" si="67"/>
        <v>Valid</v>
      </c>
      <c r="T710" t="str">
        <f t="shared" si="68"/>
        <v>Valid</v>
      </c>
      <c r="U710" t="str">
        <f t="shared" si="69"/>
        <v>Valid</v>
      </c>
      <c r="V710" t="str">
        <f t="shared" si="70"/>
        <v>Valid</v>
      </c>
      <c r="W710" t="str">
        <f t="shared" si="71"/>
        <v>Valid</v>
      </c>
    </row>
    <row r="711" spans="1:23">
      <c r="A711" t="s">
        <v>742</v>
      </c>
      <c r="B711" s="2">
        <v>45719</v>
      </c>
      <c r="C711" t="s">
        <v>723</v>
      </c>
      <c r="D711" t="s">
        <v>32</v>
      </c>
      <c r="E711" t="s">
        <v>24</v>
      </c>
      <c r="F711" t="s">
        <v>41</v>
      </c>
      <c r="G711" t="s">
        <v>26</v>
      </c>
      <c r="H711">
        <v>1</v>
      </c>
      <c r="I711">
        <v>1</v>
      </c>
      <c r="J711">
        <v>1</v>
      </c>
      <c r="K711">
        <v>0</v>
      </c>
      <c r="L711">
        <v>0</v>
      </c>
      <c r="M711">
        <v>1</v>
      </c>
      <c r="N711">
        <v>0</v>
      </c>
      <c r="P711">
        <v>60.1</v>
      </c>
      <c r="R711" t="str">
        <f t="shared" si="66"/>
        <v>Unique</v>
      </c>
      <c r="S711" t="str">
        <f t="shared" si="67"/>
        <v>Valid</v>
      </c>
      <c r="T711" t="str">
        <f t="shared" si="68"/>
        <v>Valid</v>
      </c>
      <c r="U711" t="str">
        <f t="shared" si="69"/>
        <v>Valid</v>
      </c>
      <c r="V711" t="str">
        <f t="shared" si="70"/>
        <v>Valid</v>
      </c>
      <c r="W711" t="str">
        <f t="shared" si="71"/>
        <v>Valid</v>
      </c>
    </row>
    <row r="712" spans="1:23">
      <c r="A712" t="s">
        <v>743</v>
      </c>
      <c r="B712" s="2">
        <v>45734</v>
      </c>
      <c r="C712" t="s">
        <v>723</v>
      </c>
      <c r="D712" t="s">
        <v>18</v>
      </c>
      <c r="E712" t="s">
        <v>24</v>
      </c>
      <c r="F712" t="s">
        <v>39</v>
      </c>
      <c r="G712" t="s">
        <v>26</v>
      </c>
      <c r="H712">
        <v>1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P712">
        <v>55.9</v>
      </c>
      <c r="R712" t="str">
        <f t="shared" si="66"/>
        <v>Unique</v>
      </c>
      <c r="S712" t="str">
        <f t="shared" si="67"/>
        <v>Valid</v>
      </c>
      <c r="T712" t="str">
        <f t="shared" si="68"/>
        <v>Valid</v>
      </c>
      <c r="U712" t="str">
        <f t="shared" si="69"/>
        <v>Valid</v>
      </c>
      <c r="V712" t="str">
        <f t="shared" si="70"/>
        <v>Valid</v>
      </c>
      <c r="W712" t="str">
        <f t="shared" si="71"/>
        <v>Valid</v>
      </c>
    </row>
    <row r="713" spans="1:23">
      <c r="A713" t="s">
        <v>744</v>
      </c>
      <c r="B713" s="2">
        <v>45752</v>
      </c>
      <c r="C713" t="s">
        <v>723</v>
      </c>
      <c r="D713" t="s">
        <v>18</v>
      </c>
      <c r="E713" t="s">
        <v>24</v>
      </c>
      <c r="F713" t="s">
        <v>25</v>
      </c>
      <c r="G713" t="s">
        <v>21</v>
      </c>
      <c r="H713">
        <v>1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P713">
        <v>51.5</v>
      </c>
      <c r="R713" t="str">
        <f t="shared" si="66"/>
        <v>Unique</v>
      </c>
      <c r="S713" t="str">
        <f t="shared" si="67"/>
        <v>Valid</v>
      </c>
      <c r="T713" t="str">
        <f t="shared" si="68"/>
        <v>Valid</v>
      </c>
      <c r="U713" t="str">
        <f t="shared" si="69"/>
        <v>Valid</v>
      </c>
      <c r="V713" t="str">
        <f t="shared" si="70"/>
        <v>Valid</v>
      </c>
      <c r="W713" t="str">
        <f t="shared" si="71"/>
        <v>Valid</v>
      </c>
    </row>
    <row r="714" spans="1:23">
      <c r="A714" t="s">
        <v>745</v>
      </c>
      <c r="B714" s="2">
        <v>45763</v>
      </c>
      <c r="C714" t="s">
        <v>723</v>
      </c>
      <c r="D714" t="s">
        <v>28</v>
      </c>
      <c r="E714" t="s">
        <v>24</v>
      </c>
      <c r="F714" t="s">
        <v>25</v>
      </c>
      <c r="G714" t="s">
        <v>26</v>
      </c>
      <c r="H714">
        <v>1</v>
      </c>
      <c r="I714">
        <v>1</v>
      </c>
      <c r="J714">
        <v>1</v>
      </c>
      <c r="K714">
        <v>1</v>
      </c>
      <c r="L714">
        <v>516.66999999999996</v>
      </c>
      <c r="M714">
        <v>0</v>
      </c>
      <c r="N714">
        <v>0</v>
      </c>
      <c r="O714">
        <v>11</v>
      </c>
      <c r="P714">
        <v>57.9</v>
      </c>
      <c r="R714" t="str">
        <f t="shared" si="66"/>
        <v>Unique</v>
      </c>
      <c r="S714" t="str">
        <f t="shared" si="67"/>
        <v>Valid</v>
      </c>
      <c r="T714" t="str">
        <f t="shared" si="68"/>
        <v>Valid</v>
      </c>
      <c r="U714" t="str">
        <f t="shared" si="69"/>
        <v>Valid</v>
      </c>
      <c r="V714" t="str">
        <f t="shared" si="70"/>
        <v>Valid</v>
      </c>
      <c r="W714" t="str">
        <f t="shared" si="71"/>
        <v>Valid</v>
      </c>
    </row>
    <row r="715" spans="1:23">
      <c r="A715" t="s">
        <v>746</v>
      </c>
      <c r="B715" s="2">
        <v>45767</v>
      </c>
      <c r="C715" t="s">
        <v>723</v>
      </c>
      <c r="D715" t="s">
        <v>32</v>
      </c>
      <c r="E715" t="s">
        <v>24</v>
      </c>
      <c r="F715" t="s">
        <v>39</v>
      </c>
      <c r="G715" t="s">
        <v>26</v>
      </c>
      <c r="H715">
        <v>1</v>
      </c>
      <c r="I715">
        <v>1</v>
      </c>
      <c r="J715">
        <v>1</v>
      </c>
      <c r="K715">
        <v>1</v>
      </c>
      <c r="L715">
        <v>277.18</v>
      </c>
      <c r="M715">
        <v>2</v>
      </c>
      <c r="N715">
        <v>0</v>
      </c>
      <c r="O715">
        <v>8</v>
      </c>
      <c r="P715">
        <v>59.2</v>
      </c>
      <c r="R715" t="str">
        <f t="shared" si="66"/>
        <v>Unique</v>
      </c>
      <c r="S715" t="str">
        <f t="shared" si="67"/>
        <v>Valid</v>
      </c>
      <c r="T715" t="str">
        <f t="shared" si="68"/>
        <v>Valid</v>
      </c>
      <c r="U715" t="str">
        <f t="shared" si="69"/>
        <v>Valid</v>
      </c>
      <c r="V715" t="str">
        <f t="shared" si="70"/>
        <v>Valid</v>
      </c>
      <c r="W715" t="str">
        <f t="shared" si="71"/>
        <v>Valid</v>
      </c>
    </row>
    <row r="716" spans="1:23">
      <c r="A716" t="s">
        <v>747</v>
      </c>
      <c r="B716" s="2">
        <v>45703</v>
      </c>
      <c r="C716" t="s">
        <v>723</v>
      </c>
      <c r="D716" t="s">
        <v>32</v>
      </c>
      <c r="E716" t="s">
        <v>24</v>
      </c>
      <c r="F716" t="s">
        <v>25</v>
      </c>
      <c r="G716" t="s">
        <v>26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P716">
        <v>64.2</v>
      </c>
      <c r="R716" t="str">
        <f t="shared" si="66"/>
        <v>Unique</v>
      </c>
      <c r="S716" t="str">
        <f t="shared" si="67"/>
        <v>Valid</v>
      </c>
      <c r="T716" t="str">
        <f t="shared" si="68"/>
        <v>Valid</v>
      </c>
      <c r="U716" t="str">
        <f t="shared" si="69"/>
        <v>Valid</v>
      </c>
      <c r="V716" t="str">
        <f t="shared" si="70"/>
        <v>Valid</v>
      </c>
      <c r="W716" t="str">
        <f t="shared" si="71"/>
        <v>Valid</v>
      </c>
    </row>
    <row r="717" spans="1:23">
      <c r="A717" t="s">
        <v>748</v>
      </c>
      <c r="B717" s="2">
        <v>45678</v>
      </c>
      <c r="C717" t="s">
        <v>723</v>
      </c>
      <c r="D717" t="s">
        <v>32</v>
      </c>
      <c r="E717" t="s">
        <v>24</v>
      </c>
      <c r="F717" t="s">
        <v>25</v>
      </c>
      <c r="G717" t="s">
        <v>26</v>
      </c>
      <c r="H717">
        <v>1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P717">
        <v>68.8</v>
      </c>
      <c r="R717" t="str">
        <f t="shared" si="66"/>
        <v>Unique</v>
      </c>
      <c r="S717" t="str">
        <f t="shared" si="67"/>
        <v>Valid</v>
      </c>
      <c r="T717" t="str">
        <f t="shared" si="68"/>
        <v>Valid</v>
      </c>
      <c r="U717" t="str">
        <f t="shared" si="69"/>
        <v>Valid</v>
      </c>
      <c r="V717" t="str">
        <f t="shared" si="70"/>
        <v>Valid</v>
      </c>
      <c r="W717" t="str">
        <f t="shared" si="71"/>
        <v>Valid</v>
      </c>
    </row>
    <row r="718" spans="1:23">
      <c r="A718" t="s">
        <v>749</v>
      </c>
      <c r="B718" s="2">
        <v>45800</v>
      </c>
      <c r="C718" t="s">
        <v>723</v>
      </c>
      <c r="D718" t="s">
        <v>18</v>
      </c>
      <c r="E718" t="s">
        <v>24</v>
      </c>
      <c r="F718" t="s">
        <v>29</v>
      </c>
      <c r="G718" t="s">
        <v>30</v>
      </c>
      <c r="H718">
        <v>1</v>
      </c>
      <c r="I718">
        <v>1</v>
      </c>
      <c r="J718">
        <v>1</v>
      </c>
      <c r="K718">
        <v>0</v>
      </c>
      <c r="L718">
        <v>0</v>
      </c>
      <c r="M718">
        <v>0</v>
      </c>
      <c r="N718">
        <v>0</v>
      </c>
      <c r="P718">
        <v>77.900000000000006</v>
      </c>
      <c r="R718" t="str">
        <f t="shared" si="66"/>
        <v>Unique</v>
      </c>
      <c r="S718" t="str">
        <f t="shared" si="67"/>
        <v>Valid</v>
      </c>
      <c r="T718" t="str">
        <f t="shared" si="68"/>
        <v>Valid</v>
      </c>
      <c r="U718" t="str">
        <f t="shared" si="69"/>
        <v>Valid</v>
      </c>
      <c r="V718" t="str">
        <f t="shared" si="70"/>
        <v>Valid</v>
      </c>
      <c r="W718" t="str">
        <f t="shared" si="71"/>
        <v>Valid</v>
      </c>
    </row>
    <row r="719" spans="1:23">
      <c r="A719" t="s">
        <v>750</v>
      </c>
      <c r="B719" s="2">
        <v>45679</v>
      </c>
      <c r="C719" t="s">
        <v>723</v>
      </c>
      <c r="D719" t="s">
        <v>23</v>
      </c>
      <c r="E719" t="s">
        <v>24</v>
      </c>
      <c r="F719" t="s">
        <v>29</v>
      </c>
      <c r="G719" t="s">
        <v>21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P719">
        <v>92.1</v>
      </c>
      <c r="R719" t="str">
        <f t="shared" si="66"/>
        <v>Unique</v>
      </c>
      <c r="S719" t="str">
        <f t="shared" si="67"/>
        <v>Valid</v>
      </c>
      <c r="T719" t="str">
        <f t="shared" si="68"/>
        <v>Valid</v>
      </c>
      <c r="U719" t="str">
        <f t="shared" si="69"/>
        <v>Valid</v>
      </c>
      <c r="V719" t="str">
        <f t="shared" si="70"/>
        <v>Valid</v>
      </c>
      <c r="W719" t="str">
        <f t="shared" si="71"/>
        <v>Valid</v>
      </c>
    </row>
    <row r="720" spans="1:23">
      <c r="A720" t="s">
        <v>751</v>
      </c>
      <c r="B720" s="2">
        <v>45771</v>
      </c>
      <c r="C720" t="s">
        <v>723</v>
      </c>
      <c r="D720" t="s">
        <v>23</v>
      </c>
      <c r="E720" t="s">
        <v>24</v>
      </c>
      <c r="F720" t="s">
        <v>29</v>
      </c>
      <c r="G720" t="s">
        <v>30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P720">
        <v>63.6</v>
      </c>
      <c r="R720" t="str">
        <f t="shared" si="66"/>
        <v>Unique</v>
      </c>
      <c r="S720" t="str">
        <f t="shared" si="67"/>
        <v>Valid</v>
      </c>
      <c r="T720" t="str">
        <f t="shared" si="68"/>
        <v>Valid</v>
      </c>
      <c r="U720" t="str">
        <f t="shared" si="69"/>
        <v>Valid</v>
      </c>
      <c r="V720" t="str">
        <f t="shared" si="70"/>
        <v>Valid</v>
      </c>
      <c r="W720" t="str">
        <f t="shared" si="71"/>
        <v>Valid</v>
      </c>
    </row>
    <row r="721" spans="1:23">
      <c r="A721" t="s">
        <v>752</v>
      </c>
      <c r="B721" s="2">
        <v>45674</v>
      </c>
      <c r="C721" t="s">
        <v>723</v>
      </c>
      <c r="D721" t="s">
        <v>23</v>
      </c>
      <c r="E721" t="s">
        <v>19</v>
      </c>
      <c r="F721" t="s">
        <v>20</v>
      </c>
      <c r="G721" t="s">
        <v>26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2</v>
      </c>
      <c r="N721">
        <v>0</v>
      </c>
      <c r="P721">
        <v>61.6</v>
      </c>
      <c r="R721" t="str">
        <f t="shared" si="66"/>
        <v>Unique</v>
      </c>
      <c r="S721" t="str">
        <f t="shared" si="67"/>
        <v>Valid</v>
      </c>
      <c r="T721" t="str">
        <f t="shared" si="68"/>
        <v>Valid</v>
      </c>
      <c r="U721" t="str">
        <f t="shared" si="69"/>
        <v>Valid</v>
      </c>
      <c r="V721" t="str">
        <f t="shared" si="70"/>
        <v>Valid</v>
      </c>
      <c r="W721" t="str">
        <f t="shared" si="71"/>
        <v>Valid</v>
      </c>
    </row>
    <row r="722" spans="1:23">
      <c r="A722" t="s">
        <v>753</v>
      </c>
      <c r="B722" s="2">
        <v>45679</v>
      </c>
      <c r="C722" t="s">
        <v>723</v>
      </c>
      <c r="D722" t="s">
        <v>28</v>
      </c>
      <c r="E722" t="s">
        <v>24</v>
      </c>
      <c r="F722" t="s">
        <v>39</v>
      </c>
      <c r="G722" t="s">
        <v>21</v>
      </c>
      <c r="H722">
        <v>1</v>
      </c>
      <c r="I722">
        <v>1</v>
      </c>
      <c r="J722">
        <v>0</v>
      </c>
      <c r="K722">
        <v>0</v>
      </c>
      <c r="L722">
        <v>0</v>
      </c>
      <c r="M722">
        <v>0</v>
      </c>
      <c r="N722">
        <v>0</v>
      </c>
      <c r="P722">
        <v>82.3</v>
      </c>
      <c r="R722" t="str">
        <f t="shared" si="66"/>
        <v>Unique</v>
      </c>
      <c r="S722" t="str">
        <f t="shared" si="67"/>
        <v>Valid</v>
      </c>
      <c r="T722" t="str">
        <f t="shared" si="68"/>
        <v>Valid</v>
      </c>
      <c r="U722" t="str">
        <f t="shared" si="69"/>
        <v>Valid</v>
      </c>
      <c r="V722" t="str">
        <f t="shared" si="70"/>
        <v>Valid</v>
      </c>
      <c r="W722" t="str">
        <f t="shared" si="71"/>
        <v>Valid</v>
      </c>
    </row>
    <row r="723" spans="1:23">
      <c r="A723" t="s">
        <v>754</v>
      </c>
      <c r="B723" s="2">
        <v>45781</v>
      </c>
      <c r="C723" t="s">
        <v>723</v>
      </c>
      <c r="D723" t="s">
        <v>28</v>
      </c>
      <c r="E723" t="s">
        <v>19</v>
      </c>
      <c r="F723" t="s">
        <v>29</v>
      </c>
      <c r="G723" t="s">
        <v>26</v>
      </c>
      <c r="H723">
        <v>1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P723">
        <v>79.3</v>
      </c>
      <c r="R723" t="str">
        <f t="shared" si="66"/>
        <v>Unique</v>
      </c>
      <c r="S723" t="str">
        <f t="shared" si="67"/>
        <v>Valid</v>
      </c>
      <c r="T723" t="str">
        <f t="shared" si="68"/>
        <v>Valid</v>
      </c>
      <c r="U723" t="str">
        <f t="shared" si="69"/>
        <v>Valid</v>
      </c>
      <c r="V723" t="str">
        <f t="shared" si="70"/>
        <v>Valid</v>
      </c>
      <c r="W723" t="str">
        <f t="shared" si="71"/>
        <v>Valid</v>
      </c>
    </row>
    <row r="724" spans="1:23">
      <c r="A724" t="s">
        <v>755</v>
      </c>
      <c r="B724" s="2">
        <v>45729</v>
      </c>
      <c r="C724" t="s">
        <v>723</v>
      </c>
      <c r="D724" t="s">
        <v>32</v>
      </c>
      <c r="E724" t="s">
        <v>24</v>
      </c>
      <c r="F724" t="s">
        <v>1451</v>
      </c>
      <c r="G724" t="s">
        <v>26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P724">
        <v>57.7</v>
      </c>
      <c r="R724" t="str">
        <f t="shared" si="66"/>
        <v>Unique</v>
      </c>
      <c r="S724" t="str">
        <f t="shared" si="67"/>
        <v>Valid</v>
      </c>
      <c r="T724" t="str">
        <f t="shared" si="68"/>
        <v>Valid</v>
      </c>
      <c r="U724" t="str">
        <f t="shared" si="69"/>
        <v>Valid</v>
      </c>
      <c r="V724" t="str">
        <f t="shared" si="70"/>
        <v>Valid</v>
      </c>
      <c r="W724" t="str">
        <f t="shared" si="71"/>
        <v>Valid</v>
      </c>
    </row>
    <row r="725" spans="1:23">
      <c r="A725" t="s">
        <v>756</v>
      </c>
      <c r="B725" s="2">
        <v>45659</v>
      </c>
      <c r="C725" t="s">
        <v>723</v>
      </c>
      <c r="D725" t="s">
        <v>18</v>
      </c>
      <c r="E725" t="s">
        <v>24</v>
      </c>
      <c r="F725" t="s">
        <v>25</v>
      </c>
      <c r="G725" t="s">
        <v>21</v>
      </c>
      <c r="H725">
        <v>1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P725">
        <v>63.1</v>
      </c>
      <c r="R725" t="str">
        <f t="shared" si="66"/>
        <v>Unique</v>
      </c>
      <c r="S725" t="str">
        <f t="shared" si="67"/>
        <v>Valid</v>
      </c>
      <c r="T725" t="str">
        <f t="shared" si="68"/>
        <v>Valid</v>
      </c>
      <c r="U725" t="str">
        <f t="shared" si="69"/>
        <v>Valid</v>
      </c>
      <c r="V725" t="str">
        <f t="shared" si="70"/>
        <v>Valid</v>
      </c>
      <c r="W725" t="str">
        <f t="shared" si="71"/>
        <v>Valid</v>
      </c>
    </row>
    <row r="726" spans="1:23">
      <c r="A726" t="s">
        <v>757</v>
      </c>
      <c r="B726" s="2">
        <v>45670</v>
      </c>
      <c r="C726" t="s">
        <v>723</v>
      </c>
      <c r="D726" t="s">
        <v>28</v>
      </c>
      <c r="E726" t="s">
        <v>24</v>
      </c>
      <c r="F726" t="s">
        <v>29</v>
      </c>
      <c r="G726" t="s">
        <v>21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P726">
        <v>72.3</v>
      </c>
      <c r="R726" t="str">
        <f t="shared" si="66"/>
        <v>Unique</v>
      </c>
      <c r="S726" t="str">
        <f t="shared" si="67"/>
        <v>Valid</v>
      </c>
      <c r="T726" t="str">
        <f t="shared" si="68"/>
        <v>Valid</v>
      </c>
      <c r="U726" t="str">
        <f t="shared" si="69"/>
        <v>Valid</v>
      </c>
      <c r="V726" t="str">
        <f t="shared" si="70"/>
        <v>Valid</v>
      </c>
      <c r="W726" t="str">
        <f t="shared" si="71"/>
        <v>Valid</v>
      </c>
    </row>
    <row r="727" spans="1:23">
      <c r="A727" t="s">
        <v>758</v>
      </c>
      <c r="B727" s="2">
        <v>45697</v>
      </c>
      <c r="C727" t="s">
        <v>723</v>
      </c>
      <c r="D727" t="s">
        <v>28</v>
      </c>
      <c r="E727" t="s">
        <v>24</v>
      </c>
      <c r="F727" t="s">
        <v>41</v>
      </c>
      <c r="G727" t="s">
        <v>26</v>
      </c>
      <c r="H727">
        <v>1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P727">
        <v>78</v>
      </c>
      <c r="R727" t="str">
        <f t="shared" si="66"/>
        <v>Unique</v>
      </c>
      <c r="S727" t="str">
        <f t="shared" si="67"/>
        <v>Valid</v>
      </c>
      <c r="T727" t="str">
        <f t="shared" si="68"/>
        <v>Valid</v>
      </c>
      <c r="U727" t="str">
        <f t="shared" si="69"/>
        <v>Valid</v>
      </c>
      <c r="V727" t="str">
        <f t="shared" si="70"/>
        <v>Valid</v>
      </c>
      <c r="W727" t="str">
        <f t="shared" si="71"/>
        <v>Valid</v>
      </c>
    </row>
    <row r="728" spans="1:23">
      <c r="A728" t="s">
        <v>759</v>
      </c>
      <c r="B728" s="2">
        <v>45756</v>
      </c>
      <c r="C728" t="s">
        <v>723</v>
      </c>
      <c r="D728" t="s">
        <v>28</v>
      </c>
      <c r="E728" t="s">
        <v>19</v>
      </c>
      <c r="F728" t="s">
        <v>41</v>
      </c>
      <c r="G728" t="s">
        <v>26</v>
      </c>
      <c r="H728">
        <v>1</v>
      </c>
      <c r="I728">
        <v>1</v>
      </c>
      <c r="J728">
        <v>0</v>
      </c>
      <c r="K728">
        <v>0</v>
      </c>
      <c r="L728">
        <v>0</v>
      </c>
      <c r="M728">
        <v>2</v>
      </c>
      <c r="N728">
        <v>0</v>
      </c>
      <c r="P728">
        <v>59.1</v>
      </c>
      <c r="R728" t="str">
        <f t="shared" si="66"/>
        <v>Unique</v>
      </c>
      <c r="S728" t="str">
        <f t="shared" si="67"/>
        <v>Valid</v>
      </c>
      <c r="T728" t="str">
        <f t="shared" si="68"/>
        <v>Valid</v>
      </c>
      <c r="U728" t="str">
        <f t="shared" si="69"/>
        <v>Valid</v>
      </c>
      <c r="V728" t="str">
        <f t="shared" si="70"/>
        <v>Valid</v>
      </c>
      <c r="W728" t="str">
        <f t="shared" si="71"/>
        <v>Valid</v>
      </c>
    </row>
    <row r="729" spans="1:23">
      <c r="A729" t="s">
        <v>760</v>
      </c>
      <c r="B729" s="2">
        <v>45659</v>
      </c>
      <c r="C729" t="s">
        <v>723</v>
      </c>
      <c r="D729" t="s">
        <v>32</v>
      </c>
      <c r="E729" t="s">
        <v>24</v>
      </c>
      <c r="F729" t="s">
        <v>29</v>
      </c>
      <c r="G729" t="s">
        <v>26</v>
      </c>
      <c r="H729">
        <v>1</v>
      </c>
      <c r="I729">
        <v>1</v>
      </c>
      <c r="J729">
        <v>1</v>
      </c>
      <c r="K729">
        <v>1</v>
      </c>
      <c r="L729">
        <v>604.09</v>
      </c>
      <c r="M729">
        <v>0</v>
      </c>
      <c r="N729">
        <v>0</v>
      </c>
      <c r="O729">
        <v>7</v>
      </c>
      <c r="P729">
        <v>47.1</v>
      </c>
      <c r="R729" t="str">
        <f t="shared" si="66"/>
        <v>Unique</v>
      </c>
      <c r="S729" t="str">
        <f t="shared" si="67"/>
        <v>Valid</v>
      </c>
      <c r="T729" t="str">
        <f t="shared" si="68"/>
        <v>Valid</v>
      </c>
      <c r="U729" t="str">
        <f t="shared" si="69"/>
        <v>Valid</v>
      </c>
      <c r="V729" t="str">
        <f t="shared" si="70"/>
        <v>Valid</v>
      </c>
      <c r="W729" t="str">
        <f t="shared" si="71"/>
        <v>Valid</v>
      </c>
    </row>
    <row r="730" spans="1:23">
      <c r="A730" t="s">
        <v>761</v>
      </c>
      <c r="B730" s="2">
        <v>45692</v>
      </c>
      <c r="C730" t="s">
        <v>723</v>
      </c>
      <c r="D730" t="s">
        <v>32</v>
      </c>
      <c r="E730" t="s">
        <v>24</v>
      </c>
      <c r="F730" t="s">
        <v>1451</v>
      </c>
      <c r="G730" t="s">
        <v>30</v>
      </c>
      <c r="H730">
        <v>1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P730">
        <v>64.900000000000006</v>
      </c>
      <c r="R730" t="str">
        <f t="shared" si="66"/>
        <v>Unique</v>
      </c>
      <c r="S730" t="str">
        <f t="shared" si="67"/>
        <v>Valid</v>
      </c>
      <c r="T730" t="str">
        <f t="shared" si="68"/>
        <v>Valid</v>
      </c>
      <c r="U730" t="str">
        <f t="shared" si="69"/>
        <v>Valid</v>
      </c>
      <c r="V730" t="str">
        <f t="shared" si="70"/>
        <v>Valid</v>
      </c>
      <c r="W730" t="str">
        <f t="shared" si="71"/>
        <v>Valid</v>
      </c>
    </row>
    <row r="731" spans="1:23">
      <c r="A731" t="s">
        <v>762</v>
      </c>
      <c r="B731" s="2">
        <v>45707</v>
      </c>
      <c r="C731" t="s">
        <v>723</v>
      </c>
      <c r="D731" t="s">
        <v>32</v>
      </c>
      <c r="E731" t="s">
        <v>34</v>
      </c>
      <c r="F731" t="s">
        <v>29</v>
      </c>
      <c r="G731" t="s">
        <v>26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P731">
        <v>67.3</v>
      </c>
      <c r="R731" t="str">
        <f t="shared" si="66"/>
        <v>Unique</v>
      </c>
      <c r="S731" t="str">
        <f t="shared" si="67"/>
        <v>Valid</v>
      </c>
      <c r="T731" t="str">
        <f t="shared" si="68"/>
        <v>Valid</v>
      </c>
      <c r="U731" t="str">
        <f t="shared" si="69"/>
        <v>Valid</v>
      </c>
      <c r="V731" t="str">
        <f t="shared" si="70"/>
        <v>Valid</v>
      </c>
      <c r="W731" t="str">
        <f t="shared" si="71"/>
        <v>Valid</v>
      </c>
    </row>
    <row r="732" spans="1:23">
      <c r="A732" t="s">
        <v>763</v>
      </c>
      <c r="B732" s="2">
        <v>45748</v>
      </c>
      <c r="C732" t="s">
        <v>723</v>
      </c>
      <c r="D732" t="s">
        <v>28</v>
      </c>
      <c r="E732" t="s">
        <v>24</v>
      </c>
      <c r="F732" t="s">
        <v>29</v>
      </c>
      <c r="G732" t="s">
        <v>21</v>
      </c>
      <c r="H732">
        <v>1</v>
      </c>
      <c r="I732">
        <v>0</v>
      </c>
      <c r="J732">
        <v>0</v>
      </c>
      <c r="K732">
        <v>0</v>
      </c>
      <c r="L732">
        <v>0</v>
      </c>
      <c r="M732">
        <v>2</v>
      </c>
      <c r="N732">
        <v>0</v>
      </c>
      <c r="P732">
        <v>52.9</v>
      </c>
      <c r="R732" t="str">
        <f t="shared" si="66"/>
        <v>Unique</v>
      </c>
      <c r="S732" t="str">
        <f t="shared" si="67"/>
        <v>Valid</v>
      </c>
      <c r="T732" t="str">
        <f t="shared" si="68"/>
        <v>Valid</v>
      </c>
      <c r="U732" t="str">
        <f t="shared" si="69"/>
        <v>Valid</v>
      </c>
      <c r="V732" t="str">
        <f t="shared" si="70"/>
        <v>Valid</v>
      </c>
      <c r="W732" t="str">
        <f t="shared" si="71"/>
        <v>Valid</v>
      </c>
    </row>
    <row r="733" spans="1:23">
      <c r="A733" t="s">
        <v>764</v>
      </c>
      <c r="B733" s="2">
        <v>45686</v>
      </c>
      <c r="C733" t="s">
        <v>723</v>
      </c>
      <c r="D733" t="s">
        <v>18</v>
      </c>
      <c r="E733" t="s">
        <v>24</v>
      </c>
      <c r="F733" t="s">
        <v>39</v>
      </c>
      <c r="G733" t="s">
        <v>26</v>
      </c>
      <c r="H733">
        <v>1</v>
      </c>
      <c r="I733">
        <v>1</v>
      </c>
      <c r="J733">
        <v>1</v>
      </c>
      <c r="K733">
        <v>1</v>
      </c>
      <c r="L733">
        <v>442.37</v>
      </c>
      <c r="M733">
        <v>1</v>
      </c>
      <c r="N733">
        <v>0</v>
      </c>
      <c r="O733">
        <v>4</v>
      </c>
      <c r="P733">
        <v>69.900000000000006</v>
      </c>
      <c r="R733" t="str">
        <f t="shared" si="66"/>
        <v>Unique</v>
      </c>
      <c r="S733" t="str">
        <f t="shared" si="67"/>
        <v>Valid</v>
      </c>
      <c r="T733" t="str">
        <f t="shared" si="68"/>
        <v>Valid</v>
      </c>
      <c r="U733" t="str">
        <f t="shared" si="69"/>
        <v>Valid</v>
      </c>
      <c r="V733" t="str">
        <f t="shared" si="70"/>
        <v>Valid</v>
      </c>
      <c r="W733" t="str">
        <f t="shared" si="71"/>
        <v>Valid</v>
      </c>
    </row>
    <row r="734" spans="1:23">
      <c r="A734" t="s">
        <v>765</v>
      </c>
      <c r="B734" s="2">
        <v>45795</v>
      </c>
      <c r="C734" t="s">
        <v>723</v>
      </c>
      <c r="D734" t="s">
        <v>18</v>
      </c>
      <c r="E734" t="s">
        <v>24</v>
      </c>
      <c r="F734" t="s">
        <v>39</v>
      </c>
      <c r="G734" t="s">
        <v>21</v>
      </c>
      <c r="H734">
        <v>1</v>
      </c>
      <c r="I734">
        <v>1</v>
      </c>
      <c r="J734">
        <v>1</v>
      </c>
      <c r="K734">
        <v>0</v>
      </c>
      <c r="L734">
        <v>0</v>
      </c>
      <c r="M734">
        <v>0</v>
      </c>
      <c r="N734">
        <v>0</v>
      </c>
      <c r="P734">
        <v>78.900000000000006</v>
      </c>
      <c r="R734" t="str">
        <f t="shared" si="66"/>
        <v>Unique</v>
      </c>
      <c r="S734" t="str">
        <f t="shared" si="67"/>
        <v>Valid</v>
      </c>
      <c r="T734" t="str">
        <f t="shared" si="68"/>
        <v>Valid</v>
      </c>
      <c r="U734" t="str">
        <f t="shared" si="69"/>
        <v>Valid</v>
      </c>
      <c r="V734" t="str">
        <f t="shared" si="70"/>
        <v>Valid</v>
      </c>
      <c r="W734" t="str">
        <f t="shared" si="71"/>
        <v>Valid</v>
      </c>
    </row>
    <row r="735" spans="1:23">
      <c r="A735" t="s">
        <v>766</v>
      </c>
      <c r="B735" s="2">
        <v>45762</v>
      </c>
      <c r="C735" t="s">
        <v>723</v>
      </c>
      <c r="D735" t="s">
        <v>28</v>
      </c>
      <c r="E735" t="s">
        <v>19</v>
      </c>
      <c r="F735" t="s">
        <v>41</v>
      </c>
      <c r="G735" t="s">
        <v>30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P735">
        <v>83.3</v>
      </c>
      <c r="R735" t="str">
        <f t="shared" si="66"/>
        <v>Unique</v>
      </c>
      <c r="S735" t="str">
        <f t="shared" si="67"/>
        <v>Valid</v>
      </c>
      <c r="T735" t="str">
        <f t="shared" si="68"/>
        <v>Valid</v>
      </c>
      <c r="U735" t="str">
        <f t="shared" si="69"/>
        <v>Valid</v>
      </c>
      <c r="V735" t="str">
        <f t="shared" si="70"/>
        <v>Valid</v>
      </c>
      <c r="W735" t="str">
        <f t="shared" si="71"/>
        <v>Valid</v>
      </c>
    </row>
    <row r="736" spans="1:23">
      <c r="A736" t="s">
        <v>767</v>
      </c>
      <c r="B736" s="2">
        <v>45744</v>
      </c>
      <c r="C736" t="s">
        <v>723</v>
      </c>
      <c r="D736" t="s">
        <v>28</v>
      </c>
      <c r="E736" t="s">
        <v>19</v>
      </c>
      <c r="F736" t="s">
        <v>20</v>
      </c>
      <c r="G736" t="s">
        <v>26</v>
      </c>
      <c r="H736">
        <v>1</v>
      </c>
      <c r="I736">
        <v>0</v>
      </c>
      <c r="J736">
        <v>0</v>
      </c>
      <c r="K736">
        <v>0</v>
      </c>
      <c r="L736">
        <v>0</v>
      </c>
      <c r="M736">
        <v>1</v>
      </c>
      <c r="N736">
        <v>0</v>
      </c>
      <c r="P736">
        <v>24.5</v>
      </c>
      <c r="R736" t="str">
        <f t="shared" si="66"/>
        <v>Unique</v>
      </c>
      <c r="S736" t="str">
        <f t="shared" si="67"/>
        <v>Valid</v>
      </c>
      <c r="T736" t="str">
        <f t="shared" si="68"/>
        <v>Valid</v>
      </c>
      <c r="U736" t="str">
        <f t="shared" si="69"/>
        <v>Valid</v>
      </c>
      <c r="V736" t="str">
        <f t="shared" si="70"/>
        <v>Valid</v>
      </c>
      <c r="W736" t="str">
        <f t="shared" si="71"/>
        <v>Valid</v>
      </c>
    </row>
    <row r="737" spans="1:23">
      <c r="A737" t="s">
        <v>768</v>
      </c>
      <c r="B737" s="2">
        <v>45748</v>
      </c>
      <c r="C737" t="s">
        <v>723</v>
      </c>
      <c r="D737" t="s">
        <v>23</v>
      </c>
      <c r="E737" t="s">
        <v>24</v>
      </c>
      <c r="F737" t="s">
        <v>29</v>
      </c>
      <c r="G737" t="s">
        <v>21</v>
      </c>
      <c r="H737">
        <v>1</v>
      </c>
      <c r="I737">
        <v>1</v>
      </c>
      <c r="J737">
        <v>0</v>
      </c>
      <c r="K737">
        <v>0</v>
      </c>
      <c r="L737">
        <v>0</v>
      </c>
      <c r="M737">
        <v>1</v>
      </c>
      <c r="N737">
        <v>0</v>
      </c>
      <c r="P737">
        <v>56.9</v>
      </c>
      <c r="R737" t="str">
        <f t="shared" si="66"/>
        <v>Unique</v>
      </c>
      <c r="S737" t="str">
        <f t="shared" si="67"/>
        <v>Valid</v>
      </c>
      <c r="T737" t="str">
        <f t="shared" si="68"/>
        <v>Valid</v>
      </c>
      <c r="U737" t="str">
        <f t="shared" si="69"/>
        <v>Valid</v>
      </c>
      <c r="V737" t="str">
        <f t="shared" si="70"/>
        <v>Valid</v>
      </c>
      <c r="W737" t="str">
        <f t="shared" si="71"/>
        <v>Valid</v>
      </c>
    </row>
    <row r="738" spans="1:23">
      <c r="A738" t="s">
        <v>769</v>
      </c>
      <c r="B738" s="2">
        <v>45699</v>
      </c>
      <c r="C738" t="s">
        <v>723</v>
      </c>
      <c r="D738" t="s">
        <v>23</v>
      </c>
      <c r="E738" t="s">
        <v>24</v>
      </c>
      <c r="F738" t="s">
        <v>41</v>
      </c>
      <c r="G738" t="s">
        <v>21</v>
      </c>
      <c r="H738">
        <v>1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P738">
        <v>69.900000000000006</v>
      </c>
      <c r="R738" t="str">
        <f t="shared" si="66"/>
        <v>Unique</v>
      </c>
      <c r="S738" t="str">
        <f t="shared" si="67"/>
        <v>Valid</v>
      </c>
      <c r="T738" t="str">
        <f t="shared" si="68"/>
        <v>Valid</v>
      </c>
      <c r="U738" t="str">
        <f t="shared" si="69"/>
        <v>Valid</v>
      </c>
      <c r="V738" t="str">
        <f t="shared" si="70"/>
        <v>Valid</v>
      </c>
      <c r="W738" t="str">
        <f t="shared" si="71"/>
        <v>Valid</v>
      </c>
    </row>
    <row r="739" spans="1:23">
      <c r="A739" t="s">
        <v>770</v>
      </c>
      <c r="B739" s="2">
        <v>45720</v>
      </c>
      <c r="C739" t="s">
        <v>723</v>
      </c>
      <c r="D739" t="s">
        <v>32</v>
      </c>
      <c r="E739" t="s">
        <v>24</v>
      </c>
      <c r="F739" t="s">
        <v>25</v>
      </c>
      <c r="G739" t="s">
        <v>26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P739">
        <v>81.5</v>
      </c>
      <c r="R739" t="str">
        <f t="shared" si="66"/>
        <v>Unique</v>
      </c>
      <c r="S739" t="str">
        <f t="shared" si="67"/>
        <v>Valid</v>
      </c>
      <c r="T739" t="str">
        <f t="shared" si="68"/>
        <v>Valid</v>
      </c>
      <c r="U739" t="str">
        <f t="shared" si="69"/>
        <v>Valid</v>
      </c>
      <c r="V739" t="str">
        <f t="shared" si="70"/>
        <v>Valid</v>
      </c>
      <c r="W739" t="str">
        <f t="shared" si="71"/>
        <v>Valid</v>
      </c>
    </row>
    <row r="740" spans="1:23">
      <c r="A740" t="s">
        <v>771</v>
      </c>
      <c r="B740" s="2">
        <v>45678</v>
      </c>
      <c r="C740" t="s">
        <v>723</v>
      </c>
      <c r="D740" t="s">
        <v>18</v>
      </c>
      <c r="E740" t="s">
        <v>34</v>
      </c>
      <c r="F740" t="s">
        <v>41</v>
      </c>
      <c r="G740" t="s">
        <v>21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2</v>
      </c>
      <c r="N740">
        <v>0</v>
      </c>
      <c r="P740">
        <v>37.9</v>
      </c>
      <c r="R740" t="str">
        <f t="shared" si="66"/>
        <v>Unique</v>
      </c>
      <c r="S740" t="str">
        <f t="shared" si="67"/>
        <v>Valid</v>
      </c>
      <c r="T740" t="str">
        <f t="shared" si="68"/>
        <v>Valid</v>
      </c>
      <c r="U740" t="str">
        <f t="shared" si="69"/>
        <v>Valid</v>
      </c>
      <c r="V740" t="str">
        <f t="shared" si="70"/>
        <v>Valid</v>
      </c>
      <c r="W740" t="str">
        <f t="shared" si="71"/>
        <v>Valid</v>
      </c>
    </row>
    <row r="741" spans="1:23">
      <c r="A741" t="s">
        <v>772</v>
      </c>
      <c r="B741" s="2">
        <v>45702</v>
      </c>
      <c r="C741" t="s">
        <v>723</v>
      </c>
      <c r="D741" t="s">
        <v>18</v>
      </c>
      <c r="E741" t="s">
        <v>24</v>
      </c>
      <c r="F741" t="s">
        <v>39</v>
      </c>
      <c r="G741" t="s">
        <v>26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1</v>
      </c>
      <c r="N741">
        <v>0</v>
      </c>
      <c r="P741">
        <v>61.7</v>
      </c>
      <c r="R741" t="str">
        <f t="shared" si="66"/>
        <v>Unique</v>
      </c>
      <c r="S741" t="str">
        <f t="shared" si="67"/>
        <v>Valid</v>
      </c>
      <c r="T741" t="str">
        <f t="shared" si="68"/>
        <v>Valid</v>
      </c>
      <c r="U741" t="str">
        <f t="shared" si="69"/>
        <v>Valid</v>
      </c>
      <c r="V741" t="str">
        <f t="shared" si="70"/>
        <v>Valid</v>
      </c>
      <c r="W741" t="str">
        <f t="shared" si="71"/>
        <v>Valid</v>
      </c>
    </row>
    <row r="742" spans="1:23">
      <c r="A742" t="s">
        <v>773</v>
      </c>
      <c r="B742" s="2">
        <v>45746</v>
      </c>
      <c r="C742" t="s">
        <v>723</v>
      </c>
      <c r="D742" t="s">
        <v>18</v>
      </c>
      <c r="E742" t="s">
        <v>19</v>
      </c>
      <c r="F742" t="s">
        <v>1451</v>
      </c>
      <c r="G742" t="s">
        <v>30</v>
      </c>
      <c r="H742">
        <v>1</v>
      </c>
      <c r="I742">
        <v>0</v>
      </c>
      <c r="J742">
        <v>0</v>
      </c>
      <c r="K742">
        <v>0</v>
      </c>
      <c r="L742">
        <v>0</v>
      </c>
      <c r="M742">
        <v>2</v>
      </c>
      <c r="N742">
        <v>0</v>
      </c>
      <c r="P742">
        <v>53.2</v>
      </c>
      <c r="R742" t="str">
        <f t="shared" si="66"/>
        <v>Unique</v>
      </c>
      <c r="S742" t="str">
        <f t="shared" si="67"/>
        <v>Valid</v>
      </c>
      <c r="T742" t="str">
        <f t="shared" si="68"/>
        <v>Valid</v>
      </c>
      <c r="U742" t="str">
        <f t="shared" si="69"/>
        <v>Valid</v>
      </c>
      <c r="V742" t="str">
        <f t="shared" si="70"/>
        <v>Valid</v>
      </c>
      <c r="W742" t="str">
        <f t="shared" si="71"/>
        <v>Valid</v>
      </c>
    </row>
    <row r="743" spans="1:23">
      <c r="A743" t="s">
        <v>774</v>
      </c>
      <c r="B743" s="2">
        <v>45665</v>
      </c>
      <c r="C743" t="s">
        <v>723</v>
      </c>
      <c r="D743" t="s">
        <v>18</v>
      </c>
      <c r="E743" t="s">
        <v>24</v>
      </c>
      <c r="F743" t="s">
        <v>39</v>
      </c>
      <c r="G743" t="s">
        <v>26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P743">
        <v>61.9</v>
      </c>
      <c r="R743" t="str">
        <f t="shared" si="66"/>
        <v>Unique</v>
      </c>
      <c r="S743" t="str">
        <f t="shared" si="67"/>
        <v>Valid</v>
      </c>
      <c r="T743" t="str">
        <f t="shared" si="68"/>
        <v>Valid</v>
      </c>
      <c r="U743" t="str">
        <f t="shared" si="69"/>
        <v>Valid</v>
      </c>
      <c r="V743" t="str">
        <f t="shared" si="70"/>
        <v>Valid</v>
      </c>
      <c r="W743" t="str">
        <f t="shared" si="71"/>
        <v>Valid</v>
      </c>
    </row>
    <row r="744" spans="1:23">
      <c r="A744" t="s">
        <v>775</v>
      </c>
      <c r="B744" s="2">
        <v>45695</v>
      </c>
      <c r="C744" t="s">
        <v>723</v>
      </c>
      <c r="D744" t="s">
        <v>18</v>
      </c>
      <c r="E744" t="s">
        <v>24</v>
      </c>
      <c r="F744" t="s">
        <v>41</v>
      </c>
      <c r="G744" t="s">
        <v>26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P744">
        <v>68.900000000000006</v>
      </c>
      <c r="R744" t="str">
        <f t="shared" si="66"/>
        <v>Unique</v>
      </c>
      <c r="S744" t="str">
        <f t="shared" si="67"/>
        <v>Valid</v>
      </c>
      <c r="T744" t="str">
        <f t="shared" si="68"/>
        <v>Valid</v>
      </c>
      <c r="U744" t="str">
        <f t="shared" si="69"/>
        <v>Valid</v>
      </c>
      <c r="V744" t="str">
        <f t="shared" si="70"/>
        <v>Valid</v>
      </c>
      <c r="W744" t="str">
        <f t="shared" si="71"/>
        <v>Valid</v>
      </c>
    </row>
    <row r="745" spans="1:23">
      <c r="A745" t="s">
        <v>776</v>
      </c>
      <c r="B745" s="2">
        <v>45689</v>
      </c>
      <c r="C745" t="s">
        <v>723</v>
      </c>
      <c r="D745" t="s">
        <v>18</v>
      </c>
      <c r="E745" t="s">
        <v>34</v>
      </c>
      <c r="F745" t="s">
        <v>29</v>
      </c>
      <c r="G745" t="s">
        <v>21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P745">
        <v>66.3</v>
      </c>
      <c r="R745" t="str">
        <f t="shared" si="66"/>
        <v>Unique</v>
      </c>
      <c r="S745" t="str">
        <f t="shared" si="67"/>
        <v>Valid</v>
      </c>
      <c r="T745" t="str">
        <f t="shared" si="68"/>
        <v>Valid</v>
      </c>
      <c r="U745" t="str">
        <f t="shared" si="69"/>
        <v>Valid</v>
      </c>
      <c r="V745" t="str">
        <f t="shared" si="70"/>
        <v>Valid</v>
      </c>
      <c r="W745" t="str">
        <f t="shared" si="71"/>
        <v>Valid</v>
      </c>
    </row>
    <row r="746" spans="1:23">
      <c r="A746" t="s">
        <v>777</v>
      </c>
      <c r="B746" s="2">
        <v>45661</v>
      </c>
      <c r="C746" t="s">
        <v>723</v>
      </c>
      <c r="D746" t="s">
        <v>28</v>
      </c>
      <c r="E746" t="s">
        <v>24</v>
      </c>
      <c r="F746" t="s">
        <v>20</v>
      </c>
      <c r="G746" t="s">
        <v>26</v>
      </c>
      <c r="H746">
        <v>1</v>
      </c>
      <c r="I746">
        <v>1</v>
      </c>
      <c r="J746">
        <v>1</v>
      </c>
      <c r="K746">
        <v>0</v>
      </c>
      <c r="L746">
        <v>0</v>
      </c>
      <c r="M746">
        <v>0</v>
      </c>
      <c r="N746">
        <v>0</v>
      </c>
      <c r="P746">
        <v>54.6</v>
      </c>
      <c r="R746" t="str">
        <f t="shared" si="66"/>
        <v>Unique</v>
      </c>
      <c r="S746" t="str">
        <f t="shared" si="67"/>
        <v>Valid</v>
      </c>
      <c r="T746" t="str">
        <f t="shared" si="68"/>
        <v>Valid</v>
      </c>
      <c r="U746" t="str">
        <f t="shared" si="69"/>
        <v>Valid</v>
      </c>
      <c r="V746" t="str">
        <f t="shared" si="70"/>
        <v>Valid</v>
      </c>
      <c r="W746" t="str">
        <f t="shared" si="71"/>
        <v>Valid</v>
      </c>
    </row>
    <row r="747" spans="1:23">
      <c r="A747" t="s">
        <v>778</v>
      </c>
      <c r="B747" s="2">
        <v>45793</v>
      </c>
      <c r="C747" t="s">
        <v>723</v>
      </c>
      <c r="D747" t="s">
        <v>32</v>
      </c>
      <c r="E747" t="s">
        <v>19</v>
      </c>
      <c r="F747" t="s">
        <v>39</v>
      </c>
      <c r="G747" t="s">
        <v>26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P747">
        <v>53.8</v>
      </c>
      <c r="R747" t="str">
        <f t="shared" si="66"/>
        <v>Unique</v>
      </c>
      <c r="S747" t="str">
        <f t="shared" si="67"/>
        <v>Valid</v>
      </c>
      <c r="T747" t="str">
        <f t="shared" si="68"/>
        <v>Valid</v>
      </c>
      <c r="U747" t="str">
        <f t="shared" si="69"/>
        <v>Valid</v>
      </c>
      <c r="V747" t="str">
        <f t="shared" si="70"/>
        <v>Valid</v>
      </c>
      <c r="W747" t="str">
        <f t="shared" si="71"/>
        <v>Valid</v>
      </c>
    </row>
    <row r="748" spans="1:23">
      <c r="A748" t="s">
        <v>779</v>
      </c>
      <c r="B748" s="2">
        <v>45716</v>
      </c>
      <c r="C748" t="s">
        <v>723</v>
      </c>
      <c r="D748" t="s">
        <v>23</v>
      </c>
      <c r="E748" t="s">
        <v>24</v>
      </c>
      <c r="F748" t="s">
        <v>39</v>
      </c>
      <c r="G748" t="s">
        <v>26</v>
      </c>
      <c r="H748">
        <v>1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P748">
        <v>59.5</v>
      </c>
      <c r="R748" t="str">
        <f t="shared" si="66"/>
        <v>Unique</v>
      </c>
      <c r="S748" t="str">
        <f t="shared" si="67"/>
        <v>Valid</v>
      </c>
      <c r="T748" t="str">
        <f t="shared" si="68"/>
        <v>Valid</v>
      </c>
      <c r="U748" t="str">
        <f t="shared" si="69"/>
        <v>Valid</v>
      </c>
      <c r="V748" t="str">
        <f t="shared" si="70"/>
        <v>Valid</v>
      </c>
      <c r="W748" t="str">
        <f t="shared" si="71"/>
        <v>Valid</v>
      </c>
    </row>
    <row r="749" spans="1:23">
      <c r="A749" t="s">
        <v>780</v>
      </c>
      <c r="B749" s="2">
        <v>45759</v>
      </c>
      <c r="C749" t="s">
        <v>723</v>
      </c>
      <c r="D749" t="s">
        <v>18</v>
      </c>
      <c r="E749" t="s">
        <v>24</v>
      </c>
      <c r="F749" t="s">
        <v>39</v>
      </c>
      <c r="G749" t="s">
        <v>26</v>
      </c>
      <c r="H749">
        <v>1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P749">
        <v>52.6</v>
      </c>
      <c r="R749" t="str">
        <f t="shared" si="66"/>
        <v>Unique</v>
      </c>
      <c r="S749" t="str">
        <f t="shared" si="67"/>
        <v>Valid</v>
      </c>
      <c r="T749" t="str">
        <f t="shared" si="68"/>
        <v>Valid</v>
      </c>
      <c r="U749" t="str">
        <f t="shared" si="69"/>
        <v>Valid</v>
      </c>
      <c r="V749" t="str">
        <f t="shared" si="70"/>
        <v>Valid</v>
      </c>
      <c r="W749" t="str">
        <f t="shared" si="71"/>
        <v>Valid</v>
      </c>
    </row>
    <row r="750" spans="1:23">
      <c r="A750" t="s">
        <v>781</v>
      </c>
      <c r="B750" s="2">
        <v>45739</v>
      </c>
      <c r="C750" t="s">
        <v>723</v>
      </c>
      <c r="D750" t="s">
        <v>32</v>
      </c>
      <c r="E750" t="s">
        <v>19</v>
      </c>
      <c r="F750" t="s">
        <v>25</v>
      </c>
      <c r="G750" t="s">
        <v>26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P750">
        <v>49</v>
      </c>
      <c r="R750" t="str">
        <f t="shared" si="66"/>
        <v>Unique</v>
      </c>
      <c r="S750" t="str">
        <f t="shared" si="67"/>
        <v>Valid</v>
      </c>
      <c r="T750" t="str">
        <f t="shared" si="68"/>
        <v>Valid</v>
      </c>
      <c r="U750" t="str">
        <f t="shared" si="69"/>
        <v>Valid</v>
      </c>
      <c r="V750" t="str">
        <f t="shared" si="70"/>
        <v>Valid</v>
      </c>
      <c r="W750" t="str">
        <f t="shared" si="71"/>
        <v>Valid</v>
      </c>
    </row>
    <row r="751" spans="1:23">
      <c r="A751" t="s">
        <v>782</v>
      </c>
      <c r="B751" s="2">
        <v>45806</v>
      </c>
      <c r="C751" t="s">
        <v>723</v>
      </c>
      <c r="D751" t="s">
        <v>18</v>
      </c>
      <c r="E751" t="s">
        <v>34</v>
      </c>
      <c r="F751" t="s">
        <v>25</v>
      </c>
      <c r="G751" t="s">
        <v>26</v>
      </c>
      <c r="H751">
        <v>1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P751">
        <v>59.3</v>
      </c>
      <c r="R751" t="str">
        <f t="shared" si="66"/>
        <v>Unique</v>
      </c>
      <c r="S751" t="str">
        <f t="shared" si="67"/>
        <v>Valid</v>
      </c>
      <c r="T751" t="str">
        <f t="shared" si="68"/>
        <v>Valid</v>
      </c>
      <c r="U751" t="str">
        <f t="shared" si="69"/>
        <v>Valid</v>
      </c>
      <c r="V751" t="str">
        <f t="shared" si="70"/>
        <v>Valid</v>
      </c>
      <c r="W751" t="str">
        <f t="shared" si="71"/>
        <v>Valid</v>
      </c>
    </row>
    <row r="752" spans="1:23">
      <c r="A752" t="s">
        <v>783</v>
      </c>
      <c r="B752" s="2">
        <v>45798</v>
      </c>
      <c r="C752" t="s">
        <v>723</v>
      </c>
      <c r="D752" t="s">
        <v>32</v>
      </c>
      <c r="E752" t="s">
        <v>19</v>
      </c>
      <c r="F752" t="s">
        <v>25</v>
      </c>
      <c r="G752" t="s">
        <v>21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P752">
        <v>67.2</v>
      </c>
      <c r="R752" t="str">
        <f t="shared" si="66"/>
        <v>Unique</v>
      </c>
      <c r="S752" t="str">
        <f t="shared" si="67"/>
        <v>Valid</v>
      </c>
      <c r="T752" t="str">
        <f t="shared" si="68"/>
        <v>Valid</v>
      </c>
      <c r="U752" t="str">
        <f t="shared" si="69"/>
        <v>Valid</v>
      </c>
      <c r="V752" t="str">
        <f t="shared" si="70"/>
        <v>Valid</v>
      </c>
      <c r="W752" t="str">
        <f t="shared" si="71"/>
        <v>Valid</v>
      </c>
    </row>
    <row r="753" spans="1:23">
      <c r="A753" t="s">
        <v>784</v>
      </c>
      <c r="B753" s="2">
        <v>45662</v>
      </c>
      <c r="C753" t="s">
        <v>723</v>
      </c>
      <c r="D753" t="s">
        <v>32</v>
      </c>
      <c r="E753" t="s">
        <v>24</v>
      </c>
      <c r="F753" t="s">
        <v>39</v>
      </c>
      <c r="G753" t="s">
        <v>30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P753">
        <v>73.5</v>
      </c>
      <c r="R753" t="str">
        <f t="shared" si="66"/>
        <v>Unique</v>
      </c>
      <c r="S753" t="str">
        <f t="shared" si="67"/>
        <v>Valid</v>
      </c>
      <c r="T753" t="str">
        <f t="shared" si="68"/>
        <v>Valid</v>
      </c>
      <c r="U753" t="str">
        <f t="shared" si="69"/>
        <v>Valid</v>
      </c>
      <c r="V753" t="str">
        <f t="shared" si="70"/>
        <v>Valid</v>
      </c>
      <c r="W753" t="str">
        <f t="shared" si="71"/>
        <v>Valid</v>
      </c>
    </row>
    <row r="754" spans="1:23">
      <c r="A754" t="s">
        <v>785</v>
      </c>
      <c r="B754" s="2">
        <v>45735</v>
      </c>
      <c r="C754" t="s">
        <v>723</v>
      </c>
      <c r="D754" t="s">
        <v>28</v>
      </c>
      <c r="E754" t="s">
        <v>34</v>
      </c>
      <c r="F754" t="s">
        <v>25</v>
      </c>
      <c r="G754" t="s">
        <v>26</v>
      </c>
      <c r="H754">
        <v>1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P754">
        <v>61.2</v>
      </c>
      <c r="R754" t="str">
        <f t="shared" si="66"/>
        <v>Unique</v>
      </c>
      <c r="S754" t="str">
        <f t="shared" si="67"/>
        <v>Valid</v>
      </c>
      <c r="T754" t="str">
        <f t="shared" si="68"/>
        <v>Valid</v>
      </c>
      <c r="U754" t="str">
        <f t="shared" si="69"/>
        <v>Valid</v>
      </c>
      <c r="V754" t="str">
        <f t="shared" si="70"/>
        <v>Valid</v>
      </c>
      <c r="W754" t="str">
        <f t="shared" si="71"/>
        <v>Valid</v>
      </c>
    </row>
    <row r="755" spans="1:23">
      <c r="A755" t="s">
        <v>786</v>
      </c>
      <c r="B755" s="2">
        <v>45771</v>
      </c>
      <c r="C755" t="s">
        <v>723</v>
      </c>
      <c r="D755" t="s">
        <v>28</v>
      </c>
      <c r="E755" t="s">
        <v>24</v>
      </c>
      <c r="F755" t="s">
        <v>25</v>
      </c>
      <c r="G755" t="s">
        <v>26</v>
      </c>
      <c r="H755">
        <v>1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P755">
        <v>56.4</v>
      </c>
      <c r="R755" t="str">
        <f t="shared" si="66"/>
        <v>Unique</v>
      </c>
      <c r="S755" t="str">
        <f t="shared" si="67"/>
        <v>Valid</v>
      </c>
      <c r="T755" t="str">
        <f t="shared" si="68"/>
        <v>Valid</v>
      </c>
      <c r="U755" t="str">
        <f t="shared" si="69"/>
        <v>Valid</v>
      </c>
      <c r="V755" t="str">
        <f t="shared" si="70"/>
        <v>Valid</v>
      </c>
      <c r="W755" t="str">
        <f t="shared" si="71"/>
        <v>Valid</v>
      </c>
    </row>
    <row r="756" spans="1:23">
      <c r="A756" t="s">
        <v>787</v>
      </c>
      <c r="B756" s="2">
        <v>45726</v>
      </c>
      <c r="C756" t="s">
        <v>723</v>
      </c>
      <c r="D756" t="s">
        <v>18</v>
      </c>
      <c r="E756" t="s">
        <v>34</v>
      </c>
      <c r="F756" t="s">
        <v>25</v>
      </c>
      <c r="G756" t="s">
        <v>26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3</v>
      </c>
      <c r="N756">
        <v>0</v>
      </c>
      <c r="P756">
        <v>72.599999999999994</v>
      </c>
      <c r="R756" t="str">
        <f t="shared" si="66"/>
        <v>Unique</v>
      </c>
      <c r="S756" t="str">
        <f t="shared" si="67"/>
        <v>Valid</v>
      </c>
      <c r="T756" t="str">
        <f t="shared" si="68"/>
        <v>Valid</v>
      </c>
      <c r="U756" t="str">
        <f t="shared" si="69"/>
        <v>Valid</v>
      </c>
      <c r="V756" t="str">
        <f t="shared" si="70"/>
        <v>Valid</v>
      </c>
      <c r="W756" t="str">
        <f t="shared" si="71"/>
        <v>Valid</v>
      </c>
    </row>
    <row r="757" spans="1:23">
      <c r="A757" t="s">
        <v>788</v>
      </c>
      <c r="B757" s="2">
        <v>45710</v>
      </c>
      <c r="C757" t="s">
        <v>723</v>
      </c>
      <c r="D757" t="s">
        <v>32</v>
      </c>
      <c r="E757" t="s">
        <v>34</v>
      </c>
      <c r="F757" t="s">
        <v>39</v>
      </c>
      <c r="G757" t="s">
        <v>21</v>
      </c>
      <c r="H757">
        <v>1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P757">
        <v>61.7</v>
      </c>
      <c r="R757" t="str">
        <f t="shared" si="66"/>
        <v>Unique</v>
      </c>
      <c r="S757" t="str">
        <f t="shared" si="67"/>
        <v>Valid</v>
      </c>
      <c r="T757" t="str">
        <f t="shared" si="68"/>
        <v>Valid</v>
      </c>
      <c r="U757" t="str">
        <f t="shared" si="69"/>
        <v>Valid</v>
      </c>
      <c r="V757" t="str">
        <f t="shared" si="70"/>
        <v>Valid</v>
      </c>
      <c r="W757" t="str">
        <f t="shared" si="71"/>
        <v>Valid</v>
      </c>
    </row>
    <row r="758" spans="1:23">
      <c r="A758" t="s">
        <v>789</v>
      </c>
      <c r="B758" s="2">
        <v>45794</v>
      </c>
      <c r="C758" t="s">
        <v>723</v>
      </c>
      <c r="D758" t="s">
        <v>28</v>
      </c>
      <c r="E758" t="s">
        <v>24</v>
      </c>
      <c r="F758" t="s">
        <v>41</v>
      </c>
      <c r="G758" t="s">
        <v>26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1</v>
      </c>
      <c r="N758">
        <v>0</v>
      </c>
      <c r="P758">
        <v>66.900000000000006</v>
      </c>
      <c r="R758" t="str">
        <f t="shared" si="66"/>
        <v>Unique</v>
      </c>
      <c r="S758" t="str">
        <f t="shared" si="67"/>
        <v>Valid</v>
      </c>
      <c r="T758" t="str">
        <f t="shared" si="68"/>
        <v>Valid</v>
      </c>
      <c r="U758" t="str">
        <f t="shared" si="69"/>
        <v>Valid</v>
      </c>
      <c r="V758" t="str">
        <f t="shared" si="70"/>
        <v>Valid</v>
      </c>
      <c r="W758" t="str">
        <f t="shared" si="71"/>
        <v>Valid</v>
      </c>
    </row>
    <row r="759" spans="1:23">
      <c r="A759" t="s">
        <v>790</v>
      </c>
      <c r="B759" s="2">
        <v>45786</v>
      </c>
      <c r="C759" t="s">
        <v>723</v>
      </c>
      <c r="D759" t="s">
        <v>28</v>
      </c>
      <c r="E759" t="s">
        <v>34</v>
      </c>
      <c r="F759" t="s">
        <v>39</v>
      </c>
      <c r="G759" t="s">
        <v>30</v>
      </c>
      <c r="H759">
        <v>1</v>
      </c>
      <c r="I759">
        <v>1</v>
      </c>
      <c r="J759">
        <v>1</v>
      </c>
      <c r="K759">
        <v>1</v>
      </c>
      <c r="L759">
        <v>1506.24</v>
      </c>
      <c r="M759">
        <v>1</v>
      </c>
      <c r="N759">
        <v>0</v>
      </c>
      <c r="O759">
        <v>7</v>
      </c>
      <c r="P759">
        <v>64.900000000000006</v>
      </c>
      <c r="R759" t="str">
        <f t="shared" si="66"/>
        <v>Unique</v>
      </c>
      <c r="S759" t="str">
        <f t="shared" si="67"/>
        <v>Valid</v>
      </c>
      <c r="T759" t="str">
        <f t="shared" si="68"/>
        <v>Valid</v>
      </c>
      <c r="U759" t="str">
        <f t="shared" si="69"/>
        <v>Valid</v>
      </c>
      <c r="V759" t="str">
        <f t="shared" si="70"/>
        <v>Valid</v>
      </c>
      <c r="W759" t="str">
        <f t="shared" si="71"/>
        <v>Valid</v>
      </c>
    </row>
    <row r="760" spans="1:23">
      <c r="A760" t="s">
        <v>791</v>
      </c>
      <c r="B760" s="2">
        <v>45773</v>
      </c>
      <c r="C760" t="s">
        <v>723</v>
      </c>
      <c r="D760" t="s">
        <v>28</v>
      </c>
      <c r="E760" t="s">
        <v>34</v>
      </c>
      <c r="F760" t="s">
        <v>25</v>
      </c>
      <c r="G760" t="s">
        <v>30</v>
      </c>
      <c r="H760">
        <v>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P760">
        <v>57.5</v>
      </c>
      <c r="R760" t="str">
        <f t="shared" si="66"/>
        <v>Unique</v>
      </c>
      <c r="S760" t="str">
        <f t="shared" si="67"/>
        <v>Valid</v>
      </c>
      <c r="T760" t="str">
        <f t="shared" si="68"/>
        <v>Valid</v>
      </c>
      <c r="U760" t="str">
        <f t="shared" si="69"/>
        <v>Valid</v>
      </c>
      <c r="V760" t="str">
        <f t="shared" si="70"/>
        <v>Valid</v>
      </c>
      <c r="W760" t="str">
        <f t="shared" si="71"/>
        <v>Valid</v>
      </c>
    </row>
    <row r="761" spans="1:23">
      <c r="A761" t="s">
        <v>792</v>
      </c>
      <c r="B761" s="2">
        <v>45731</v>
      </c>
      <c r="C761" t="s">
        <v>723</v>
      </c>
      <c r="D761" t="s">
        <v>23</v>
      </c>
      <c r="E761" t="s">
        <v>19</v>
      </c>
      <c r="F761" t="s">
        <v>41</v>
      </c>
      <c r="G761" t="s">
        <v>26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P761">
        <v>76.3</v>
      </c>
      <c r="R761" t="str">
        <f t="shared" si="66"/>
        <v>Unique</v>
      </c>
      <c r="S761" t="str">
        <f t="shared" si="67"/>
        <v>Valid</v>
      </c>
      <c r="T761" t="str">
        <f t="shared" si="68"/>
        <v>Valid</v>
      </c>
      <c r="U761" t="str">
        <f t="shared" si="69"/>
        <v>Valid</v>
      </c>
      <c r="V761" t="str">
        <f t="shared" si="70"/>
        <v>Valid</v>
      </c>
      <c r="W761" t="str">
        <f t="shared" si="71"/>
        <v>Valid</v>
      </c>
    </row>
    <row r="762" spans="1:23">
      <c r="A762" t="s">
        <v>793</v>
      </c>
      <c r="B762" s="2">
        <v>45750</v>
      </c>
      <c r="C762" t="s">
        <v>723</v>
      </c>
      <c r="D762" t="s">
        <v>18</v>
      </c>
      <c r="E762" t="s">
        <v>24</v>
      </c>
      <c r="F762" t="s">
        <v>29</v>
      </c>
      <c r="G762" t="s">
        <v>26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P762">
        <v>47.5</v>
      </c>
      <c r="R762" t="str">
        <f t="shared" si="66"/>
        <v>Unique</v>
      </c>
      <c r="S762" t="str">
        <f t="shared" si="67"/>
        <v>Valid</v>
      </c>
      <c r="T762" t="str">
        <f t="shared" si="68"/>
        <v>Valid</v>
      </c>
      <c r="U762" t="str">
        <f t="shared" si="69"/>
        <v>Valid</v>
      </c>
      <c r="V762" t="str">
        <f t="shared" si="70"/>
        <v>Valid</v>
      </c>
      <c r="W762" t="str">
        <f t="shared" si="71"/>
        <v>Valid</v>
      </c>
    </row>
    <row r="763" spans="1:23">
      <c r="A763" t="s">
        <v>794</v>
      </c>
      <c r="B763" s="2">
        <v>45742</v>
      </c>
      <c r="C763" t="s">
        <v>723</v>
      </c>
      <c r="D763" t="s">
        <v>32</v>
      </c>
      <c r="E763" t="s">
        <v>24</v>
      </c>
      <c r="F763" t="s">
        <v>29</v>
      </c>
      <c r="G763" t="s">
        <v>26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P763">
        <v>60.02</v>
      </c>
      <c r="R763" t="str">
        <f t="shared" si="66"/>
        <v>Unique</v>
      </c>
      <c r="S763" t="str">
        <f t="shared" si="67"/>
        <v>Valid</v>
      </c>
      <c r="T763" t="str">
        <f t="shared" si="68"/>
        <v>Valid</v>
      </c>
      <c r="U763" t="str">
        <f t="shared" si="69"/>
        <v>Valid</v>
      </c>
      <c r="V763" t="str">
        <f t="shared" si="70"/>
        <v>Valid</v>
      </c>
      <c r="W763" t="str">
        <f t="shared" si="71"/>
        <v>Valid</v>
      </c>
    </row>
    <row r="764" spans="1:23">
      <c r="A764" t="s">
        <v>795</v>
      </c>
      <c r="B764" s="2">
        <v>45693</v>
      </c>
      <c r="C764" t="s">
        <v>723</v>
      </c>
      <c r="D764" t="s">
        <v>23</v>
      </c>
      <c r="E764" t="s">
        <v>19</v>
      </c>
      <c r="F764" t="s">
        <v>25</v>
      </c>
      <c r="G764" t="s">
        <v>21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2</v>
      </c>
      <c r="N764">
        <v>0</v>
      </c>
      <c r="P764">
        <v>71.599999999999994</v>
      </c>
      <c r="R764" t="str">
        <f t="shared" si="66"/>
        <v>Unique</v>
      </c>
      <c r="S764" t="str">
        <f t="shared" si="67"/>
        <v>Valid</v>
      </c>
      <c r="T764" t="str">
        <f t="shared" si="68"/>
        <v>Valid</v>
      </c>
      <c r="U764" t="str">
        <f t="shared" si="69"/>
        <v>Valid</v>
      </c>
      <c r="V764" t="str">
        <f t="shared" si="70"/>
        <v>Valid</v>
      </c>
      <c r="W764" t="str">
        <f t="shared" si="71"/>
        <v>Valid</v>
      </c>
    </row>
    <row r="765" spans="1:23">
      <c r="A765" t="s">
        <v>796</v>
      </c>
      <c r="B765" s="2">
        <v>45785</v>
      </c>
      <c r="C765" t="s">
        <v>723</v>
      </c>
      <c r="D765" t="s">
        <v>32</v>
      </c>
      <c r="E765" t="s">
        <v>24</v>
      </c>
      <c r="F765" t="s">
        <v>41</v>
      </c>
      <c r="G765" t="s">
        <v>21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P765">
        <v>55.8</v>
      </c>
      <c r="R765" t="str">
        <f t="shared" si="66"/>
        <v>Unique</v>
      </c>
      <c r="S765" t="str">
        <f t="shared" si="67"/>
        <v>Valid</v>
      </c>
      <c r="T765" t="str">
        <f t="shared" si="68"/>
        <v>Valid</v>
      </c>
      <c r="U765" t="str">
        <f t="shared" si="69"/>
        <v>Valid</v>
      </c>
      <c r="V765" t="str">
        <f t="shared" si="70"/>
        <v>Valid</v>
      </c>
      <c r="W765" t="str">
        <f t="shared" si="71"/>
        <v>Valid</v>
      </c>
    </row>
    <row r="766" spans="1:23">
      <c r="A766" t="s">
        <v>797</v>
      </c>
      <c r="B766" s="2">
        <v>45741</v>
      </c>
      <c r="C766" t="s">
        <v>723</v>
      </c>
      <c r="D766" t="s">
        <v>32</v>
      </c>
      <c r="E766" t="s">
        <v>19</v>
      </c>
      <c r="F766" t="s">
        <v>25</v>
      </c>
      <c r="G766" t="s">
        <v>21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P766">
        <v>60.1</v>
      </c>
      <c r="R766" t="str">
        <f t="shared" si="66"/>
        <v>Unique</v>
      </c>
      <c r="S766" t="str">
        <f t="shared" si="67"/>
        <v>Valid</v>
      </c>
      <c r="T766" t="str">
        <f t="shared" si="68"/>
        <v>Valid</v>
      </c>
      <c r="U766" t="str">
        <f t="shared" si="69"/>
        <v>Valid</v>
      </c>
      <c r="V766" t="str">
        <f t="shared" si="70"/>
        <v>Valid</v>
      </c>
      <c r="W766" t="str">
        <f t="shared" si="71"/>
        <v>Valid</v>
      </c>
    </row>
    <row r="767" spans="1:23">
      <c r="A767" t="s">
        <v>798</v>
      </c>
      <c r="B767" s="2">
        <v>45671</v>
      </c>
      <c r="C767" t="s">
        <v>723</v>
      </c>
      <c r="D767" t="s">
        <v>23</v>
      </c>
      <c r="E767" t="s">
        <v>1451</v>
      </c>
      <c r="F767" t="s">
        <v>20</v>
      </c>
      <c r="G767" t="s">
        <v>21</v>
      </c>
      <c r="H767">
        <v>1</v>
      </c>
      <c r="I767">
        <v>1</v>
      </c>
      <c r="J767">
        <v>1</v>
      </c>
      <c r="K767">
        <v>0</v>
      </c>
      <c r="L767">
        <v>0</v>
      </c>
      <c r="M767">
        <v>1</v>
      </c>
      <c r="N767">
        <v>0</v>
      </c>
      <c r="P767">
        <v>59.3</v>
      </c>
      <c r="R767" t="str">
        <f t="shared" si="66"/>
        <v>Unique</v>
      </c>
      <c r="S767" t="str">
        <f t="shared" si="67"/>
        <v>Valid</v>
      </c>
      <c r="T767" t="str">
        <f t="shared" si="68"/>
        <v>Valid</v>
      </c>
      <c r="U767" t="str">
        <f t="shared" si="69"/>
        <v>Valid</v>
      </c>
      <c r="V767" t="str">
        <f t="shared" si="70"/>
        <v>Valid</v>
      </c>
      <c r="W767" t="str">
        <f t="shared" si="71"/>
        <v>Valid</v>
      </c>
    </row>
    <row r="768" spans="1:23">
      <c r="A768" t="s">
        <v>799</v>
      </c>
      <c r="B768" s="2">
        <v>45742</v>
      </c>
      <c r="C768" t="s">
        <v>723</v>
      </c>
      <c r="D768" t="s">
        <v>18</v>
      </c>
      <c r="E768" t="s">
        <v>24</v>
      </c>
      <c r="F768" t="s">
        <v>25</v>
      </c>
      <c r="G768" t="s">
        <v>26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2</v>
      </c>
      <c r="N768">
        <v>0</v>
      </c>
      <c r="P768">
        <v>49.3</v>
      </c>
      <c r="R768" t="str">
        <f t="shared" si="66"/>
        <v>Unique</v>
      </c>
      <c r="S768" t="str">
        <f t="shared" si="67"/>
        <v>Valid</v>
      </c>
      <c r="T768" t="str">
        <f t="shared" si="68"/>
        <v>Valid</v>
      </c>
      <c r="U768" t="str">
        <f t="shared" si="69"/>
        <v>Valid</v>
      </c>
      <c r="V768" t="str">
        <f t="shared" si="70"/>
        <v>Valid</v>
      </c>
      <c r="W768" t="str">
        <f t="shared" si="71"/>
        <v>Valid</v>
      </c>
    </row>
    <row r="769" spans="1:23">
      <c r="A769" t="s">
        <v>800</v>
      </c>
      <c r="B769" s="2">
        <v>45673</v>
      </c>
      <c r="C769" t="s">
        <v>723</v>
      </c>
      <c r="D769" t="s">
        <v>28</v>
      </c>
      <c r="E769" t="s">
        <v>24</v>
      </c>
      <c r="F769" t="s">
        <v>39</v>
      </c>
      <c r="G769" t="s">
        <v>26</v>
      </c>
      <c r="H769">
        <v>1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P769">
        <v>75</v>
      </c>
      <c r="R769" t="str">
        <f t="shared" si="66"/>
        <v>Unique</v>
      </c>
      <c r="S769" t="str">
        <f t="shared" si="67"/>
        <v>Valid</v>
      </c>
      <c r="T769" t="str">
        <f t="shared" si="68"/>
        <v>Valid</v>
      </c>
      <c r="U769" t="str">
        <f t="shared" si="69"/>
        <v>Valid</v>
      </c>
      <c r="V769" t="str">
        <f t="shared" si="70"/>
        <v>Valid</v>
      </c>
      <c r="W769" t="str">
        <f t="shared" si="71"/>
        <v>Valid</v>
      </c>
    </row>
    <row r="770" spans="1:23">
      <c r="A770" t="s">
        <v>801</v>
      </c>
      <c r="B770" s="2">
        <v>45661</v>
      </c>
      <c r="C770" t="s">
        <v>723</v>
      </c>
      <c r="D770" t="s">
        <v>28</v>
      </c>
      <c r="E770" t="s">
        <v>24</v>
      </c>
      <c r="F770" t="s">
        <v>41</v>
      </c>
      <c r="G770" t="s">
        <v>26</v>
      </c>
      <c r="H770">
        <v>1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P770">
        <v>70.2</v>
      </c>
      <c r="R770" t="str">
        <f t="shared" si="66"/>
        <v>Unique</v>
      </c>
      <c r="S770" t="str">
        <f t="shared" si="67"/>
        <v>Valid</v>
      </c>
      <c r="T770" t="str">
        <f t="shared" si="68"/>
        <v>Valid</v>
      </c>
      <c r="U770" t="str">
        <f t="shared" si="69"/>
        <v>Valid</v>
      </c>
      <c r="V770" t="str">
        <f t="shared" si="70"/>
        <v>Valid</v>
      </c>
      <c r="W770" t="str">
        <f t="shared" si="71"/>
        <v>Valid</v>
      </c>
    </row>
    <row r="771" spans="1:23">
      <c r="A771" t="s">
        <v>802</v>
      </c>
      <c r="B771" s="2">
        <v>45697</v>
      </c>
      <c r="C771" t="s">
        <v>723</v>
      </c>
      <c r="D771" t="s">
        <v>32</v>
      </c>
      <c r="E771" t="s">
        <v>19</v>
      </c>
      <c r="F771" t="s">
        <v>25</v>
      </c>
      <c r="G771" t="s">
        <v>30</v>
      </c>
      <c r="H771">
        <v>1</v>
      </c>
      <c r="I771">
        <v>1</v>
      </c>
      <c r="J771">
        <v>1</v>
      </c>
      <c r="K771">
        <v>0</v>
      </c>
      <c r="L771">
        <v>0</v>
      </c>
      <c r="M771">
        <v>0</v>
      </c>
      <c r="N771">
        <v>0</v>
      </c>
      <c r="P771">
        <v>56.6</v>
      </c>
      <c r="R771" t="str">
        <f t="shared" ref="R771:R834" si="72">IF(COUNTIF($A:$A,A771)&gt;1,"Duplicate","Unique")</f>
        <v>Unique</v>
      </c>
      <c r="S771" t="str">
        <f t="shared" ref="S771:S834" si="73">IF(OR(H771=0,H771=1),"Valid","Invalid")</f>
        <v>Valid</v>
      </c>
      <c r="T771" t="str">
        <f t="shared" ref="T771:T834" si="74">IF(OR(I771=0,I771=1),"Valid","Invalid")</f>
        <v>Valid</v>
      </c>
      <c r="U771" t="str">
        <f t="shared" ref="U771:U834" si="75">IF(OR(J771=0,J771=1),"Valid","Invalid")</f>
        <v>Valid</v>
      </c>
      <c r="V771" t="str">
        <f t="shared" ref="V771:V834" si="76">IF(OR(K771=0,K771=1),"Valid","Invalid")</f>
        <v>Valid</v>
      </c>
      <c r="W771" t="str">
        <f t="shared" ref="W771:W834" si="77">IF(OR(N771=0,N771=1),"Valid","Invalid")</f>
        <v>Valid</v>
      </c>
    </row>
    <row r="772" spans="1:23">
      <c r="A772" t="s">
        <v>803</v>
      </c>
      <c r="B772" s="2">
        <v>45721</v>
      </c>
      <c r="C772" t="s">
        <v>723</v>
      </c>
      <c r="D772" t="s">
        <v>28</v>
      </c>
      <c r="E772" t="s">
        <v>19</v>
      </c>
      <c r="F772" t="s">
        <v>25</v>
      </c>
      <c r="G772" t="s">
        <v>26</v>
      </c>
      <c r="H772">
        <v>1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P772">
        <v>65.400000000000006</v>
      </c>
      <c r="R772" t="str">
        <f t="shared" si="72"/>
        <v>Unique</v>
      </c>
      <c r="S772" t="str">
        <f t="shared" si="73"/>
        <v>Valid</v>
      </c>
      <c r="T772" t="str">
        <f t="shared" si="74"/>
        <v>Valid</v>
      </c>
      <c r="U772" t="str">
        <f t="shared" si="75"/>
        <v>Valid</v>
      </c>
      <c r="V772" t="str">
        <f t="shared" si="76"/>
        <v>Valid</v>
      </c>
      <c r="W772" t="str">
        <f t="shared" si="77"/>
        <v>Valid</v>
      </c>
    </row>
    <row r="773" spans="1:23">
      <c r="A773" t="s">
        <v>804</v>
      </c>
      <c r="B773" s="2">
        <v>45726</v>
      </c>
      <c r="C773" t="s">
        <v>723</v>
      </c>
      <c r="D773" t="s">
        <v>28</v>
      </c>
      <c r="E773" t="s">
        <v>24</v>
      </c>
      <c r="F773" t="s">
        <v>39</v>
      </c>
      <c r="G773" t="s">
        <v>21</v>
      </c>
      <c r="H773">
        <v>1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P773">
        <v>47.6</v>
      </c>
      <c r="R773" t="str">
        <f t="shared" si="72"/>
        <v>Unique</v>
      </c>
      <c r="S773" t="str">
        <f t="shared" si="73"/>
        <v>Valid</v>
      </c>
      <c r="T773" t="str">
        <f t="shared" si="74"/>
        <v>Valid</v>
      </c>
      <c r="U773" t="str">
        <f t="shared" si="75"/>
        <v>Valid</v>
      </c>
      <c r="V773" t="str">
        <f t="shared" si="76"/>
        <v>Valid</v>
      </c>
      <c r="W773" t="str">
        <f t="shared" si="77"/>
        <v>Valid</v>
      </c>
    </row>
    <row r="774" spans="1:23">
      <c r="A774" t="s">
        <v>805</v>
      </c>
      <c r="B774" s="2">
        <v>45715</v>
      </c>
      <c r="C774" t="s">
        <v>723</v>
      </c>
      <c r="D774" t="s">
        <v>28</v>
      </c>
      <c r="E774" t="s">
        <v>19</v>
      </c>
      <c r="F774" t="s">
        <v>29</v>
      </c>
      <c r="G774" t="s">
        <v>26</v>
      </c>
      <c r="H774">
        <v>1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P774">
        <v>56.7</v>
      </c>
      <c r="R774" t="str">
        <f t="shared" si="72"/>
        <v>Unique</v>
      </c>
      <c r="S774" t="str">
        <f t="shared" si="73"/>
        <v>Valid</v>
      </c>
      <c r="T774" t="str">
        <f t="shared" si="74"/>
        <v>Valid</v>
      </c>
      <c r="U774" t="str">
        <f t="shared" si="75"/>
        <v>Valid</v>
      </c>
      <c r="V774" t="str">
        <f t="shared" si="76"/>
        <v>Valid</v>
      </c>
      <c r="W774" t="str">
        <f t="shared" si="77"/>
        <v>Valid</v>
      </c>
    </row>
    <row r="775" spans="1:23">
      <c r="A775" t="s">
        <v>806</v>
      </c>
      <c r="B775" s="2">
        <v>45726</v>
      </c>
      <c r="C775" t="s">
        <v>723</v>
      </c>
      <c r="D775" t="s">
        <v>18</v>
      </c>
      <c r="E775" t="s">
        <v>19</v>
      </c>
      <c r="F775" t="s">
        <v>39</v>
      </c>
      <c r="G775" t="s">
        <v>21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P775">
        <v>71.400000000000006</v>
      </c>
      <c r="R775" t="str">
        <f t="shared" si="72"/>
        <v>Unique</v>
      </c>
      <c r="S775" t="str">
        <f t="shared" si="73"/>
        <v>Valid</v>
      </c>
      <c r="T775" t="str">
        <f t="shared" si="74"/>
        <v>Valid</v>
      </c>
      <c r="U775" t="str">
        <f t="shared" si="75"/>
        <v>Valid</v>
      </c>
      <c r="V775" t="str">
        <f t="shared" si="76"/>
        <v>Valid</v>
      </c>
      <c r="W775" t="str">
        <f t="shared" si="77"/>
        <v>Valid</v>
      </c>
    </row>
    <row r="776" spans="1:23">
      <c r="A776" t="s">
        <v>807</v>
      </c>
      <c r="B776" s="2">
        <v>45770</v>
      </c>
      <c r="C776" t="s">
        <v>723</v>
      </c>
      <c r="D776" t="s">
        <v>23</v>
      </c>
      <c r="E776" t="s">
        <v>24</v>
      </c>
      <c r="F776" t="s">
        <v>41</v>
      </c>
      <c r="G776" t="s">
        <v>26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2</v>
      </c>
      <c r="N776">
        <v>0</v>
      </c>
      <c r="P776">
        <v>60.5</v>
      </c>
      <c r="R776" t="str">
        <f t="shared" si="72"/>
        <v>Unique</v>
      </c>
      <c r="S776" t="str">
        <f t="shared" si="73"/>
        <v>Valid</v>
      </c>
      <c r="T776" t="str">
        <f t="shared" si="74"/>
        <v>Valid</v>
      </c>
      <c r="U776" t="str">
        <f t="shared" si="75"/>
        <v>Valid</v>
      </c>
      <c r="V776" t="str">
        <f t="shared" si="76"/>
        <v>Valid</v>
      </c>
      <c r="W776" t="str">
        <f t="shared" si="77"/>
        <v>Valid</v>
      </c>
    </row>
    <row r="777" spans="1:23">
      <c r="A777" t="s">
        <v>808</v>
      </c>
      <c r="B777" s="2">
        <v>45759</v>
      </c>
      <c r="C777" t="s">
        <v>723</v>
      </c>
      <c r="D777" t="s">
        <v>18</v>
      </c>
      <c r="E777" t="s">
        <v>19</v>
      </c>
      <c r="F777" t="s">
        <v>29</v>
      </c>
      <c r="G777" t="s">
        <v>26</v>
      </c>
      <c r="H777">
        <v>1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P777">
        <v>46.7</v>
      </c>
      <c r="R777" t="str">
        <f t="shared" si="72"/>
        <v>Unique</v>
      </c>
      <c r="S777" t="str">
        <f t="shared" si="73"/>
        <v>Valid</v>
      </c>
      <c r="T777" t="str">
        <f t="shared" si="74"/>
        <v>Valid</v>
      </c>
      <c r="U777" t="str">
        <f t="shared" si="75"/>
        <v>Valid</v>
      </c>
      <c r="V777" t="str">
        <f t="shared" si="76"/>
        <v>Valid</v>
      </c>
      <c r="W777" t="str">
        <f t="shared" si="77"/>
        <v>Valid</v>
      </c>
    </row>
    <row r="778" spans="1:23">
      <c r="A778" t="s">
        <v>809</v>
      </c>
      <c r="B778" s="2">
        <v>45683</v>
      </c>
      <c r="C778" t="s">
        <v>723</v>
      </c>
      <c r="D778" t="s">
        <v>28</v>
      </c>
      <c r="E778" t="s">
        <v>19</v>
      </c>
      <c r="F778" t="s">
        <v>39</v>
      </c>
      <c r="G778" t="s">
        <v>26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P778">
        <v>61</v>
      </c>
      <c r="R778" t="str">
        <f t="shared" si="72"/>
        <v>Unique</v>
      </c>
      <c r="S778" t="str">
        <f t="shared" si="73"/>
        <v>Valid</v>
      </c>
      <c r="T778" t="str">
        <f t="shared" si="74"/>
        <v>Valid</v>
      </c>
      <c r="U778" t="str">
        <f t="shared" si="75"/>
        <v>Valid</v>
      </c>
      <c r="V778" t="str">
        <f t="shared" si="76"/>
        <v>Valid</v>
      </c>
      <c r="W778" t="str">
        <f t="shared" si="77"/>
        <v>Valid</v>
      </c>
    </row>
    <row r="779" spans="1:23">
      <c r="A779" t="s">
        <v>810</v>
      </c>
      <c r="B779" s="2">
        <v>45801</v>
      </c>
      <c r="C779" t="s">
        <v>723</v>
      </c>
      <c r="D779" t="s">
        <v>23</v>
      </c>
      <c r="E779" t="s">
        <v>34</v>
      </c>
      <c r="F779" t="s">
        <v>29</v>
      </c>
      <c r="G779" t="s">
        <v>26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P779">
        <v>60.9</v>
      </c>
      <c r="R779" t="str">
        <f t="shared" si="72"/>
        <v>Unique</v>
      </c>
      <c r="S779" t="str">
        <f t="shared" si="73"/>
        <v>Valid</v>
      </c>
      <c r="T779" t="str">
        <f t="shared" si="74"/>
        <v>Valid</v>
      </c>
      <c r="U779" t="str">
        <f t="shared" si="75"/>
        <v>Valid</v>
      </c>
      <c r="V779" t="str">
        <f t="shared" si="76"/>
        <v>Valid</v>
      </c>
      <c r="W779" t="str">
        <f t="shared" si="77"/>
        <v>Valid</v>
      </c>
    </row>
    <row r="780" spans="1:23">
      <c r="A780" t="s">
        <v>811</v>
      </c>
      <c r="B780" s="2">
        <v>45665</v>
      </c>
      <c r="C780" t="s">
        <v>723</v>
      </c>
      <c r="D780" t="s">
        <v>32</v>
      </c>
      <c r="E780" t="s">
        <v>24</v>
      </c>
      <c r="F780" t="s">
        <v>25</v>
      </c>
      <c r="G780" t="s">
        <v>26</v>
      </c>
      <c r="H780">
        <v>1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P780">
        <v>67.099999999999994</v>
      </c>
      <c r="R780" t="str">
        <f t="shared" si="72"/>
        <v>Unique</v>
      </c>
      <c r="S780" t="str">
        <f t="shared" si="73"/>
        <v>Valid</v>
      </c>
      <c r="T780" t="str">
        <f t="shared" si="74"/>
        <v>Valid</v>
      </c>
      <c r="U780" t="str">
        <f t="shared" si="75"/>
        <v>Valid</v>
      </c>
      <c r="V780" t="str">
        <f t="shared" si="76"/>
        <v>Valid</v>
      </c>
      <c r="W780" t="str">
        <f t="shared" si="77"/>
        <v>Valid</v>
      </c>
    </row>
    <row r="781" spans="1:23">
      <c r="A781" t="s">
        <v>812</v>
      </c>
      <c r="B781" s="2">
        <v>45762</v>
      </c>
      <c r="C781" t="s">
        <v>723</v>
      </c>
      <c r="D781" t="s">
        <v>18</v>
      </c>
      <c r="E781" t="s">
        <v>24</v>
      </c>
      <c r="F781" t="s">
        <v>39</v>
      </c>
      <c r="G781" t="s">
        <v>26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P781">
        <v>59.6</v>
      </c>
      <c r="R781" t="str">
        <f t="shared" si="72"/>
        <v>Unique</v>
      </c>
      <c r="S781" t="str">
        <f t="shared" si="73"/>
        <v>Valid</v>
      </c>
      <c r="T781" t="str">
        <f t="shared" si="74"/>
        <v>Valid</v>
      </c>
      <c r="U781" t="str">
        <f t="shared" si="75"/>
        <v>Valid</v>
      </c>
      <c r="V781" t="str">
        <f t="shared" si="76"/>
        <v>Valid</v>
      </c>
      <c r="W781" t="str">
        <f t="shared" si="77"/>
        <v>Valid</v>
      </c>
    </row>
    <row r="782" spans="1:23">
      <c r="A782" t="s">
        <v>813</v>
      </c>
      <c r="B782" s="2">
        <v>45672</v>
      </c>
      <c r="C782" t="s">
        <v>723</v>
      </c>
      <c r="D782" t="s">
        <v>32</v>
      </c>
      <c r="E782" t="s">
        <v>19</v>
      </c>
      <c r="F782" t="s">
        <v>29</v>
      </c>
      <c r="G782" t="s">
        <v>26</v>
      </c>
      <c r="H782">
        <v>1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P782">
        <v>83.8</v>
      </c>
      <c r="R782" t="str">
        <f t="shared" si="72"/>
        <v>Unique</v>
      </c>
      <c r="S782" t="str">
        <f t="shared" si="73"/>
        <v>Valid</v>
      </c>
      <c r="T782" t="str">
        <f t="shared" si="74"/>
        <v>Valid</v>
      </c>
      <c r="U782" t="str">
        <f t="shared" si="75"/>
        <v>Valid</v>
      </c>
      <c r="V782" t="str">
        <f t="shared" si="76"/>
        <v>Valid</v>
      </c>
      <c r="W782" t="str">
        <f t="shared" si="77"/>
        <v>Valid</v>
      </c>
    </row>
    <row r="783" spans="1:23">
      <c r="A783" t="s">
        <v>814</v>
      </c>
      <c r="B783" s="2">
        <v>45716</v>
      </c>
      <c r="C783" t="s">
        <v>723</v>
      </c>
      <c r="D783" t="s">
        <v>18</v>
      </c>
      <c r="E783" t="s">
        <v>24</v>
      </c>
      <c r="F783" t="s">
        <v>25</v>
      </c>
      <c r="G783" t="s">
        <v>21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P783">
        <v>70.8</v>
      </c>
      <c r="R783" t="str">
        <f t="shared" si="72"/>
        <v>Unique</v>
      </c>
      <c r="S783" t="str">
        <f t="shared" si="73"/>
        <v>Valid</v>
      </c>
      <c r="T783" t="str">
        <f t="shared" si="74"/>
        <v>Valid</v>
      </c>
      <c r="U783" t="str">
        <f t="shared" si="75"/>
        <v>Valid</v>
      </c>
      <c r="V783" t="str">
        <f t="shared" si="76"/>
        <v>Valid</v>
      </c>
      <c r="W783" t="str">
        <f t="shared" si="77"/>
        <v>Valid</v>
      </c>
    </row>
    <row r="784" spans="1:23">
      <c r="A784" t="s">
        <v>815</v>
      </c>
      <c r="B784" s="2">
        <v>45658</v>
      </c>
      <c r="C784" t="s">
        <v>723</v>
      </c>
      <c r="D784" t="s">
        <v>18</v>
      </c>
      <c r="E784" t="s">
        <v>34</v>
      </c>
      <c r="F784" t="s">
        <v>25</v>
      </c>
      <c r="G784" t="s">
        <v>21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P784">
        <v>65.900000000000006</v>
      </c>
      <c r="R784" t="str">
        <f t="shared" si="72"/>
        <v>Unique</v>
      </c>
      <c r="S784" t="str">
        <f t="shared" si="73"/>
        <v>Valid</v>
      </c>
      <c r="T784" t="str">
        <f t="shared" si="74"/>
        <v>Valid</v>
      </c>
      <c r="U784" t="str">
        <f t="shared" si="75"/>
        <v>Valid</v>
      </c>
      <c r="V784" t="str">
        <f t="shared" si="76"/>
        <v>Valid</v>
      </c>
      <c r="W784" t="str">
        <f t="shared" si="77"/>
        <v>Valid</v>
      </c>
    </row>
    <row r="785" spans="1:23">
      <c r="A785" t="s">
        <v>816</v>
      </c>
      <c r="B785" s="2">
        <v>45764</v>
      </c>
      <c r="C785" t="s">
        <v>723</v>
      </c>
      <c r="D785" t="s">
        <v>23</v>
      </c>
      <c r="E785" t="s">
        <v>24</v>
      </c>
      <c r="F785" t="s">
        <v>39</v>
      </c>
      <c r="G785" t="s">
        <v>26</v>
      </c>
      <c r="H785">
        <v>1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P785">
        <v>58</v>
      </c>
      <c r="R785" t="str">
        <f t="shared" si="72"/>
        <v>Unique</v>
      </c>
      <c r="S785" t="str">
        <f t="shared" si="73"/>
        <v>Valid</v>
      </c>
      <c r="T785" t="str">
        <f t="shared" si="74"/>
        <v>Valid</v>
      </c>
      <c r="U785" t="str">
        <f t="shared" si="75"/>
        <v>Valid</v>
      </c>
      <c r="V785" t="str">
        <f t="shared" si="76"/>
        <v>Valid</v>
      </c>
      <c r="W785" t="str">
        <f t="shared" si="77"/>
        <v>Valid</v>
      </c>
    </row>
    <row r="786" spans="1:23">
      <c r="A786" t="s">
        <v>817</v>
      </c>
      <c r="B786" s="2">
        <v>45707</v>
      </c>
      <c r="C786" t="s">
        <v>723</v>
      </c>
      <c r="D786" t="s">
        <v>18</v>
      </c>
      <c r="E786" t="s">
        <v>24</v>
      </c>
      <c r="F786" t="s">
        <v>20</v>
      </c>
      <c r="G786" t="s">
        <v>21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P786">
        <v>80.3</v>
      </c>
      <c r="R786" t="str">
        <f t="shared" si="72"/>
        <v>Unique</v>
      </c>
      <c r="S786" t="str">
        <f t="shared" si="73"/>
        <v>Valid</v>
      </c>
      <c r="T786" t="str">
        <f t="shared" si="74"/>
        <v>Valid</v>
      </c>
      <c r="U786" t="str">
        <f t="shared" si="75"/>
        <v>Valid</v>
      </c>
      <c r="V786" t="str">
        <f t="shared" si="76"/>
        <v>Valid</v>
      </c>
      <c r="W786" t="str">
        <f t="shared" si="77"/>
        <v>Valid</v>
      </c>
    </row>
    <row r="787" spans="1:23">
      <c r="A787" t="s">
        <v>818</v>
      </c>
      <c r="B787" s="2">
        <v>45730</v>
      </c>
      <c r="C787" t="s">
        <v>723</v>
      </c>
      <c r="D787" t="s">
        <v>18</v>
      </c>
      <c r="E787" t="s">
        <v>19</v>
      </c>
      <c r="F787" t="s">
        <v>25</v>
      </c>
      <c r="G787" t="s">
        <v>26</v>
      </c>
      <c r="H787">
        <v>1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P787">
        <v>55.7</v>
      </c>
      <c r="R787" t="str">
        <f t="shared" si="72"/>
        <v>Unique</v>
      </c>
      <c r="S787" t="str">
        <f t="shared" si="73"/>
        <v>Valid</v>
      </c>
      <c r="T787" t="str">
        <f t="shared" si="74"/>
        <v>Valid</v>
      </c>
      <c r="U787" t="str">
        <f t="shared" si="75"/>
        <v>Valid</v>
      </c>
      <c r="V787" t="str">
        <f t="shared" si="76"/>
        <v>Valid</v>
      </c>
      <c r="W787" t="str">
        <f t="shared" si="77"/>
        <v>Valid</v>
      </c>
    </row>
    <row r="788" spans="1:23">
      <c r="A788" t="s">
        <v>819</v>
      </c>
      <c r="B788" s="2">
        <v>45768</v>
      </c>
      <c r="C788" t="s">
        <v>723</v>
      </c>
      <c r="D788" t="s">
        <v>18</v>
      </c>
      <c r="E788" t="s">
        <v>24</v>
      </c>
      <c r="F788" t="s">
        <v>25</v>
      </c>
      <c r="G788" t="s">
        <v>26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P788">
        <v>84.9</v>
      </c>
      <c r="R788" t="str">
        <f t="shared" si="72"/>
        <v>Unique</v>
      </c>
      <c r="S788" t="str">
        <f t="shared" si="73"/>
        <v>Valid</v>
      </c>
      <c r="T788" t="str">
        <f t="shared" si="74"/>
        <v>Valid</v>
      </c>
      <c r="U788" t="str">
        <f t="shared" si="75"/>
        <v>Valid</v>
      </c>
      <c r="V788" t="str">
        <f t="shared" si="76"/>
        <v>Valid</v>
      </c>
      <c r="W788" t="str">
        <f t="shared" si="77"/>
        <v>Valid</v>
      </c>
    </row>
    <row r="789" spans="1:23">
      <c r="A789" t="s">
        <v>820</v>
      </c>
      <c r="B789" s="2">
        <v>45702</v>
      </c>
      <c r="C789" t="s">
        <v>723</v>
      </c>
      <c r="D789" t="s">
        <v>18</v>
      </c>
      <c r="E789" t="s">
        <v>24</v>
      </c>
      <c r="F789" t="s">
        <v>25</v>
      </c>
      <c r="G789" t="s">
        <v>26</v>
      </c>
      <c r="H789">
        <v>1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P789">
        <v>63.3</v>
      </c>
      <c r="R789" t="str">
        <f t="shared" si="72"/>
        <v>Unique</v>
      </c>
      <c r="S789" t="str">
        <f t="shared" si="73"/>
        <v>Valid</v>
      </c>
      <c r="T789" t="str">
        <f t="shared" si="74"/>
        <v>Valid</v>
      </c>
      <c r="U789" t="str">
        <f t="shared" si="75"/>
        <v>Valid</v>
      </c>
      <c r="V789" t="str">
        <f t="shared" si="76"/>
        <v>Valid</v>
      </c>
      <c r="W789" t="str">
        <f t="shared" si="77"/>
        <v>Valid</v>
      </c>
    </row>
    <row r="790" spans="1:23">
      <c r="A790" t="s">
        <v>821</v>
      </c>
      <c r="B790" s="2">
        <v>45807</v>
      </c>
      <c r="C790" t="s">
        <v>723</v>
      </c>
      <c r="D790" t="s">
        <v>23</v>
      </c>
      <c r="E790" t="s">
        <v>24</v>
      </c>
      <c r="F790" t="s">
        <v>25</v>
      </c>
      <c r="G790" t="s">
        <v>26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P790">
        <v>53.1</v>
      </c>
      <c r="R790" t="str">
        <f t="shared" si="72"/>
        <v>Unique</v>
      </c>
      <c r="S790" t="str">
        <f t="shared" si="73"/>
        <v>Valid</v>
      </c>
      <c r="T790" t="str">
        <f t="shared" si="74"/>
        <v>Valid</v>
      </c>
      <c r="U790" t="str">
        <f t="shared" si="75"/>
        <v>Valid</v>
      </c>
      <c r="V790" t="str">
        <f t="shared" si="76"/>
        <v>Valid</v>
      </c>
      <c r="W790" t="str">
        <f t="shared" si="77"/>
        <v>Valid</v>
      </c>
    </row>
    <row r="791" spans="1:23">
      <c r="A791" t="s">
        <v>822</v>
      </c>
      <c r="B791" s="2">
        <v>45677</v>
      </c>
      <c r="C791" t="s">
        <v>723</v>
      </c>
      <c r="D791" t="s">
        <v>23</v>
      </c>
      <c r="E791" t="s">
        <v>24</v>
      </c>
      <c r="F791" t="s">
        <v>25</v>
      </c>
      <c r="G791" t="s">
        <v>26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P791">
        <v>66</v>
      </c>
      <c r="R791" t="str">
        <f t="shared" si="72"/>
        <v>Unique</v>
      </c>
      <c r="S791" t="str">
        <f t="shared" si="73"/>
        <v>Valid</v>
      </c>
      <c r="T791" t="str">
        <f t="shared" si="74"/>
        <v>Valid</v>
      </c>
      <c r="U791" t="str">
        <f t="shared" si="75"/>
        <v>Valid</v>
      </c>
      <c r="V791" t="str">
        <f t="shared" si="76"/>
        <v>Valid</v>
      </c>
      <c r="W791" t="str">
        <f t="shared" si="77"/>
        <v>Valid</v>
      </c>
    </row>
    <row r="792" spans="1:23">
      <c r="A792" t="s">
        <v>823</v>
      </c>
      <c r="B792" s="2">
        <v>45733</v>
      </c>
      <c r="C792" t="s">
        <v>723</v>
      </c>
      <c r="D792" t="s">
        <v>23</v>
      </c>
      <c r="E792" t="s">
        <v>24</v>
      </c>
      <c r="F792" t="s">
        <v>41</v>
      </c>
      <c r="G792" t="s">
        <v>30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P792">
        <v>54.7</v>
      </c>
      <c r="R792" t="str">
        <f t="shared" si="72"/>
        <v>Unique</v>
      </c>
      <c r="S792" t="str">
        <f t="shared" si="73"/>
        <v>Valid</v>
      </c>
      <c r="T792" t="str">
        <f t="shared" si="74"/>
        <v>Valid</v>
      </c>
      <c r="U792" t="str">
        <f t="shared" si="75"/>
        <v>Valid</v>
      </c>
      <c r="V792" t="str">
        <f t="shared" si="76"/>
        <v>Valid</v>
      </c>
      <c r="W792" t="str">
        <f t="shared" si="77"/>
        <v>Valid</v>
      </c>
    </row>
    <row r="793" spans="1:23">
      <c r="A793" t="s">
        <v>824</v>
      </c>
      <c r="B793" s="2">
        <v>45720</v>
      </c>
      <c r="C793" t="s">
        <v>723</v>
      </c>
      <c r="D793" t="s">
        <v>23</v>
      </c>
      <c r="E793" t="s">
        <v>24</v>
      </c>
      <c r="F793" t="s">
        <v>41</v>
      </c>
      <c r="G793" t="s">
        <v>26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1</v>
      </c>
      <c r="N793">
        <v>0</v>
      </c>
      <c r="P793">
        <v>41.2</v>
      </c>
      <c r="R793" t="str">
        <f t="shared" si="72"/>
        <v>Unique</v>
      </c>
      <c r="S793" t="str">
        <f t="shared" si="73"/>
        <v>Valid</v>
      </c>
      <c r="T793" t="str">
        <f t="shared" si="74"/>
        <v>Valid</v>
      </c>
      <c r="U793" t="str">
        <f t="shared" si="75"/>
        <v>Valid</v>
      </c>
      <c r="V793" t="str">
        <f t="shared" si="76"/>
        <v>Valid</v>
      </c>
      <c r="W793" t="str">
        <f t="shared" si="77"/>
        <v>Valid</v>
      </c>
    </row>
    <row r="794" spans="1:23">
      <c r="A794" t="s">
        <v>825</v>
      </c>
      <c r="B794" s="2">
        <v>45710</v>
      </c>
      <c r="C794" t="s">
        <v>723</v>
      </c>
      <c r="D794" t="s">
        <v>32</v>
      </c>
      <c r="E794" t="s">
        <v>24</v>
      </c>
      <c r="F794" t="s">
        <v>25</v>
      </c>
      <c r="G794" t="s">
        <v>30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P794">
        <v>66.7</v>
      </c>
      <c r="R794" t="str">
        <f t="shared" si="72"/>
        <v>Unique</v>
      </c>
      <c r="S794" t="str">
        <f t="shared" si="73"/>
        <v>Valid</v>
      </c>
      <c r="T794" t="str">
        <f t="shared" si="74"/>
        <v>Valid</v>
      </c>
      <c r="U794" t="str">
        <f t="shared" si="75"/>
        <v>Valid</v>
      </c>
      <c r="V794" t="str">
        <f t="shared" si="76"/>
        <v>Valid</v>
      </c>
      <c r="W794" t="str">
        <f t="shared" si="77"/>
        <v>Valid</v>
      </c>
    </row>
    <row r="795" spans="1:23">
      <c r="A795" t="s">
        <v>826</v>
      </c>
      <c r="B795" s="2">
        <v>45779</v>
      </c>
      <c r="C795" t="s">
        <v>723</v>
      </c>
      <c r="D795" t="s">
        <v>18</v>
      </c>
      <c r="E795" t="s">
        <v>24</v>
      </c>
      <c r="F795" t="s">
        <v>29</v>
      </c>
      <c r="G795" t="s">
        <v>30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P795">
        <v>39.4</v>
      </c>
      <c r="R795" t="str">
        <f t="shared" si="72"/>
        <v>Unique</v>
      </c>
      <c r="S795" t="str">
        <f t="shared" si="73"/>
        <v>Valid</v>
      </c>
      <c r="T795" t="str">
        <f t="shared" si="74"/>
        <v>Valid</v>
      </c>
      <c r="U795" t="str">
        <f t="shared" si="75"/>
        <v>Valid</v>
      </c>
      <c r="V795" t="str">
        <f t="shared" si="76"/>
        <v>Valid</v>
      </c>
      <c r="W795" t="str">
        <f t="shared" si="77"/>
        <v>Valid</v>
      </c>
    </row>
    <row r="796" spans="1:23">
      <c r="A796" t="s">
        <v>827</v>
      </c>
      <c r="B796" s="2">
        <v>45729</v>
      </c>
      <c r="C796" t="s">
        <v>723</v>
      </c>
      <c r="D796" t="s">
        <v>23</v>
      </c>
      <c r="E796" t="s">
        <v>19</v>
      </c>
      <c r="F796" t="s">
        <v>25</v>
      </c>
      <c r="G796" t="s">
        <v>30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3</v>
      </c>
      <c r="N796">
        <v>0</v>
      </c>
      <c r="P796">
        <v>67</v>
      </c>
      <c r="R796" t="str">
        <f t="shared" si="72"/>
        <v>Unique</v>
      </c>
      <c r="S796" t="str">
        <f t="shared" si="73"/>
        <v>Valid</v>
      </c>
      <c r="T796" t="str">
        <f t="shared" si="74"/>
        <v>Valid</v>
      </c>
      <c r="U796" t="str">
        <f t="shared" si="75"/>
        <v>Valid</v>
      </c>
      <c r="V796" t="str">
        <f t="shared" si="76"/>
        <v>Valid</v>
      </c>
      <c r="W796" t="str">
        <f t="shared" si="77"/>
        <v>Valid</v>
      </c>
    </row>
    <row r="797" spans="1:23">
      <c r="A797" t="s">
        <v>828</v>
      </c>
      <c r="B797" s="2">
        <v>45808</v>
      </c>
      <c r="C797" t="s">
        <v>723</v>
      </c>
      <c r="D797" t="s">
        <v>32</v>
      </c>
      <c r="E797" t="s">
        <v>24</v>
      </c>
      <c r="F797" t="s">
        <v>25</v>
      </c>
      <c r="G797" t="s">
        <v>21</v>
      </c>
      <c r="H797">
        <v>1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P797">
        <v>50.4</v>
      </c>
      <c r="R797" t="str">
        <f t="shared" si="72"/>
        <v>Unique</v>
      </c>
      <c r="S797" t="str">
        <f t="shared" si="73"/>
        <v>Valid</v>
      </c>
      <c r="T797" t="str">
        <f t="shared" si="74"/>
        <v>Valid</v>
      </c>
      <c r="U797" t="str">
        <f t="shared" si="75"/>
        <v>Valid</v>
      </c>
      <c r="V797" t="str">
        <f t="shared" si="76"/>
        <v>Valid</v>
      </c>
      <c r="W797" t="str">
        <f t="shared" si="77"/>
        <v>Valid</v>
      </c>
    </row>
    <row r="798" spans="1:23">
      <c r="A798" t="s">
        <v>829</v>
      </c>
      <c r="B798" s="2">
        <v>45723</v>
      </c>
      <c r="C798" t="s">
        <v>723</v>
      </c>
      <c r="D798" t="s">
        <v>23</v>
      </c>
      <c r="E798" t="s">
        <v>19</v>
      </c>
      <c r="F798" t="s">
        <v>41</v>
      </c>
      <c r="G798" t="s">
        <v>26</v>
      </c>
      <c r="H798">
        <v>1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P798">
        <v>53.8</v>
      </c>
      <c r="R798" t="str">
        <f t="shared" si="72"/>
        <v>Unique</v>
      </c>
      <c r="S798" t="str">
        <f t="shared" si="73"/>
        <v>Valid</v>
      </c>
      <c r="T798" t="str">
        <f t="shared" si="74"/>
        <v>Valid</v>
      </c>
      <c r="U798" t="str">
        <f t="shared" si="75"/>
        <v>Valid</v>
      </c>
      <c r="V798" t="str">
        <f t="shared" si="76"/>
        <v>Valid</v>
      </c>
      <c r="W798" t="str">
        <f t="shared" si="77"/>
        <v>Valid</v>
      </c>
    </row>
    <row r="799" spans="1:23">
      <c r="A799" t="s">
        <v>830</v>
      </c>
      <c r="B799" s="2">
        <v>45710</v>
      </c>
      <c r="C799" t="s">
        <v>723</v>
      </c>
      <c r="D799" t="s">
        <v>23</v>
      </c>
      <c r="E799" t="s">
        <v>24</v>
      </c>
      <c r="F799" t="s">
        <v>29</v>
      </c>
      <c r="G799" t="s">
        <v>21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1</v>
      </c>
      <c r="N799">
        <v>0</v>
      </c>
      <c r="P799">
        <v>82.7</v>
      </c>
      <c r="R799" t="str">
        <f t="shared" si="72"/>
        <v>Unique</v>
      </c>
      <c r="S799" t="str">
        <f t="shared" si="73"/>
        <v>Valid</v>
      </c>
      <c r="T799" t="str">
        <f t="shared" si="74"/>
        <v>Valid</v>
      </c>
      <c r="U799" t="str">
        <f t="shared" si="75"/>
        <v>Valid</v>
      </c>
      <c r="V799" t="str">
        <f t="shared" si="76"/>
        <v>Valid</v>
      </c>
      <c r="W799" t="str">
        <f t="shared" si="77"/>
        <v>Valid</v>
      </c>
    </row>
    <row r="800" spans="1:23">
      <c r="A800" t="s">
        <v>831</v>
      </c>
      <c r="B800" s="2">
        <v>45662</v>
      </c>
      <c r="C800" t="s">
        <v>723</v>
      </c>
      <c r="D800" t="s">
        <v>23</v>
      </c>
      <c r="E800" t="s">
        <v>19</v>
      </c>
      <c r="F800" t="s">
        <v>29</v>
      </c>
      <c r="G800" t="s">
        <v>26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P800">
        <v>63.9</v>
      </c>
      <c r="R800" t="str">
        <f t="shared" si="72"/>
        <v>Unique</v>
      </c>
      <c r="S800" t="str">
        <f t="shared" si="73"/>
        <v>Valid</v>
      </c>
      <c r="T800" t="str">
        <f t="shared" si="74"/>
        <v>Valid</v>
      </c>
      <c r="U800" t="str">
        <f t="shared" si="75"/>
        <v>Valid</v>
      </c>
      <c r="V800" t="str">
        <f t="shared" si="76"/>
        <v>Valid</v>
      </c>
      <c r="W800" t="str">
        <f t="shared" si="77"/>
        <v>Valid</v>
      </c>
    </row>
    <row r="801" spans="1:23">
      <c r="A801" t="s">
        <v>832</v>
      </c>
      <c r="B801" s="2">
        <v>45678</v>
      </c>
      <c r="C801" t="s">
        <v>723</v>
      </c>
      <c r="D801" t="s">
        <v>23</v>
      </c>
      <c r="E801" t="s">
        <v>24</v>
      </c>
      <c r="F801" t="s">
        <v>39</v>
      </c>
      <c r="G801" t="s">
        <v>26</v>
      </c>
      <c r="H801">
        <v>1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P801">
        <v>61.9</v>
      </c>
      <c r="R801" t="str">
        <f t="shared" si="72"/>
        <v>Unique</v>
      </c>
      <c r="S801" t="str">
        <f t="shared" si="73"/>
        <v>Valid</v>
      </c>
      <c r="T801" t="str">
        <f t="shared" si="74"/>
        <v>Valid</v>
      </c>
      <c r="U801" t="str">
        <f t="shared" si="75"/>
        <v>Valid</v>
      </c>
      <c r="V801" t="str">
        <f t="shared" si="76"/>
        <v>Valid</v>
      </c>
      <c r="W801" t="str">
        <f t="shared" si="77"/>
        <v>Valid</v>
      </c>
    </row>
    <row r="802" spans="1:23">
      <c r="A802" t="s">
        <v>833</v>
      </c>
      <c r="B802" s="2">
        <v>45682</v>
      </c>
      <c r="C802" t="s">
        <v>723</v>
      </c>
      <c r="D802" t="s">
        <v>18</v>
      </c>
      <c r="E802" t="s">
        <v>19</v>
      </c>
      <c r="F802" t="s">
        <v>41</v>
      </c>
      <c r="G802" t="s">
        <v>26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P802">
        <v>75</v>
      </c>
      <c r="R802" t="str">
        <f t="shared" si="72"/>
        <v>Unique</v>
      </c>
      <c r="S802" t="str">
        <f t="shared" si="73"/>
        <v>Valid</v>
      </c>
      <c r="T802" t="str">
        <f t="shared" si="74"/>
        <v>Valid</v>
      </c>
      <c r="U802" t="str">
        <f t="shared" si="75"/>
        <v>Valid</v>
      </c>
      <c r="V802" t="str">
        <f t="shared" si="76"/>
        <v>Valid</v>
      </c>
      <c r="W802" t="str">
        <f t="shared" si="77"/>
        <v>Valid</v>
      </c>
    </row>
    <row r="803" spans="1:23">
      <c r="A803" t="s">
        <v>834</v>
      </c>
      <c r="B803" s="2">
        <v>45751</v>
      </c>
      <c r="C803" t="s">
        <v>723</v>
      </c>
      <c r="D803" t="s">
        <v>23</v>
      </c>
      <c r="E803" t="s">
        <v>24</v>
      </c>
      <c r="F803" t="s">
        <v>29</v>
      </c>
      <c r="G803" t="s">
        <v>21</v>
      </c>
      <c r="H803">
        <v>1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0</v>
      </c>
      <c r="P803">
        <v>43</v>
      </c>
      <c r="R803" t="str">
        <f t="shared" si="72"/>
        <v>Unique</v>
      </c>
      <c r="S803" t="str">
        <f t="shared" si="73"/>
        <v>Valid</v>
      </c>
      <c r="T803" t="str">
        <f t="shared" si="74"/>
        <v>Valid</v>
      </c>
      <c r="U803" t="str">
        <f t="shared" si="75"/>
        <v>Valid</v>
      </c>
      <c r="V803" t="str">
        <f t="shared" si="76"/>
        <v>Valid</v>
      </c>
      <c r="W803" t="str">
        <f t="shared" si="77"/>
        <v>Valid</v>
      </c>
    </row>
    <row r="804" spans="1:23">
      <c r="A804" t="s">
        <v>835</v>
      </c>
      <c r="B804" s="2">
        <v>45741</v>
      </c>
      <c r="C804" t="s">
        <v>723</v>
      </c>
      <c r="D804" t="s">
        <v>18</v>
      </c>
      <c r="E804" t="s">
        <v>19</v>
      </c>
      <c r="F804" t="s">
        <v>41</v>
      </c>
      <c r="G804" t="s">
        <v>30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P804">
        <v>54.3</v>
      </c>
      <c r="R804" t="str">
        <f t="shared" si="72"/>
        <v>Unique</v>
      </c>
      <c r="S804" t="str">
        <f t="shared" si="73"/>
        <v>Valid</v>
      </c>
      <c r="T804" t="str">
        <f t="shared" si="74"/>
        <v>Valid</v>
      </c>
      <c r="U804" t="str">
        <f t="shared" si="75"/>
        <v>Valid</v>
      </c>
      <c r="V804" t="str">
        <f t="shared" si="76"/>
        <v>Valid</v>
      </c>
      <c r="W804" t="str">
        <f t="shared" si="77"/>
        <v>Valid</v>
      </c>
    </row>
    <row r="805" spans="1:23">
      <c r="A805" t="s">
        <v>836</v>
      </c>
      <c r="B805" s="2">
        <v>45735</v>
      </c>
      <c r="C805" t="s">
        <v>723</v>
      </c>
      <c r="D805" t="s">
        <v>23</v>
      </c>
      <c r="E805" t="s">
        <v>24</v>
      </c>
      <c r="F805" t="s">
        <v>41</v>
      </c>
      <c r="G805" t="s">
        <v>26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2</v>
      </c>
      <c r="N805">
        <v>0</v>
      </c>
      <c r="P805">
        <v>44.3</v>
      </c>
      <c r="R805" t="str">
        <f t="shared" si="72"/>
        <v>Unique</v>
      </c>
      <c r="S805" t="str">
        <f t="shared" si="73"/>
        <v>Valid</v>
      </c>
      <c r="T805" t="str">
        <f t="shared" si="74"/>
        <v>Valid</v>
      </c>
      <c r="U805" t="str">
        <f t="shared" si="75"/>
        <v>Valid</v>
      </c>
      <c r="V805" t="str">
        <f t="shared" si="76"/>
        <v>Valid</v>
      </c>
      <c r="W805" t="str">
        <f t="shared" si="77"/>
        <v>Valid</v>
      </c>
    </row>
    <row r="806" spans="1:23">
      <c r="A806" t="s">
        <v>837</v>
      </c>
      <c r="B806" s="2">
        <v>45771</v>
      </c>
      <c r="C806" t="s">
        <v>723</v>
      </c>
      <c r="D806" t="s">
        <v>23</v>
      </c>
      <c r="E806" t="s">
        <v>19</v>
      </c>
      <c r="F806" t="s">
        <v>25</v>
      </c>
      <c r="G806" t="s">
        <v>26</v>
      </c>
      <c r="H806">
        <v>1</v>
      </c>
      <c r="I806">
        <v>1</v>
      </c>
      <c r="J806">
        <v>1</v>
      </c>
      <c r="K806">
        <v>1</v>
      </c>
      <c r="L806">
        <v>402.88</v>
      </c>
      <c r="M806">
        <v>0</v>
      </c>
      <c r="N806">
        <v>0</v>
      </c>
      <c r="O806">
        <v>12</v>
      </c>
      <c r="P806">
        <v>76</v>
      </c>
      <c r="R806" t="str">
        <f t="shared" si="72"/>
        <v>Unique</v>
      </c>
      <c r="S806" t="str">
        <f t="shared" si="73"/>
        <v>Valid</v>
      </c>
      <c r="T806" t="str">
        <f t="shared" si="74"/>
        <v>Valid</v>
      </c>
      <c r="U806" t="str">
        <f t="shared" si="75"/>
        <v>Valid</v>
      </c>
      <c r="V806" t="str">
        <f t="shared" si="76"/>
        <v>Valid</v>
      </c>
      <c r="W806" t="str">
        <f t="shared" si="77"/>
        <v>Valid</v>
      </c>
    </row>
    <row r="807" spans="1:23">
      <c r="A807" t="s">
        <v>838</v>
      </c>
      <c r="B807" s="2">
        <v>45751</v>
      </c>
      <c r="C807" t="s">
        <v>723</v>
      </c>
      <c r="D807" t="s">
        <v>32</v>
      </c>
      <c r="E807" t="s">
        <v>34</v>
      </c>
      <c r="F807" t="s">
        <v>25</v>
      </c>
      <c r="G807" t="s">
        <v>26</v>
      </c>
      <c r="H807">
        <v>1</v>
      </c>
      <c r="I807">
        <v>0</v>
      </c>
      <c r="J807">
        <v>0</v>
      </c>
      <c r="K807">
        <v>0</v>
      </c>
      <c r="L807">
        <v>0</v>
      </c>
      <c r="M807">
        <v>2</v>
      </c>
      <c r="N807">
        <v>0</v>
      </c>
      <c r="P807">
        <v>65.3</v>
      </c>
      <c r="R807" t="str">
        <f t="shared" si="72"/>
        <v>Unique</v>
      </c>
      <c r="S807" t="str">
        <f t="shared" si="73"/>
        <v>Valid</v>
      </c>
      <c r="T807" t="str">
        <f t="shared" si="74"/>
        <v>Valid</v>
      </c>
      <c r="U807" t="str">
        <f t="shared" si="75"/>
        <v>Valid</v>
      </c>
      <c r="V807" t="str">
        <f t="shared" si="76"/>
        <v>Valid</v>
      </c>
      <c r="W807" t="str">
        <f t="shared" si="77"/>
        <v>Valid</v>
      </c>
    </row>
    <row r="808" spans="1:23">
      <c r="A808" t="s">
        <v>839</v>
      </c>
      <c r="B808" s="2">
        <v>45744</v>
      </c>
      <c r="C808" t="s">
        <v>723</v>
      </c>
      <c r="D808" t="s">
        <v>32</v>
      </c>
      <c r="E808" t="s">
        <v>19</v>
      </c>
      <c r="F808" t="s">
        <v>29</v>
      </c>
      <c r="G808" t="s">
        <v>30</v>
      </c>
      <c r="H808">
        <v>1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P808">
        <v>71.2</v>
      </c>
      <c r="R808" t="str">
        <f t="shared" si="72"/>
        <v>Unique</v>
      </c>
      <c r="S808" t="str">
        <f t="shared" si="73"/>
        <v>Valid</v>
      </c>
      <c r="T808" t="str">
        <f t="shared" si="74"/>
        <v>Valid</v>
      </c>
      <c r="U808" t="str">
        <f t="shared" si="75"/>
        <v>Valid</v>
      </c>
      <c r="V808" t="str">
        <f t="shared" si="76"/>
        <v>Valid</v>
      </c>
      <c r="W808" t="str">
        <f t="shared" si="77"/>
        <v>Valid</v>
      </c>
    </row>
    <row r="809" spans="1:23">
      <c r="A809" t="s">
        <v>840</v>
      </c>
      <c r="B809" s="2">
        <v>45792</v>
      </c>
      <c r="C809" t="s">
        <v>723</v>
      </c>
      <c r="D809" t="s">
        <v>32</v>
      </c>
      <c r="E809" t="s">
        <v>34</v>
      </c>
      <c r="F809" t="s">
        <v>29</v>
      </c>
      <c r="G809" t="s">
        <v>26</v>
      </c>
      <c r="H809">
        <v>1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P809">
        <v>77.900000000000006</v>
      </c>
      <c r="R809" t="str">
        <f t="shared" si="72"/>
        <v>Unique</v>
      </c>
      <c r="S809" t="str">
        <f t="shared" si="73"/>
        <v>Valid</v>
      </c>
      <c r="T809" t="str">
        <f t="shared" si="74"/>
        <v>Valid</v>
      </c>
      <c r="U809" t="str">
        <f t="shared" si="75"/>
        <v>Valid</v>
      </c>
      <c r="V809" t="str">
        <f t="shared" si="76"/>
        <v>Valid</v>
      </c>
      <c r="W809" t="str">
        <f t="shared" si="77"/>
        <v>Valid</v>
      </c>
    </row>
    <row r="810" spans="1:23">
      <c r="A810" t="s">
        <v>841</v>
      </c>
      <c r="B810" s="2">
        <v>45729</v>
      </c>
      <c r="C810" t="s">
        <v>723</v>
      </c>
      <c r="D810" t="s">
        <v>23</v>
      </c>
      <c r="E810" t="s">
        <v>24</v>
      </c>
      <c r="F810" t="s">
        <v>29</v>
      </c>
      <c r="G810" t="s">
        <v>26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P810">
        <v>48.6</v>
      </c>
      <c r="R810" t="str">
        <f t="shared" si="72"/>
        <v>Unique</v>
      </c>
      <c r="S810" t="str">
        <f t="shared" si="73"/>
        <v>Valid</v>
      </c>
      <c r="T810" t="str">
        <f t="shared" si="74"/>
        <v>Valid</v>
      </c>
      <c r="U810" t="str">
        <f t="shared" si="75"/>
        <v>Valid</v>
      </c>
      <c r="V810" t="str">
        <f t="shared" si="76"/>
        <v>Valid</v>
      </c>
      <c r="W810" t="str">
        <f t="shared" si="77"/>
        <v>Valid</v>
      </c>
    </row>
    <row r="811" spans="1:23">
      <c r="A811" t="s">
        <v>842</v>
      </c>
      <c r="B811" s="2">
        <v>45742</v>
      </c>
      <c r="C811" t="s">
        <v>723</v>
      </c>
      <c r="D811" t="s">
        <v>18</v>
      </c>
      <c r="E811" t="s">
        <v>24</v>
      </c>
      <c r="F811" t="s">
        <v>41</v>
      </c>
      <c r="G811" t="s">
        <v>30</v>
      </c>
      <c r="H811">
        <v>1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P811">
        <v>61.9</v>
      </c>
      <c r="R811" t="str">
        <f t="shared" si="72"/>
        <v>Unique</v>
      </c>
      <c r="S811" t="str">
        <f t="shared" si="73"/>
        <v>Valid</v>
      </c>
      <c r="T811" t="str">
        <f t="shared" si="74"/>
        <v>Valid</v>
      </c>
      <c r="U811" t="str">
        <f t="shared" si="75"/>
        <v>Valid</v>
      </c>
      <c r="V811" t="str">
        <f t="shared" si="76"/>
        <v>Valid</v>
      </c>
      <c r="W811" t="str">
        <f t="shared" si="77"/>
        <v>Valid</v>
      </c>
    </row>
    <row r="812" spans="1:23">
      <c r="A812" t="s">
        <v>843</v>
      </c>
      <c r="B812" s="2">
        <v>45666</v>
      </c>
      <c r="C812" t="s">
        <v>723</v>
      </c>
      <c r="D812" t="s">
        <v>18</v>
      </c>
      <c r="E812" t="s">
        <v>24</v>
      </c>
      <c r="F812" t="s">
        <v>41</v>
      </c>
      <c r="G812" t="s">
        <v>21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1</v>
      </c>
      <c r="N812">
        <v>0</v>
      </c>
      <c r="P812">
        <v>58.7</v>
      </c>
      <c r="R812" t="str">
        <f t="shared" si="72"/>
        <v>Unique</v>
      </c>
      <c r="S812" t="str">
        <f t="shared" si="73"/>
        <v>Valid</v>
      </c>
      <c r="T812" t="str">
        <f t="shared" si="74"/>
        <v>Valid</v>
      </c>
      <c r="U812" t="str">
        <f t="shared" si="75"/>
        <v>Valid</v>
      </c>
      <c r="V812" t="str">
        <f t="shared" si="76"/>
        <v>Valid</v>
      </c>
      <c r="W812" t="str">
        <f t="shared" si="77"/>
        <v>Valid</v>
      </c>
    </row>
    <row r="813" spans="1:23">
      <c r="A813" t="s">
        <v>844</v>
      </c>
      <c r="B813" s="2">
        <v>45783</v>
      </c>
      <c r="C813" t="s">
        <v>723</v>
      </c>
      <c r="D813" t="s">
        <v>32</v>
      </c>
      <c r="E813" t="s">
        <v>19</v>
      </c>
      <c r="F813" t="s">
        <v>29</v>
      </c>
      <c r="G813" t="s">
        <v>26</v>
      </c>
      <c r="H813">
        <v>1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P813">
        <v>69.599999999999994</v>
      </c>
      <c r="R813" t="str">
        <f t="shared" si="72"/>
        <v>Unique</v>
      </c>
      <c r="S813" t="str">
        <f t="shared" si="73"/>
        <v>Valid</v>
      </c>
      <c r="T813" t="str">
        <f t="shared" si="74"/>
        <v>Valid</v>
      </c>
      <c r="U813" t="str">
        <f t="shared" si="75"/>
        <v>Valid</v>
      </c>
      <c r="V813" t="str">
        <f t="shared" si="76"/>
        <v>Valid</v>
      </c>
      <c r="W813" t="str">
        <f t="shared" si="77"/>
        <v>Valid</v>
      </c>
    </row>
    <row r="814" spans="1:23">
      <c r="A814" t="s">
        <v>845</v>
      </c>
      <c r="B814" s="2">
        <v>45705</v>
      </c>
      <c r="C814" t="s">
        <v>723</v>
      </c>
      <c r="D814" t="s">
        <v>32</v>
      </c>
      <c r="E814" t="s">
        <v>24</v>
      </c>
      <c r="F814" t="s">
        <v>25</v>
      </c>
      <c r="G814" t="s">
        <v>26</v>
      </c>
      <c r="H814">
        <v>1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P814">
        <v>51.5</v>
      </c>
      <c r="R814" t="str">
        <f t="shared" si="72"/>
        <v>Unique</v>
      </c>
      <c r="S814" t="str">
        <f t="shared" si="73"/>
        <v>Valid</v>
      </c>
      <c r="T814" t="str">
        <f t="shared" si="74"/>
        <v>Valid</v>
      </c>
      <c r="U814" t="str">
        <f t="shared" si="75"/>
        <v>Valid</v>
      </c>
      <c r="V814" t="str">
        <f t="shared" si="76"/>
        <v>Valid</v>
      </c>
      <c r="W814" t="str">
        <f t="shared" si="77"/>
        <v>Valid</v>
      </c>
    </row>
    <row r="815" spans="1:23">
      <c r="A815" t="s">
        <v>846</v>
      </c>
      <c r="B815" s="2">
        <v>45752</v>
      </c>
      <c r="C815" t="s">
        <v>723</v>
      </c>
      <c r="D815" t="s">
        <v>28</v>
      </c>
      <c r="E815" t="s">
        <v>24</v>
      </c>
      <c r="F815" t="s">
        <v>29</v>
      </c>
      <c r="G815" t="s">
        <v>26</v>
      </c>
      <c r="H815">
        <v>1</v>
      </c>
      <c r="I815">
        <v>1</v>
      </c>
      <c r="J815">
        <v>1</v>
      </c>
      <c r="K815">
        <v>1</v>
      </c>
      <c r="L815">
        <v>277.69</v>
      </c>
      <c r="M815">
        <v>3</v>
      </c>
      <c r="N815">
        <v>0</v>
      </c>
      <c r="O815">
        <v>8</v>
      </c>
      <c r="P815">
        <v>46</v>
      </c>
      <c r="R815" t="str">
        <f t="shared" si="72"/>
        <v>Unique</v>
      </c>
      <c r="S815" t="str">
        <f t="shared" si="73"/>
        <v>Valid</v>
      </c>
      <c r="T815" t="str">
        <f t="shared" si="74"/>
        <v>Valid</v>
      </c>
      <c r="U815" t="str">
        <f t="shared" si="75"/>
        <v>Valid</v>
      </c>
      <c r="V815" t="str">
        <f t="shared" si="76"/>
        <v>Valid</v>
      </c>
      <c r="W815" t="str">
        <f t="shared" si="77"/>
        <v>Valid</v>
      </c>
    </row>
    <row r="816" spans="1:23">
      <c r="A816" t="s">
        <v>847</v>
      </c>
      <c r="B816" s="2">
        <v>45760</v>
      </c>
      <c r="C816" t="s">
        <v>723</v>
      </c>
      <c r="D816" t="s">
        <v>23</v>
      </c>
      <c r="E816" t="s">
        <v>34</v>
      </c>
      <c r="F816" t="s">
        <v>25</v>
      </c>
      <c r="G816" t="s">
        <v>26</v>
      </c>
      <c r="H816">
        <v>1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P816">
        <v>81.7</v>
      </c>
      <c r="R816" t="str">
        <f t="shared" si="72"/>
        <v>Unique</v>
      </c>
      <c r="S816" t="str">
        <f t="shared" si="73"/>
        <v>Valid</v>
      </c>
      <c r="T816" t="str">
        <f t="shared" si="74"/>
        <v>Valid</v>
      </c>
      <c r="U816" t="str">
        <f t="shared" si="75"/>
        <v>Valid</v>
      </c>
      <c r="V816" t="str">
        <f t="shared" si="76"/>
        <v>Valid</v>
      </c>
      <c r="W816" t="str">
        <f t="shared" si="77"/>
        <v>Valid</v>
      </c>
    </row>
    <row r="817" spans="1:23">
      <c r="A817" t="s">
        <v>848</v>
      </c>
      <c r="B817" s="2">
        <v>45797</v>
      </c>
      <c r="C817" t="s">
        <v>723</v>
      </c>
      <c r="D817" t="s">
        <v>28</v>
      </c>
      <c r="E817" t="s">
        <v>19</v>
      </c>
      <c r="F817" t="s">
        <v>39</v>
      </c>
      <c r="G817" t="s">
        <v>26</v>
      </c>
      <c r="H817">
        <v>1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P817">
        <v>48.3</v>
      </c>
      <c r="R817" t="str">
        <f t="shared" si="72"/>
        <v>Unique</v>
      </c>
      <c r="S817" t="str">
        <f t="shared" si="73"/>
        <v>Valid</v>
      </c>
      <c r="T817" t="str">
        <f t="shared" si="74"/>
        <v>Valid</v>
      </c>
      <c r="U817" t="str">
        <f t="shared" si="75"/>
        <v>Valid</v>
      </c>
      <c r="V817" t="str">
        <f t="shared" si="76"/>
        <v>Valid</v>
      </c>
      <c r="W817" t="str">
        <f t="shared" si="77"/>
        <v>Valid</v>
      </c>
    </row>
    <row r="818" spans="1:23">
      <c r="A818" t="s">
        <v>849</v>
      </c>
      <c r="B818" s="2">
        <v>45747</v>
      </c>
      <c r="C818" t="s">
        <v>723</v>
      </c>
      <c r="D818" t="s">
        <v>28</v>
      </c>
      <c r="E818" t="s">
        <v>24</v>
      </c>
      <c r="F818" t="s">
        <v>20</v>
      </c>
      <c r="G818" t="s">
        <v>26</v>
      </c>
      <c r="H818">
        <v>1</v>
      </c>
      <c r="I818">
        <v>1</v>
      </c>
      <c r="J818">
        <v>0</v>
      </c>
      <c r="K818">
        <v>0</v>
      </c>
      <c r="L818">
        <v>0</v>
      </c>
      <c r="M818">
        <v>0</v>
      </c>
      <c r="N818">
        <v>0</v>
      </c>
      <c r="P818">
        <v>85.6</v>
      </c>
      <c r="R818" t="str">
        <f t="shared" si="72"/>
        <v>Unique</v>
      </c>
      <c r="S818" t="str">
        <f t="shared" si="73"/>
        <v>Valid</v>
      </c>
      <c r="T818" t="str">
        <f t="shared" si="74"/>
        <v>Valid</v>
      </c>
      <c r="U818" t="str">
        <f t="shared" si="75"/>
        <v>Valid</v>
      </c>
      <c r="V818" t="str">
        <f t="shared" si="76"/>
        <v>Valid</v>
      </c>
      <c r="W818" t="str">
        <f t="shared" si="77"/>
        <v>Valid</v>
      </c>
    </row>
    <row r="819" spans="1:23">
      <c r="A819" t="s">
        <v>850</v>
      </c>
      <c r="B819" s="2">
        <v>45750</v>
      </c>
      <c r="C819" t="s">
        <v>723</v>
      </c>
      <c r="D819" t="s">
        <v>23</v>
      </c>
      <c r="E819" t="s">
        <v>34</v>
      </c>
      <c r="F819" t="s">
        <v>29</v>
      </c>
      <c r="G819" t="s">
        <v>21</v>
      </c>
      <c r="H819">
        <v>1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P819">
        <v>53.8</v>
      </c>
      <c r="R819" t="str">
        <f t="shared" si="72"/>
        <v>Unique</v>
      </c>
      <c r="S819" t="str">
        <f t="shared" si="73"/>
        <v>Valid</v>
      </c>
      <c r="T819" t="str">
        <f t="shared" si="74"/>
        <v>Valid</v>
      </c>
      <c r="U819" t="str">
        <f t="shared" si="75"/>
        <v>Valid</v>
      </c>
      <c r="V819" t="str">
        <f t="shared" si="76"/>
        <v>Valid</v>
      </c>
      <c r="W819" t="str">
        <f t="shared" si="77"/>
        <v>Valid</v>
      </c>
    </row>
    <row r="820" spans="1:23">
      <c r="A820" t="s">
        <v>851</v>
      </c>
      <c r="B820" s="2">
        <v>45692</v>
      </c>
      <c r="C820" t="s">
        <v>723</v>
      </c>
      <c r="D820" t="s">
        <v>32</v>
      </c>
      <c r="E820" t="s">
        <v>24</v>
      </c>
      <c r="F820" t="s">
        <v>25</v>
      </c>
      <c r="G820" t="s">
        <v>26</v>
      </c>
      <c r="H820">
        <v>1</v>
      </c>
      <c r="I820">
        <v>1</v>
      </c>
      <c r="J820">
        <v>1</v>
      </c>
      <c r="K820">
        <v>1</v>
      </c>
      <c r="L820">
        <v>460.83</v>
      </c>
      <c r="M820">
        <v>2</v>
      </c>
      <c r="N820">
        <v>0</v>
      </c>
      <c r="O820">
        <v>0</v>
      </c>
      <c r="P820">
        <v>69.7</v>
      </c>
      <c r="R820" t="str">
        <f t="shared" si="72"/>
        <v>Unique</v>
      </c>
      <c r="S820" t="str">
        <f t="shared" si="73"/>
        <v>Valid</v>
      </c>
      <c r="T820" t="str">
        <f t="shared" si="74"/>
        <v>Valid</v>
      </c>
      <c r="U820" t="str">
        <f t="shared" si="75"/>
        <v>Valid</v>
      </c>
      <c r="V820" t="str">
        <f t="shared" si="76"/>
        <v>Valid</v>
      </c>
      <c r="W820" t="str">
        <f t="shared" si="77"/>
        <v>Valid</v>
      </c>
    </row>
    <row r="821" spans="1:23">
      <c r="A821" t="s">
        <v>852</v>
      </c>
      <c r="B821" s="2">
        <v>45796</v>
      </c>
      <c r="C821" t="s">
        <v>723</v>
      </c>
      <c r="D821" t="s">
        <v>28</v>
      </c>
      <c r="E821" t="s">
        <v>24</v>
      </c>
      <c r="F821" t="s">
        <v>25</v>
      </c>
      <c r="G821" t="s">
        <v>26</v>
      </c>
      <c r="H821">
        <v>1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P821">
        <v>74.8</v>
      </c>
      <c r="R821" t="str">
        <f t="shared" si="72"/>
        <v>Unique</v>
      </c>
      <c r="S821" t="str">
        <f t="shared" si="73"/>
        <v>Valid</v>
      </c>
      <c r="T821" t="str">
        <f t="shared" si="74"/>
        <v>Valid</v>
      </c>
      <c r="U821" t="str">
        <f t="shared" si="75"/>
        <v>Valid</v>
      </c>
      <c r="V821" t="str">
        <f t="shared" si="76"/>
        <v>Valid</v>
      </c>
      <c r="W821" t="str">
        <f t="shared" si="77"/>
        <v>Valid</v>
      </c>
    </row>
    <row r="822" spans="1:23">
      <c r="A822" t="s">
        <v>853</v>
      </c>
      <c r="B822" s="2">
        <v>45724</v>
      </c>
      <c r="C822" t="s">
        <v>723</v>
      </c>
      <c r="D822" t="s">
        <v>28</v>
      </c>
      <c r="E822" t="s">
        <v>19</v>
      </c>
      <c r="F822" t="s">
        <v>29</v>
      </c>
      <c r="G822" t="s">
        <v>21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P822">
        <v>87.9</v>
      </c>
      <c r="R822" t="str">
        <f t="shared" si="72"/>
        <v>Unique</v>
      </c>
      <c r="S822" t="str">
        <f t="shared" si="73"/>
        <v>Valid</v>
      </c>
      <c r="T822" t="str">
        <f t="shared" si="74"/>
        <v>Valid</v>
      </c>
      <c r="U822" t="str">
        <f t="shared" si="75"/>
        <v>Valid</v>
      </c>
      <c r="V822" t="str">
        <f t="shared" si="76"/>
        <v>Valid</v>
      </c>
      <c r="W822" t="str">
        <f t="shared" si="77"/>
        <v>Valid</v>
      </c>
    </row>
    <row r="823" spans="1:23">
      <c r="A823" t="s">
        <v>854</v>
      </c>
      <c r="B823" s="2">
        <v>45787</v>
      </c>
      <c r="C823" t="s">
        <v>723</v>
      </c>
      <c r="D823" t="s">
        <v>18</v>
      </c>
      <c r="E823" t="s">
        <v>24</v>
      </c>
      <c r="F823" t="s">
        <v>41</v>
      </c>
      <c r="G823" t="s">
        <v>21</v>
      </c>
      <c r="H823">
        <v>1</v>
      </c>
      <c r="I823">
        <v>0</v>
      </c>
      <c r="J823">
        <v>0</v>
      </c>
      <c r="K823">
        <v>0</v>
      </c>
      <c r="L823">
        <v>0</v>
      </c>
      <c r="M823">
        <v>1</v>
      </c>
      <c r="N823">
        <v>0</v>
      </c>
      <c r="P823">
        <v>49.1</v>
      </c>
      <c r="R823" t="str">
        <f t="shared" si="72"/>
        <v>Unique</v>
      </c>
      <c r="S823" t="str">
        <f t="shared" si="73"/>
        <v>Valid</v>
      </c>
      <c r="T823" t="str">
        <f t="shared" si="74"/>
        <v>Valid</v>
      </c>
      <c r="U823" t="str">
        <f t="shared" si="75"/>
        <v>Valid</v>
      </c>
      <c r="V823" t="str">
        <f t="shared" si="76"/>
        <v>Valid</v>
      </c>
      <c r="W823" t="str">
        <f t="shared" si="77"/>
        <v>Valid</v>
      </c>
    </row>
    <row r="824" spans="1:23">
      <c r="A824" t="s">
        <v>855</v>
      </c>
      <c r="B824" s="2">
        <v>45659</v>
      </c>
      <c r="C824" t="s">
        <v>723</v>
      </c>
      <c r="D824" t="s">
        <v>28</v>
      </c>
      <c r="E824" t="s">
        <v>19</v>
      </c>
      <c r="F824" t="s">
        <v>41</v>
      </c>
      <c r="G824" t="s">
        <v>21</v>
      </c>
      <c r="H824">
        <v>1</v>
      </c>
      <c r="I824">
        <v>0</v>
      </c>
      <c r="J824">
        <v>0</v>
      </c>
      <c r="K824">
        <v>0</v>
      </c>
      <c r="L824">
        <v>0</v>
      </c>
      <c r="M824">
        <v>2</v>
      </c>
      <c r="N824">
        <v>0</v>
      </c>
      <c r="P824">
        <v>73</v>
      </c>
      <c r="R824" t="str">
        <f t="shared" si="72"/>
        <v>Unique</v>
      </c>
      <c r="S824" t="str">
        <f t="shared" si="73"/>
        <v>Valid</v>
      </c>
      <c r="T824" t="str">
        <f t="shared" si="74"/>
        <v>Valid</v>
      </c>
      <c r="U824" t="str">
        <f t="shared" si="75"/>
        <v>Valid</v>
      </c>
      <c r="V824" t="str">
        <f t="shared" si="76"/>
        <v>Valid</v>
      </c>
      <c r="W824" t="str">
        <f t="shared" si="77"/>
        <v>Valid</v>
      </c>
    </row>
    <row r="825" spans="1:23">
      <c r="A825" t="s">
        <v>856</v>
      </c>
      <c r="B825" s="2">
        <v>45674</v>
      </c>
      <c r="C825" t="s">
        <v>723</v>
      </c>
      <c r="D825" t="s">
        <v>23</v>
      </c>
      <c r="E825" t="s">
        <v>24</v>
      </c>
      <c r="F825" t="s">
        <v>25</v>
      </c>
      <c r="G825" t="s">
        <v>21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P825">
        <v>79.5</v>
      </c>
      <c r="R825" t="str">
        <f t="shared" si="72"/>
        <v>Unique</v>
      </c>
      <c r="S825" t="str">
        <f t="shared" si="73"/>
        <v>Valid</v>
      </c>
      <c r="T825" t="str">
        <f t="shared" si="74"/>
        <v>Valid</v>
      </c>
      <c r="U825" t="str">
        <f t="shared" si="75"/>
        <v>Valid</v>
      </c>
      <c r="V825" t="str">
        <f t="shared" si="76"/>
        <v>Valid</v>
      </c>
      <c r="W825" t="str">
        <f t="shared" si="77"/>
        <v>Valid</v>
      </c>
    </row>
    <row r="826" spans="1:23">
      <c r="A826" t="s">
        <v>857</v>
      </c>
      <c r="B826" s="2">
        <v>45798</v>
      </c>
      <c r="C826" t="s">
        <v>723</v>
      </c>
      <c r="D826" t="s">
        <v>23</v>
      </c>
      <c r="E826" t="s">
        <v>24</v>
      </c>
      <c r="F826" t="s">
        <v>39</v>
      </c>
      <c r="G826" t="s">
        <v>21</v>
      </c>
      <c r="H826">
        <v>1</v>
      </c>
      <c r="I826">
        <v>1</v>
      </c>
      <c r="J826">
        <v>1</v>
      </c>
      <c r="K826">
        <v>1</v>
      </c>
      <c r="L826">
        <v>782.23</v>
      </c>
      <c r="M826">
        <v>1</v>
      </c>
      <c r="N826">
        <v>0</v>
      </c>
      <c r="O826">
        <v>6</v>
      </c>
      <c r="P826">
        <v>93.2</v>
      </c>
      <c r="R826" t="str">
        <f t="shared" si="72"/>
        <v>Unique</v>
      </c>
      <c r="S826" t="str">
        <f t="shared" si="73"/>
        <v>Valid</v>
      </c>
      <c r="T826" t="str">
        <f t="shared" si="74"/>
        <v>Valid</v>
      </c>
      <c r="U826" t="str">
        <f t="shared" si="75"/>
        <v>Valid</v>
      </c>
      <c r="V826" t="str">
        <f t="shared" si="76"/>
        <v>Valid</v>
      </c>
      <c r="W826" t="str">
        <f t="shared" si="77"/>
        <v>Valid</v>
      </c>
    </row>
    <row r="827" spans="1:23">
      <c r="A827" t="s">
        <v>858</v>
      </c>
      <c r="B827" s="2">
        <v>45802</v>
      </c>
      <c r="C827" t="s">
        <v>723</v>
      </c>
      <c r="D827" t="s">
        <v>28</v>
      </c>
      <c r="E827" t="s">
        <v>19</v>
      </c>
      <c r="F827" t="s">
        <v>39</v>
      </c>
      <c r="G827" t="s">
        <v>26</v>
      </c>
      <c r="H827">
        <v>1</v>
      </c>
      <c r="I827">
        <v>0</v>
      </c>
      <c r="J827">
        <v>0</v>
      </c>
      <c r="K827">
        <v>0</v>
      </c>
      <c r="L827">
        <v>0</v>
      </c>
      <c r="M827">
        <v>3</v>
      </c>
      <c r="N827">
        <v>0</v>
      </c>
      <c r="P827">
        <v>77.5</v>
      </c>
      <c r="R827" t="str">
        <f t="shared" si="72"/>
        <v>Unique</v>
      </c>
      <c r="S827" t="str">
        <f t="shared" si="73"/>
        <v>Valid</v>
      </c>
      <c r="T827" t="str">
        <f t="shared" si="74"/>
        <v>Valid</v>
      </c>
      <c r="U827" t="str">
        <f t="shared" si="75"/>
        <v>Valid</v>
      </c>
      <c r="V827" t="str">
        <f t="shared" si="76"/>
        <v>Valid</v>
      </c>
      <c r="W827" t="str">
        <f t="shared" si="77"/>
        <v>Valid</v>
      </c>
    </row>
    <row r="828" spans="1:23">
      <c r="A828" t="s">
        <v>859</v>
      </c>
      <c r="B828" s="2">
        <v>45662</v>
      </c>
      <c r="C828" t="s">
        <v>723</v>
      </c>
      <c r="D828" t="s">
        <v>23</v>
      </c>
      <c r="E828" t="s">
        <v>24</v>
      </c>
      <c r="F828" t="s">
        <v>20</v>
      </c>
      <c r="G828" t="s">
        <v>21</v>
      </c>
      <c r="H828">
        <v>1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P828">
        <v>61</v>
      </c>
      <c r="R828" t="str">
        <f t="shared" si="72"/>
        <v>Unique</v>
      </c>
      <c r="S828" t="str">
        <f t="shared" si="73"/>
        <v>Valid</v>
      </c>
      <c r="T828" t="str">
        <f t="shared" si="74"/>
        <v>Valid</v>
      </c>
      <c r="U828" t="str">
        <f t="shared" si="75"/>
        <v>Valid</v>
      </c>
      <c r="V828" t="str">
        <f t="shared" si="76"/>
        <v>Valid</v>
      </c>
      <c r="W828" t="str">
        <f t="shared" si="77"/>
        <v>Valid</v>
      </c>
    </row>
    <row r="829" spans="1:23">
      <c r="A829" t="s">
        <v>860</v>
      </c>
      <c r="B829" s="2">
        <v>45712</v>
      </c>
      <c r="C829" t="s">
        <v>723</v>
      </c>
      <c r="D829" t="s">
        <v>32</v>
      </c>
      <c r="E829" t="s">
        <v>19</v>
      </c>
      <c r="F829" t="s">
        <v>25</v>
      </c>
      <c r="G829" t="s">
        <v>26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P829">
        <v>64.900000000000006</v>
      </c>
      <c r="R829" t="str">
        <f t="shared" si="72"/>
        <v>Unique</v>
      </c>
      <c r="S829" t="str">
        <f t="shared" si="73"/>
        <v>Valid</v>
      </c>
      <c r="T829" t="str">
        <f t="shared" si="74"/>
        <v>Valid</v>
      </c>
      <c r="U829" t="str">
        <f t="shared" si="75"/>
        <v>Valid</v>
      </c>
      <c r="V829" t="str">
        <f t="shared" si="76"/>
        <v>Valid</v>
      </c>
      <c r="W829" t="str">
        <f t="shared" si="77"/>
        <v>Valid</v>
      </c>
    </row>
    <row r="830" spans="1:23">
      <c r="A830" t="s">
        <v>861</v>
      </c>
      <c r="B830" s="2">
        <v>45678</v>
      </c>
      <c r="C830" t="s">
        <v>723</v>
      </c>
      <c r="D830" t="s">
        <v>28</v>
      </c>
      <c r="E830" t="s">
        <v>24</v>
      </c>
      <c r="F830" t="s">
        <v>29</v>
      </c>
      <c r="G830" t="s">
        <v>21</v>
      </c>
      <c r="H830">
        <v>1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P830">
        <v>87.5</v>
      </c>
      <c r="R830" t="str">
        <f t="shared" si="72"/>
        <v>Unique</v>
      </c>
      <c r="S830" t="str">
        <f t="shared" si="73"/>
        <v>Valid</v>
      </c>
      <c r="T830" t="str">
        <f t="shared" si="74"/>
        <v>Valid</v>
      </c>
      <c r="U830" t="str">
        <f t="shared" si="75"/>
        <v>Valid</v>
      </c>
      <c r="V830" t="str">
        <f t="shared" si="76"/>
        <v>Valid</v>
      </c>
      <c r="W830" t="str">
        <f t="shared" si="77"/>
        <v>Valid</v>
      </c>
    </row>
    <row r="831" spans="1:23">
      <c r="A831" t="s">
        <v>862</v>
      </c>
      <c r="B831" s="2">
        <v>45771</v>
      </c>
      <c r="C831" t="s">
        <v>723</v>
      </c>
      <c r="D831" t="s">
        <v>18</v>
      </c>
      <c r="E831" t="s">
        <v>24</v>
      </c>
      <c r="F831" t="s">
        <v>25</v>
      </c>
      <c r="G831" t="s">
        <v>21</v>
      </c>
      <c r="H831">
        <v>1</v>
      </c>
      <c r="I831">
        <v>1</v>
      </c>
      <c r="J831">
        <v>1</v>
      </c>
      <c r="K831">
        <v>1</v>
      </c>
      <c r="L831">
        <v>1171.99</v>
      </c>
      <c r="M831">
        <v>0</v>
      </c>
      <c r="N831">
        <v>0</v>
      </c>
      <c r="O831">
        <v>5</v>
      </c>
      <c r="P831">
        <v>80.599999999999994</v>
      </c>
      <c r="R831" t="str">
        <f t="shared" si="72"/>
        <v>Unique</v>
      </c>
      <c r="S831" t="str">
        <f t="shared" si="73"/>
        <v>Valid</v>
      </c>
      <c r="T831" t="str">
        <f t="shared" si="74"/>
        <v>Valid</v>
      </c>
      <c r="U831" t="str">
        <f t="shared" si="75"/>
        <v>Valid</v>
      </c>
      <c r="V831" t="str">
        <f t="shared" si="76"/>
        <v>Valid</v>
      </c>
      <c r="W831" t="str">
        <f t="shared" si="77"/>
        <v>Valid</v>
      </c>
    </row>
    <row r="832" spans="1:23">
      <c r="A832" t="s">
        <v>863</v>
      </c>
      <c r="B832" s="2">
        <v>45664</v>
      </c>
      <c r="C832" t="s">
        <v>723</v>
      </c>
      <c r="D832" t="s">
        <v>23</v>
      </c>
      <c r="E832" t="s">
        <v>19</v>
      </c>
      <c r="F832" t="s">
        <v>25</v>
      </c>
      <c r="G832" t="s">
        <v>26</v>
      </c>
      <c r="H832">
        <v>1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P832">
        <v>66.900000000000006</v>
      </c>
      <c r="R832" t="str">
        <f t="shared" si="72"/>
        <v>Unique</v>
      </c>
      <c r="S832" t="str">
        <f t="shared" si="73"/>
        <v>Valid</v>
      </c>
      <c r="T832" t="str">
        <f t="shared" si="74"/>
        <v>Valid</v>
      </c>
      <c r="U832" t="str">
        <f t="shared" si="75"/>
        <v>Valid</v>
      </c>
      <c r="V832" t="str">
        <f t="shared" si="76"/>
        <v>Valid</v>
      </c>
      <c r="W832" t="str">
        <f t="shared" si="77"/>
        <v>Valid</v>
      </c>
    </row>
    <row r="833" spans="1:23">
      <c r="A833" t="s">
        <v>864</v>
      </c>
      <c r="B833" s="2">
        <v>45808</v>
      </c>
      <c r="C833" t="s">
        <v>723</v>
      </c>
      <c r="D833" t="s">
        <v>32</v>
      </c>
      <c r="E833" t="s">
        <v>34</v>
      </c>
      <c r="F833" t="s">
        <v>25</v>
      </c>
      <c r="G833" t="s">
        <v>21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P833">
        <v>58.8</v>
      </c>
      <c r="R833" t="str">
        <f t="shared" si="72"/>
        <v>Unique</v>
      </c>
      <c r="S833" t="str">
        <f t="shared" si="73"/>
        <v>Valid</v>
      </c>
      <c r="T833" t="str">
        <f t="shared" si="74"/>
        <v>Valid</v>
      </c>
      <c r="U833" t="str">
        <f t="shared" si="75"/>
        <v>Valid</v>
      </c>
      <c r="V833" t="str">
        <f t="shared" si="76"/>
        <v>Valid</v>
      </c>
      <c r="W833" t="str">
        <f t="shared" si="77"/>
        <v>Valid</v>
      </c>
    </row>
    <row r="834" spans="1:23">
      <c r="A834" t="s">
        <v>865</v>
      </c>
      <c r="B834" s="2">
        <v>45749</v>
      </c>
      <c r="C834" t="s">
        <v>723</v>
      </c>
      <c r="D834" t="s">
        <v>18</v>
      </c>
      <c r="E834" t="s">
        <v>19</v>
      </c>
      <c r="F834" t="s">
        <v>25</v>
      </c>
      <c r="G834" t="s">
        <v>21</v>
      </c>
      <c r="H834">
        <v>1</v>
      </c>
      <c r="I834">
        <v>1</v>
      </c>
      <c r="J834">
        <v>1</v>
      </c>
      <c r="K834">
        <v>1</v>
      </c>
      <c r="L834">
        <v>1010.4</v>
      </c>
      <c r="M834">
        <v>0</v>
      </c>
      <c r="N834">
        <v>0</v>
      </c>
      <c r="O834">
        <v>4</v>
      </c>
      <c r="P834">
        <v>42.9</v>
      </c>
      <c r="R834" t="str">
        <f t="shared" si="72"/>
        <v>Unique</v>
      </c>
      <c r="S834" t="str">
        <f t="shared" si="73"/>
        <v>Valid</v>
      </c>
      <c r="T834" t="str">
        <f t="shared" si="74"/>
        <v>Valid</v>
      </c>
      <c r="U834" t="str">
        <f t="shared" si="75"/>
        <v>Valid</v>
      </c>
      <c r="V834" t="str">
        <f t="shared" si="76"/>
        <v>Valid</v>
      </c>
      <c r="W834" t="str">
        <f t="shared" si="77"/>
        <v>Valid</v>
      </c>
    </row>
    <row r="835" spans="1:23">
      <c r="A835" t="s">
        <v>866</v>
      </c>
      <c r="B835" s="2">
        <v>45768</v>
      </c>
      <c r="C835" t="s">
        <v>723</v>
      </c>
      <c r="D835" t="s">
        <v>28</v>
      </c>
      <c r="E835" t="s">
        <v>24</v>
      </c>
      <c r="F835" t="s">
        <v>25</v>
      </c>
      <c r="G835" t="s">
        <v>26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1</v>
      </c>
      <c r="N835">
        <v>0</v>
      </c>
      <c r="P835">
        <v>60.2</v>
      </c>
      <c r="R835" t="str">
        <f t="shared" ref="R835:R898" si="78">IF(COUNTIF($A:$A,A835)&gt;1,"Duplicate","Unique")</f>
        <v>Unique</v>
      </c>
      <c r="S835" t="str">
        <f t="shared" ref="S835:S898" si="79">IF(OR(H835=0,H835=1),"Valid","Invalid")</f>
        <v>Valid</v>
      </c>
      <c r="T835" t="str">
        <f t="shared" ref="T835:T898" si="80">IF(OR(I835=0,I835=1),"Valid","Invalid")</f>
        <v>Valid</v>
      </c>
      <c r="U835" t="str">
        <f t="shared" ref="U835:U898" si="81">IF(OR(J835=0,J835=1),"Valid","Invalid")</f>
        <v>Valid</v>
      </c>
      <c r="V835" t="str">
        <f t="shared" ref="V835:V898" si="82">IF(OR(K835=0,K835=1),"Valid","Invalid")</f>
        <v>Valid</v>
      </c>
      <c r="W835" t="str">
        <f t="shared" ref="W835:W898" si="83">IF(OR(N835=0,N835=1),"Valid","Invalid")</f>
        <v>Valid</v>
      </c>
    </row>
    <row r="836" spans="1:23">
      <c r="A836" t="s">
        <v>867</v>
      </c>
      <c r="B836" s="2">
        <v>45782</v>
      </c>
      <c r="C836" t="s">
        <v>723</v>
      </c>
      <c r="D836" t="s">
        <v>28</v>
      </c>
      <c r="E836" t="s">
        <v>24</v>
      </c>
      <c r="F836" t="s">
        <v>29</v>
      </c>
      <c r="G836" t="s">
        <v>21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P836">
        <v>42.7</v>
      </c>
      <c r="R836" t="str">
        <f t="shared" si="78"/>
        <v>Unique</v>
      </c>
      <c r="S836" t="str">
        <f t="shared" si="79"/>
        <v>Valid</v>
      </c>
      <c r="T836" t="str">
        <f t="shared" si="80"/>
        <v>Valid</v>
      </c>
      <c r="U836" t="str">
        <f t="shared" si="81"/>
        <v>Valid</v>
      </c>
      <c r="V836" t="str">
        <f t="shared" si="82"/>
        <v>Valid</v>
      </c>
      <c r="W836" t="str">
        <f t="shared" si="83"/>
        <v>Valid</v>
      </c>
    </row>
    <row r="837" spans="1:23">
      <c r="A837" t="s">
        <v>868</v>
      </c>
      <c r="B837" s="2">
        <v>45663</v>
      </c>
      <c r="C837" t="s">
        <v>723</v>
      </c>
      <c r="D837" t="s">
        <v>18</v>
      </c>
      <c r="E837" t="s">
        <v>19</v>
      </c>
      <c r="F837" t="s">
        <v>41</v>
      </c>
      <c r="G837" t="s">
        <v>26</v>
      </c>
      <c r="H837">
        <v>1</v>
      </c>
      <c r="I837">
        <v>1</v>
      </c>
      <c r="J837">
        <v>1</v>
      </c>
      <c r="K837">
        <v>1</v>
      </c>
      <c r="L837">
        <v>431.27</v>
      </c>
      <c r="M837">
        <v>0</v>
      </c>
      <c r="N837">
        <v>0</v>
      </c>
      <c r="O837">
        <v>7</v>
      </c>
      <c r="P837">
        <v>60.8</v>
      </c>
      <c r="R837" t="str">
        <f t="shared" si="78"/>
        <v>Unique</v>
      </c>
      <c r="S837" t="str">
        <f t="shared" si="79"/>
        <v>Valid</v>
      </c>
      <c r="T837" t="str">
        <f t="shared" si="80"/>
        <v>Valid</v>
      </c>
      <c r="U837" t="str">
        <f t="shared" si="81"/>
        <v>Valid</v>
      </c>
      <c r="V837" t="str">
        <f t="shared" si="82"/>
        <v>Valid</v>
      </c>
      <c r="W837" t="str">
        <f t="shared" si="83"/>
        <v>Valid</v>
      </c>
    </row>
    <row r="838" spans="1:23">
      <c r="A838" t="s">
        <v>869</v>
      </c>
      <c r="B838" s="2">
        <v>45771</v>
      </c>
      <c r="C838" t="s">
        <v>723</v>
      </c>
      <c r="D838" t="s">
        <v>32</v>
      </c>
      <c r="E838" t="s">
        <v>24</v>
      </c>
      <c r="F838" t="s">
        <v>39</v>
      </c>
      <c r="G838" t="s">
        <v>26</v>
      </c>
      <c r="H838">
        <v>1</v>
      </c>
      <c r="I838">
        <v>1</v>
      </c>
      <c r="J838">
        <v>1</v>
      </c>
      <c r="K838">
        <v>1</v>
      </c>
      <c r="L838">
        <v>428.8</v>
      </c>
      <c r="M838">
        <v>0</v>
      </c>
      <c r="N838">
        <v>0</v>
      </c>
      <c r="O838">
        <v>9</v>
      </c>
      <c r="P838">
        <v>79.3</v>
      </c>
      <c r="R838" t="str">
        <f t="shared" si="78"/>
        <v>Unique</v>
      </c>
      <c r="S838" t="str">
        <f t="shared" si="79"/>
        <v>Valid</v>
      </c>
      <c r="T838" t="str">
        <f t="shared" si="80"/>
        <v>Valid</v>
      </c>
      <c r="U838" t="str">
        <f t="shared" si="81"/>
        <v>Valid</v>
      </c>
      <c r="V838" t="str">
        <f t="shared" si="82"/>
        <v>Valid</v>
      </c>
      <c r="W838" t="str">
        <f t="shared" si="83"/>
        <v>Valid</v>
      </c>
    </row>
    <row r="839" spans="1:23">
      <c r="A839" t="s">
        <v>870</v>
      </c>
      <c r="B839" s="2">
        <v>45768</v>
      </c>
      <c r="C839" t="s">
        <v>723</v>
      </c>
      <c r="D839" t="s">
        <v>32</v>
      </c>
      <c r="E839" t="s">
        <v>24</v>
      </c>
      <c r="F839" t="s">
        <v>25</v>
      </c>
      <c r="G839" t="s">
        <v>21</v>
      </c>
      <c r="H839">
        <v>1</v>
      </c>
      <c r="I839">
        <v>0</v>
      </c>
      <c r="J839">
        <v>0</v>
      </c>
      <c r="K839">
        <v>0</v>
      </c>
      <c r="L839">
        <v>0</v>
      </c>
      <c r="M839">
        <v>1</v>
      </c>
      <c r="N839">
        <v>0</v>
      </c>
      <c r="P839">
        <v>88.6</v>
      </c>
      <c r="R839" t="str">
        <f t="shared" si="78"/>
        <v>Unique</v>
      </c>
      <c r="S839" t="str">
        <f t="shared" si="79"/>
        <v>Valid</v>
      </c>
      <c r="T839" t="str">
        <f t="shared" si="80"/>
        <v>Valid</v>
      </c>
      <c r="U839" t="str">
        <f t="shared" si="81"/>
        <v>Valid</v>
      </c>
      <c r="V839" t="str">
        <f t="shared" si="82"/>
        <v>Valid</v>
      </c>
      <c r="W839" t="str">
        <f t="shared" si="83"/>
        <v>Valid</v>
      </c>
    </row>
    <row r="840" spans="1:23">
      <c r="A840" t="s">
        <v>871</v>
      </c>
      <c r="B840" s="2">
        <v>45697</v>
      </c>
      <c r="C840" t="s">
        <v>723</v>
      </c>
      <c r="D840" t="s">
        <v>23</v>
      </c>
      <c r="E840" t="s">
        <v>24</v>
      </c>
      <c r="F840" t="s">
        <v>25</v>
      </c>
      <c r="G840" t="s">
        <v>21</v>
      </c>
      <c r="H840">
        <v>1</v>
      </c>
      <c r="I840">
        <v>1</v>
      </c>
      <c r="J840">
        <v>1</v>
      </c>
      <c r="K840">
        <v>0</v>
      </c>
      <c r="L840">
        <v>0</v>
      </c>
      <c r="M840">
        <v>0</v>
      </c>
      <c r="N840">
        <v>0</v>
      </c>
      <c r="P840">
        <v>63.1</v>
      </c>
      <c r="R840" t="str">
        <f t="shared" si="78"/>
        <v>Unique</v>
      </c>
      <c r="S840" t="str">
        <f t="shared" si="79"/>
        <v>Valid</v>
      </c>
      <c r="T840" t="str">
        <f t="shared" si="80"/>
        <v>Valid</v>
      </c>
      <c r="U840" t="str">
        <f t="shared" si="81"/>
        <v>Valid</v>
      </c>
      <c r="V840" t="str">
        <f t="shared" si="82"/>
        <v>Valid</v>
      </c>
      <c r="W840" t="str">
        <f t="shared" si="83"/>
        <v>Valid</v>
      </c>
    </row>
    <row r="841" spans="1:23">
      <c r="A841" t="s">
        <v>872</v>
      </c>
      <c r="B841" s="2">
        <v>45666</v>
      </c>
      <c r="C841" t="s">
        <v>723</v>
      </c>
      <c r="D841" t="s">
        <v>28</v>
      </c>
      <c r="E841" t="s">
        <v>24</v>
      </c>
      <c r="F841" t="s">
        <v>25</v>
      </c>
      <c r="G841" t="s">
        <v>30</v>
      </c>
      <c r="H841">
        <v>1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P841">
        <v>39.700000000000003</v>
      </c>
      <c r="R841" t="str">
        <f t="shared" si="78"/>
        <v>Unique</v>
      </c>
      <c r="S841" t="str">
        <f t="shared" si="79"/>
        <v>Valid</v>
      </c>
      <c r="T841" t="str">
        <f t="shared" si="80"/>
        <v>Valid</v>
      </c>
      <c r="U841" t="str">
        <f t="shared" si="81"/>
        <v>Valid</v>
      </c>
      <c r="V841" t="str">
        <f t="shared" si="82"/>
        <v>Valid</v>
      </c>
      <c r="W841" t="str">
        <f t="shared" si="83"/>
        <v>Valid</v>
      </c>
    </row>
    <row r="842" spans="1:23">
      <c r="A842" t="s">
        <v>873</v>
      </c>
      <c r="B842" s="2">
        <v>45704</v>
      </c>
      <c r="C842" t="s">
        <v>723</v>
      </c>
      <c r="D842" t="s">
        <v>18</v>
      </c>
      <c r="E842" t="s">
        <v>24</v>
      </c>
      <c r="F842" t="s">
        <v>29</v>
      </c>
      <c r="G842" t="s">
        <v>21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P842">
        <v>67.2</v>
      </c>
      <c r="R842" t="str">
        <f t="shared" si="78"/>
        <v>Unique</v>
      </c>
      <c r="S842" t="str">
        <f t="shared" si="79"/>
        <v>Valid</v>
      </c>
      <c r="T842" t="str">
        <f t="shared" si="80"/>
        <v>Valid</v>
      </c>
      <c r="U842" t="str">
        <f t="shared" si="81"/>
        <v>Valid</v>
      </c>
      <c r="V842" t="str">
        <f t="shared" si="82"/>
        <v>Valid</v>
      </c>
      <c r="W842" t="str">
        <f t="shared" si="83"/>
        <v>Valid</v>
      </c>
    </row>
    <row r="843" spans="1:23">
      <c r="A843" t="s">
        <v>874</v>
      </c>
      <c r="B843" s="2">
        <v>45709</v>
      </c>
      <c r="C843" t="s">
        <v>723</v>
      </c>
      <c r="D843" t="s">
        <v>32</v>
      </c>
      <c r="E843" t="s">
        <v>24</v>
      </c>
      <c r="F843" t="s">
        <v>25</v>
      </c>
      <c r="G843" t="s">
        <v>26</v>
      </c>
      <c r="H843">
        <v>1</v>
      </c>
      <c r="I843">
        <v>1</v>
      </c>
      <c r="J843">
        <v>1</v>
      </c>
      <c r="K843">
        <v>0</v>
      </c>
      <c r="L843">
        <v>0</v>
      </c>
      <c r="M843">
        <v>0</v>
      </c>
      <c r="N843">
        <v>0</v>
      </c>
      <c r="P843">
        <v>62.3</v>
      </c>
      <c r="R843" t="str">
        <f t="shared" si="78"/>
        <v>Unique</v>
      </c>
      <c r="S843" t="str">
        <f t="shared" si="79"/>
        <v>Valid</v>
      </c>
      <c r="T843" t="str">
        <f t="shared" si="80"/>
        <v>Valid</v>
      </c>
      <c r="U843" t="str">
        <f t="shared" si="81"/>
        <v>Valid</v>
      </c>
      <c r="V843" t="str">
        <f t="shared" si="82"/>
        <v>Valid</v>
      </c>
      <c r="W843" t="str">
        <f t="shared" si="83"/>
        <v>Valid</v>
      </c>
    </row>
    <row r="844" spans="1:23">
      <c r="A844" t="s">
        <v>875</v>
      </c>
      <c r="B844" s="2">
        <v>45696</v>
      </c>
      <c r="C844" t="s">
        <v>723</v>
      </c>
      <c r="D844" t="s">
        <v>32</v>
      </c>
      <c r="E844" t="s">
        <v>24</v>
      </c>
      <c r="F844" t="s">
        <v>25</v>
      </c>
      <c r="G844" t="s">
        <v>30</v>
      </c>
      <c r="H844">
        <v>1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P844">
        <v>60.02</v>
      </c>
      <c r="R844" t="str">
        <f t="shared" si="78"/>
        <v>Unique</v>
      </c>
      <c r="S844" t="str">
        <f t="shared" si="79"/>
        <v>Valid</v>
      </c>
      <c r="T844" t="str">
        <f t="shared" si="80"/>
        <v>Valid</v>
      </c>
      <c r="U844" t="str">
        <f t="shared" si="81"/>
        <v>Valid</v>
      </c>
      <c r="V844" t="str">
        <f t="shared" si="82"/>
        <v>Valid</v>
      </c>
      <c r="W844" t="str">
        <f t="shared" si="83"/>
        <v>Valid</v>
      </c>
    </row>
    <row r="845" spans="1:23">
      <c r="A845" t="s">
        <v>876</v>
      </c>
      <c r="B845" s="2">
        <v>45679</v>
      </c>
      <c r="C845" t="s">
        <v>723</v>
      </c>
      <c r="D845" t="s">
        <v>32</v>
      </c>
      <c r="E845" t="s">
        <v>24</v>
      </c>
      <c r="F845" t="s">
        <v>29</v>
      </c>
      <c r="G845" t="s">
        <v>30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P845">
        <v>60.7</v>
      </c>
      <c r="R845" t="str">
        <f t="shared" si="78"/>
        <v>Unique</v>
      </c>
      <c r="S845" t="str">
        <f t="shared" si="79"/>
        <v>Valid</v>
      </c>
      <c r="T845" t="str">
        <f t="shared" si="80"/>
        <v>Valid</v>
      </c>
      <c r="U845" t="str">
        <f t="shared" si="81"/>
        <v>Valid</v>
      </c>
      <c r="V845" t="str">
        <f t="shared" si="82"/>
        <v>Valid</v>
      </c>
      <c r="W845" t="str">
        <f t="shared" si="83"/>
        <v>Valid</v>
      </c>
    </row>
    <row r="846" spans="1:23">
      <c r="A846" t="s">
        <v>877</v>
      </c>
      <c r="B846" s="2">
        <v>45748</v>
      </c>
      <c r="C846" t="s">
        <v>723</v>
      </c>
      <c r="D846" t="s">
        <v>23</v>
      </c>
      <c r="E846" t="s">
        <v>24</v>
      </c>
      <c r="F846" t="s">
        <v>25</v>
      </c>
      <c r="G846" t="s">
        <v>21</v>
      </c>
      <c r="H846">
        <v>1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P846">
        <v>61.5</v>
      </c>
      <c r="R846" t="str">
        <f t="shared" si="78"/>
        <v>Unique</v>
      </c>
      <c r="S846" t="str">
        <f t="shared" si="79"/>
        <v>Valid</v>
      </c>
      <c r="T846" t="str">
        <f t="shared" si="80"/>
        <v>Valid</v>
      </c>
      <c r="U846" t="str">
        <f t="shared" si="81"/>
        <v>Valid</v>
      </c>
      <c r="V846" t="str">
        <f t="shared" si="82"/>
        <v>Valid</v>
      </c>
      <c r="W846" t="str">
        <f t="shared" si="83"/>
        <v>Valid</v>
      </c>
    </row>
    <row r="847" spans="1:23">
      <c r="A847" t="s">
        <v>878</v>
      </c>
      <c r="B847" s="2">
        <v>45678</v>
      </c>
      <c r="C847" t="s">
        <v>723</v>
      </c>
      <c r="D847" t="s">
        <v>18</v>
      </c>
      <c r="E847" t="s">
        <v>24</v>
      </c>
      <c r="F847" t="s">
        <v>29</v>
      </c>
      <c r="G847" t="s">
        <v>21</v>
      </c>
      <c r="H847">
        <v>1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P847">
        <v>75</v>
      </c>
      <c r="R847" t="str">
        <f t="shared" si="78"/>
        <v>Unique</v>
      </c>
      <c r="S847" t="str">
        <f t="shared" si="79"/>
        <v>Valid</v>
      </c>
      <c r="T847" t="str">
        <f t="shared" si="80"/>
        <v>Valid</v>
      </c>
      <c r="U847" t="str">
        <f t="shared" si="81"/>
        <v>Valid</v>
      </c>
      <c r="V847" t="str">
        <f t="shared" si="82"/>
        <v>Valid</v>
      </c>
      <c r="W847" t="str">
        <f t="shared" si="83"/>
        <v>Valid</v>
      </c>
    </row>
    <row r="848" spans="1:23">
      <c r="A848" t="s">
        <v>879</v>
      </c>
      <c r="B848" s="2">
        <v>45659</v>
      </c>
      <c r="C848" t="s">
        <v>723</v>
      </c>
      <c r="D848" t="s">
        <v>28</v>
      </c>
      <c r="E848" t="s">
        <v>19</v>
      </c>
      <c r="F848" t="s">
        <v>25</v>
      </c>
      <c r="G848" t="s">
        <v>26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P848">
        <v>51.9</v>
      </c>
      <c r="R848" t="str">
        <f t="shared" si="78"/>
        <v>Unique</v>
      </c>
      <c r="S848" t="str">
        <f t="shared" si="79"/>
        <v>Valid</v>
      </c>
      <c r="T848" t="str">
        <f t="shared" si="80"/>
        <v>Valid</v>
      </c>
      <c r="U848" t="str">
        <f t="shared" si="81"/>
        <v>Valid</v>
      </c>
      <c r="V848" t="str">
        <f t="shared" si="82"/>
        <v>Valid</v>
      </c>
      <c r="W848" t="str">
        <f t="shared" si="83"/>
        <v>Valid</v>
      </c>
    </row>
    <row r="849" spans="1:23">
      <c r="A849" t="s">
        <v>880</v>
      </c>
      <c r="B849" s="2">
        <v>45789</v>
      </c>
      <c r="C849" t="s">
        <v>723</v>
      </c>
      <c r="D849" t="s">
        <v>32</v>
      </c>
      <c r="E849" t="s">
        <v>19</v>
      </c>
      <c r="F849" t="s">
        <v>29</v>
      </c>
      <c r="G849" t="s">
        <v>26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P849">
        <v>34.5</v>
      </c>
      <c r="R849" t="str">
        <f t="shared" si="78"/>
        <v>Unique</v>
      </c>
      <c r="S849" t="str">
        <f t="shared" si="79"/>
        <v>Valid</v>
      </c>
      <c r="T849" t="str">
        <f t="shared" si="80"/>
        <v>Valid</v>
      </c>
      <c r="U849" t="str">
        <f t="shared" si="81"/>
        <v>Valid</v>
      </c>
      <c r="V849" t="str">
        <f t="shared" si="82"/>
        <v>Valid</v>
      </c>
      <c r="W849" t="str">
        <f t="shared" si="83"/>
        <v>Valid</v>
      </c>
    </row>
    <row r="850" spans="1:23">
      <c r="A850" t="s">
        <v>881</v>
      </c>
      <c r="B850" s="2">
        <v>45721</v>
      </c>
      <c r="C850" t="s">
        <v>723</v>
      </c>
      <c r="D850" t="s">
        <v>32</v>
      </c>
      <c r="E850" t="s">
        <v>24</v>
      </c>
      <c r="F850" t="s">
        <v>41</v>
      </c>
      <c r="G850" t="s">
        <v>21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P850">
        <v>54.5</v>
      </c>
      <c r="R850" t="str">
        <f t="shared" si="78"/>
        <v>Unique</v>
      </c>
      <c r="S850" t="str">
        <f t="shared" si="79"/>
        <v>Valid</v>
      </c>
      <c r="T850" t="str">
        <f t="shared" si="80"/>
        <v>Valid</v>
      </c>
      <c r="U850" t="str">
        <f t="shared" si="81"/>
        <v>Valid</v>
      </c>
      <c r="V850" t="str">
        <f t="shared" si="82"/>
        <v>Valid</v>
      </c>
      <c r="W850" t="str">
        <f t="shared" si="83"/>
        <v>Valid</v>
      </c>
    </row>
    <row r="851" spans="1:23">
      <c r="A851" t="s">
        <v>882</v>
      </c>
      <c r="B851" s="2">
        <v>45681</v>
      </c>
      <c r="C851" t="s">
        <v>723</v>
      </c>
      <c r="D851" t="s">
        <v>28</v>
      </c>
      <c r="E851" t="s">
        <v>24</v>
      </c>
      <c r="F851" t="s">
        <v>25</v>
      </c>
      <c r="G851" t="s">
        <v>26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P851">
        <v>46</v>
      </c>
      <c r="R851" t="str">
        <f t="shared" si="78"/>
        <v>Unique</v>
      </c>
      <c r="S851" t="str">
        <f t="shared" si="79"/>
        <v>Valid</v>
      </c>
      <c r="T851" t="str">
        <f t="shared" si="80"/>
        <v>Valid</v>
      </c>
      <c r="U851" t="str">
        <f t="shared" si="81"/>
        <v>Valid</v>
      </c>
      <c r="V851" t="str">
        <f t="shared" si="82"/>
        <v>Valid</v>
      </c>
      <c r="W851" t="str">
        <f t="shared" si="83"/>
        <v>Valid</v>
      </c>
    </row>
    <row r="852" spans="1:23">
      <c r="A852" t="s">
        <v>883</v>
      </c>
      <c r="B852" s="2">
        <v>45688</v>
      </c>
      <c r="C852" t="s">
        <v>723</v>
      </c>
      <c r="D852" t="s">
        <v>28</v>
      </c>
      <c r="E852" t="s">
        <v>19</v>
      </c>
      <c r="F852" t="s">
        <v>20</v>
      </c>
      <c r="G852" t="s">
        <v>26</v>
      </c>
      <c r="H852">
        <v>1</v>
      </c>
      <c r="I852">
        <v>1</v>
      </c>
      <c r="J852">
        <v>1</v>
      </c>
      <c r="K852">
        <v>0</v>
      </c>
      <c r="L852">
        <v>0</v>
      </c>
      <c r="M852">
        <v>0</v>
      </c>
      <c r="N852">
        <v>0</v>
      </c>
      <c r="P852">
        <v>88.4</v>
      </c>
      <c r="R852" t="str">
        <f t="shared" si="78"/>
        <v>Unique</v>
      </c>
      <c r="S852" t="str">
        <f t="shared" si="79"/>
        <v>Valid</v>
      </c>
      <c r="T852" t="str">
        <f t="shared" si="80"/>
        <v>Valid</v>
      </c>
      <c r="U852" t="str">
        <f t="shared" si="81"/>
        <v>Valid</v>
      </c>
      <c r="V852" t="str">
        <f t="shared" si="82"/>
        <v>Valid</v>
      </c>
      <c r="W852" t="str">
        <f t="shared" si="83"/>
        <v>Valid</v>
      </c>
    </row>
    <row r="853" spans="1:23">
      <c r="A853" t="s">
        <v>884</v>
      </c>
      <c r="B853" s="2">
        <v>45681</v>
      </c>
      <c r="C853" t="s">
        <v>723</v>
      </c>
      <c r="D853" t="s">
        <v>18</v>
      </c>
      <c r="E853" t="s">
        <v>34</v>
      </c>
      <c r="F853" t="s">
        <v>25</v>
      </c>
      <c r="G853" t="s">
        <v>21</v>
      </c>
      <c r="H853">
        <v>1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P853">
        <v>69.5</v>
      </c>
      <c r="R853" t="str">
        <f t="shared" si="78"/>
        <v>Unique</v>
      </c>
      <c r="S853" t="str">
        <f t="shared" si="79"/>
        <v>Valid</v>
      </c>
      <c r="T853" t="str">
        <f t="shared" si="80"/>
        <v>Valid</v>
      </c>
      <c r="U853" t="str">
        <f t="shared" si="81"/>
        <v>Valid</v>
      </c>
      <c r="V853" t="str">
        <f t="shared" si="82"/>
        <v>Valid</v>
      </c>
      <c r="W853" t="str">
        <f t="shared" si="83"/>
        <v>Valid</v>
      </c>
    </row>
    <row r="854" spans="1:23">
      <c r="A854" t="s">
        <v>885</v>
      </c>
      <c r="B854" s="2">
        <v>45702</v>
      </c>
      <c r="C854" t="s">
        <v>723</v>
      </c>
      <c r="D854" t="s">
        <v>18</v>
      </c>
      <c r="E854" t="s">
        <v>19</v>
      </c>
      <c r="F854" t="s">
        <v>39</v>
      </c>
      <c r="G854" t="s">
        <v>21</v>
      </c>
      <c r="H854">
        <v>1</v>
      </c>
      <c r="I854">
        <v>1</v>
      </c>
      <c r="J854">
        <v>1</v>
      </c>
      <c r="K854">
        <v>0</v>
      </c>
      <c r="L854">
        <v>0</v>
      </c>
      <c r="M854">
        <v>0</v>
      </c>
      <c r="N854">
        <v>0</v>
      </c>
      <c r="P854">
        <v>74.2</v>
      </c>
      <c r="R854" t="str">
        <f t="shared" si="78"/>
        <v>Unique</v>
      </c>
      <c r="S854" t="str">
        <f t="shared" si="79"/>
        <v>Valid</v>
      </c>
      <c r="T854" t="str">
        <f t="shared" si="80"/>
        <v>Valid</v>
      </c>
      <c r="U854" t="str">
        <f t="shared" si="81"/>
        <v>Valid</v>
      </c>
      <c r="V854" t="str">
        <f t="shared" si="82"/>
        <v>Valid</v>
      </c>
      <c r="W854" t="str">
        <f t="shared" si="83"/>
        <v>Valid</v>
      </c>
    </row>
    <row r="855" spans="1:23">
      <c r="A855" t="s">
        <v>886</v>
      </c>
      <c r="B855" s="2">
        <v>45804</v>
      </c>
      <c r="C855" t="s">
        <v>723</v>
      </c>
      <c r="D855" t="s">
        <v>18</v>
      </c>
      <c r="E855" t="s">
        <v>24</v>
      </c>
      <c r="F855" t="s">
        <v>25</v>
      </c>
      <c r="G855" t="s">
        <v>26</v>
      </c>
      <c r="H855">
        <v>1</v>
      </c>
      <c r="I855">
        <v>1</v>
      </c>
      <c r="J855">
        <v>1</v>
      </c>
      <c r="K855">
        <v>0</v>
      </c>
      <c r="L855">
        <v>0</v>
      </c>
      <c r="M855">
        <v>0</v>
      </c>
      <c r="N855">
        <v>0</v>
      </c>
      <c r="P855">
        <v>72.099999999999994</v>
      </c>
      <c r="R855" t="str">
        <f t="shared" si="78"/>
        <v>Unique</v>
      </c>
      <c r="S855" t="str">
        <f t="shared" si="79"/>
        <v>Valid</v>
      </c>
      <c r="T855" t="str">
        <f t="shared" si="80"/>
        <v>Valid</v>
      </c>
      <c r="U855" t="str">
        <f t="shared" si="81"/>
        <v>Valid</v>
      </c>
      <c r="V855" t="str">
        <f t="shared" si="82"/>
        <v>Valid</v>
      </c>
      <c r="W855" t="str">
        <f t="shared" si="83"/>
        <v>Valid</v>
      </c>
    </row>
    <row r="856" spans="1:23">
      <c r="A856" t="s">
        <v>887</v>
      </c>
      <c r="B856" s="2">
        <v>45716</v>
      </c>
      <c r="C856" t="s">
        <v>723</v>
      </c>
      <c r="D856" t="s">
        <v>18</v>
      </c>
      <c r="E856" t="s">
        <v>24</v>
      </c>
      <c r="F856" t="s">
        <v>29</v>
      </c>
      <c r="G856" t="s">
        <v>26</v>
      </c>
      <c r="H856">
        <v>1</v>
      </c>
      <c r="I856">
        <v>1</v>
      </c>
      <c r="J856">
        <v>1</v>
      </c>
      <c r="K856">
        <v>1</v>
      </c>
      <c r="L856">
        <v>398.33</v>
      </c>
      <c r="M856">
        <v>0</v>
      </c>
      <c r="N856">
        <v>0</v>
      </c>
      <c r="O856">
        <v>5</v>
      </c>
      <c r="P856">
        <v>85.1</v>
      </c>
      <c r="R856" t="str">
        <f t="shared" si="78"/>
        <v>Unique</v>
      </c>
      <c r="S856" t="str">
        <f t="shared" si="79"/>
        <v>Valid</v>
      </c>
      <c r="T856" t="str">
        <f t="shared" si="80"/>
        <v>Valid</v>
      </c>
      <c r="U856" t="str">
        <f t="shared" si="81"/>
        <v>Valid</v>
      </c>
      <c r="V856" t="str">
        <f t="shared" si="82"/>
        <v>Valid</v>
      </c>
      <c r="W856" t="str">
        <f t="shared" si="83"/>
        <v>Valid</v>
      </c>
    </row>
    <row r="857" spans="1:23">
      <c r="A857" t="s">
        <v>888</v>
      </c>
      <c r="B857" s="2">
        <v>45804</v>
      </c>
      <c r="C857" t="s">
        <v>723</v>
      </c>
      <c r="D857" t="s">
        <v>18</v>
      </c>
      <c r="E857" t="s">
        <v>24</v>
      </c>
      <c r="F857" t="s">
        <v>25</v>
      </c>
      <c r="G857" t="s">
        <v>21</v>
      </c>
      <c r="H857">
        <v>1</v>
      </c>
      <c r="I857">
        <v>1</v>
      </c>
      <c r="J857">
        <v>1</v>
      </c>
      <c r="K857">
        <v>0</v>
      </c>
      <c r="L857">
        <v>0</v>
      </c>
      <c r="M857">
        <v>0</v>
      </c>
      <c r="N857">
        <v>0</v>
      </c>
      <c r="P857">
        <v>49.5</v>
      </c>
      <c r="R857" t="str">
        <f t="shared" si="78"/>
        <v>Unique</v>
      </c>
      <c r="S857" t="str">
        <f t="shared" si="79"/>
        <v>Valid</v>
      </c>
      <c r="T857" t="str">
        <f t="shared" si="80"/>
        <v>Valid</v>
      </c>
      <c r="U857" t="str">
        <f t="shared" si="81"/>
        <v>Valid</v>
      </c>
      <c r="V857" t="str">
        <f t="shared" si="82"/>
        <v>Valid</v>
      </c>
      <c r="W857" t="str">
        <f t="shared" si="83"/>
        <v>Valid</v>
      </c>
    </row>
    <row r="858" spans="1:23">
      <c r="A858" t="s">
        <v>889</v>
      </c>
      <c r="B858" s="2">
        <v>45794</v>
      </c>
      <c r="C858" t="s">
        <v>723</v>
      </c>
      <c r="D858" t="s">
        <v>32</v>
      </c>
      <c r="E858" t="s">
        <v>24</v>
      </c>
      <c r="F858" t="s">
        <v>29</v>
      </c>
      <c r="G858" t="s">
        <v>30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1</v>
      </c>
      <c r="N858">
        <v>0</v>
      </c>
      <c r="P858">
        <v>79</v>
      </c>
      <c r="R858" t="str">
        <f t="shared" si="78"/>
        <v>Unique</v>
      </c>
      <c r="S858" t="str">
        <f t="shared" si="79"/>
        <v>Valid</v>
      </c>
      <c r="T858" t="str">
        <f t="shared" si="80"/>
        <v>Valid</v>
      </c>
      <c r="U858" t="str">
        <f t="shared" si="81"/>
        <v>Valid</v>
      </c>
      <c r="V858" t="str">
        <f t="shared" si="82"/>
        <v>Valid</v>
      </c>
      <c r="W858" t="str">
        <f t="shared" si="83"/>
        <v>Valid</v>
      </c>
    </row>
    <row r="859" spans="1:23">
      <c r="A859" t="s">
        <v>890</v>
      </c>
      <c r="B859" s="2">
        <v>45667</v>
      </c>
      <c r="C859" t="s">
        <v>723</v>
      </c>
      <c r="D859" t="s">
        <v>23</v>
      </c>
      <c r="E859" t="s">
        <v>19</v>
      </c>
      <c r="F859" t="s">
        <v>41</v>
      </c>
      <c r="G859" t="s">
        <v>26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P859">
        <v>71.8</v>
      </c>
      <c r="R859" t="str">
        <f t="shared" si="78"/>
        <v>Unique</v>
      </c>
      <c r="S859" t="str">
        <f t="shared" si="79"/>
        <v>Valid</v>
      </c>
      <c r="T859" t="str">
        <f t="shared" si="80"/>
        <v>Valid</v>
      </c>
      <c r="U859" t="str">
        <f t="shared" si="81"/>
        <v>Valid</v>
      </c>
      <c r="V859" t="str">
        <f t="shared" si="82"/>
        <v>Valid</v>
      </c>
      <c r="W859" t="str">
        <f t="shared" si="83"/>
        <v>Valid</v>
      </c>
    </row>
    <row r="860" spans="1:23">
      <c r="A860" t="s">
        <v>891</v>
      </c>
      <c r="B860" s="2">
        <v>45769</v>
      </c>
      <c r="C860" t="s">
        <v>723</v>
      </c>
      <c r="D860" t="s">
        <v>18</v>
      </c>
      <c r="E860" t="s">
        <v>24</v>
      </c>
      <c r="F860" t="s">
        <v>20</v>
      </c>
      <c r="G860" t="s">
        <v>21</v>
      </c>
      <c r="H860">
        <v>1</v>
      </c>
      <c r="I860">
        <v>1</v>
      </c>
      <c r="J860">
        <v>1</v>
      </c>
      <c r="K860">
        <v>1</v>
      </c>
      <c r="L860">
        <v>1117.54</v>
      </c>
      <c r="M860">
        <v>0</v>
      </c>
      <c r="N860">
        <v>0</v>
      </c>
      <c r="O860">
        <v>6</v>
      </c>
      <c r="P860">
        <v>60.4</v>
      </c>
      <c r="R860" t="str">
        <f t="shared" si="78"/>
        <v>Unique</v>
      </c>
      <c r="S860" t="str">
        <f t="shared" si="79"/>
        <v>Valid</v>
      </c>
      <c r="T860" t="str">
        <f t="shared" si="80"/>
        <v>Valid</v>
      </c>
      <c r="U860" t="str">
        <f t="shared" si="81"/>
        <v>Valid</v>
      </c>
      <c r="V860" t="str">
        <f t="shared" si="82"/>
        <v>Valid</v>
      </c>
      <c r="W860" t="str">
        <f t="shared" si="83"/>
        <v>Valid</v>
      </c>
    </row>
    <row r="861" spans="1:23">
      <c r="A861" t="s">
        <v>892</v>
      </c>
      <c r="B861" s="2">
        <v>45718</v>
      </c>
      <c r="C861" t="s">
        <v>723</v>
      </c>
      <c r="D861" t="s">
        <v>32</v>
      </c>
      <c r="E861" t="s">
        <v>19</v>
      </c>
      <c r="F861" t="s">
        <v>25</v>
      </c>
      <c r="G861" t="s">
        <v>21</v>
      </c>
      <c r="H861">
        <v>1</v>
      </c>
      <c r="I861">
        <v>0</v>
      </c>
      <c r="J861">
        <v>0</v>
      </c>
      <c r="K861">
        <v>0</v>
      </c>
      <c r="L861">
        <v>0</v>
      </c>
      <c r="M861">
        <v>2</v>
      </c>
      <c r="N861">
        <v>0</v>
      </c>
      <c r="P861">
        <v>38.299999999999997</v>
      </c>
      <c r="R861" t="str">
        <f t="shared" si="78"/>
        <v>Unique</v>
      </c>
      <c r="S861" t="str">
        <f t="shared" si="79"/>
        <v>Valid</v>
      </c>
      <c r="T861" t="str">
        <f t="shared" si="80"/>
        <v>Valid</v>
      </c>
      <c r="U861" t="str">
        <f t="shared" si="81"/>
        <v>Valid</v>
      </c>
      <c r="V861" t="str">
        <f t="shared" si="82"/>
        <v>Valid</v>
      </c>
      <c r="W861" t="str">
        <f t="shared" si="83"/>
        <v>Valid</v>
      </c>
    </row>
    <row r="862" spans="1:23">
      <c r="A862" t="s">
        <v>893</v>
      </c>
      <c r="B862" s="2">
        <v>45739</v>
      </c>
      <c r="C862" t="s">
        <v>723</v>
      </c>
      <c r="D862" t="s">
        <v>28</v>
      </c>
      <c r="E862" t="s">
        <v>24</v>
      </c>
      <c r="F862" t="s">
        <v>29</v>
      </c>
      <c r="G862" t="s">
        <v>26</v>
      </c>
      <c r="H862">
        <v>1</v>
      </c>
      <c r="I862">
        <v>1</v>
      </c>
      <c r="J862">
        <v>1</v>
      </c>
      <c r="K862">
        <v>0</v>
      </c>
      <c r="L862">
        <v>0</v>
      </c>
      <c r="M862">
        <v>0</v>
      </c>
      <c r="N862">
        <v>0</v>
      </c>
      <c r="P862">
        <v>79.599999999999994</v>
      </c>
      <c r="R862" t="str">
        <f t="shared" si="78"/>
        <v>Unique</v>
      </c>
      <c r="S862" t="str">
        <f t="shared" si="79"/>
        <v>Valid</v>
      </c>
      <c r="T862" t="str">
        <f t="shared" si="80"/>
        <v>Valid</v>
      </c>
      <c r="U862" t="str">
        <f t="shared" si="81"/>
        <v>Valid</v>
      </c>
      <c r="V862" t="str">
        <f t="shared" si="82"/>
        <v>Valid</v>
      </c>
      <c r="W862" t="str">
        <f t="shared" si="83"/>
        <v>Valid</v>
      </c>
    </row>
    <row r="863" spans="1:23">
      <c r="A863" t="s">
        <v>894</v>
      </c>
      <c r="B863" s="2">
        <v>45700</v>
      </c>
      <c r="C863" t="s">
        <v>723</v>
      </c>
      <c r="D863" t="s">
        <v>28</v>
      </c>
      <c r="E863" t="s">
        <v>24</v>
      </c>
      <c r="F863" t="s">
        <v>20</v>
      </c>
      <c r="G863" t="s">
        <v>26</v>
      </c>
      <c r="H863">
        <v>1</v>
      </c>
      <c r="I863">
        <v>1</v>
      </c>
      <c r="J863">
        <v>1</v>
      </c>
      <c r="K863">
        <v>0</v>
      </c>
      <c r="L863">
        <v>0</v>
      </c>
      <c r="M863">
        <v>0</v>
      </c>
      <c r="N863">
        <v>0</v>
      </c>
      <c r="P863">
        <v>71.900000000000006</v>
      </c>
      <c r="R863" t="str">
        <f t="shared" si="78"/>
        <v>Unique</v>
      </c>
      <c r="S863" t="str">
        <f t="shared" si="79"/>
        <v>Valid</v>
      </c>
      <c r="T863" t="str">
        <f t="shared" si="80"/>
        <v>Valid</v>
      </c>
      <c r="U863" t="str">
        <f t="shared" si="81"/>
        <v>Valid</v>
      </c>
      <c r="V863" t="str">
        <f t="shared" si="82"/>
        <v>Valid</v>
      </c>
      <c r="W863" t="str">
        <f t="shared" si="83"/>
        <v>Valid</v>
      </c>
    </row>
    <row r="864" spans="1:23">
      <c r="A864" t="s">
        <v>895</v>
      </c>
      <c r="B864" s="2">
        <v>45780</v>
      </c>
      <c r="C864" t="s">
        <v>723</v>
      </c>
      <c r="D864" t="s">
        <v>32</v>
      </c>
      <c r="E864" t="s">
        <v>24</v>
      </c>
      <c r="F864" t="s">
        <v>39</v>
      </c>
      <c r="G864" t="s">
        <v>21</v>
      </c>
      <c r="H864">
        <v>1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P864">
        <v>54.6</v>
      </c>
      <c r="R864" t="str">
        <f t="shared" si="78"/>
        <v>Unique</v>
      </c>
      <c r="S864" t="str">
        <f t="shared" si="79"/>
        <v>Valid</v>
      </c>
      <c r="T864" t="str">
        <f t="shared" si="80"/>
        <v>Valid</v>
      </c>
      <c r="U864" t="str">
        <f t="shared" si="81"/>
        <v>Valid</v>
      </c>
      <c r="V864" t="str">
        <f t="shared" si="82"/>
        <v>Valid</v>
      </c>
      <c r="W864" t="str">
        <f t="shared" si="83"/>
        <v>Valid</v>
      </c>
    </row>
    <row r="865" spans="1:23">
      <c r="A865" t="s">
        <v>896</v>
      </c>
      <c r="B865" s="2">
        <v>45744</v>
      </c>
      <c r="C865" t="s">
        <v>723</v>
      </c>
      <c r="D865" t="s">
        <v>18</v>
      </c>
      <c r="E865" t="s">
        <v>19</v>
      </c>
      <c r="F865" t="s">
        <v>41</v>
      </c>
      <c r="G865" t="s">
        <v>26</v>
      </c>
      <c r="H865">
        <v>1</v>
      </c>
      <c r="I865">
        <v>0</v>
      </c>
      <c r="J865">
        <v>0</v>
      </c>
      <c r="K865">
        <v>0</v>
      </c>
      <c r="L865">
        <v>0</v>
      </c>
      <c r="M865">
        <v>3</v>
      </c>
      <c r="N865">
        <v>0</v>
      </c>
      <c r="P865">
        <v>49.3</v>
      </c>
      <c r="R865" t="str">
        <f t="shared" si="78"/>
        <v>Unique</v>
      </c>
      <c r="S865" t="str">
        <f t="shared" si="79"/>
        <v>Valid</v>
      </c>
      <c r="T865" t="str">
        <f t="shared" si="80"/>
        <v>Valid</v>
      </c>
      <c r="U865" t="str">
        <f t="shared" si="81"/>
        <v>Valid</v>
      </c>
      <c r="V865" t="str">
        <f t="shared" si="82"/>
        <v>Valid</v>
      </c>
      <c r="W865" t="str">
        <f t="shared" si="83"/>
        <v>Valid</v>
      </c>
    </row>
    <row r="866" spans="1:23">
      <c r="A866" t="s">
        <v>897</v>
      </c>
      <c r="B866" s="2">
        <v>45728</v>
      </c>
      <c r="C866" t="s">
        <v>723</v>
      </c>
      <c r="D866" t="s">
        <v>18</v>
      </c>
      <c r="E866" t="s">
        <v>24</v>
      </c>
      <c r="F866" t="s">
        <v>41</v>
      </c>
      <c r="G866" t="s">
        <v>21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1</v>
      </c>
      <c r="N866">
        <v>0</v>
      </c>
      <c r="P866">
        <v>66.900000000000006</v>
      </c>
      <c r="R866" t="str">
        <f t="shared" si="78"/>
        <v>Unique</v>
      </c>
      <c r="S866" t="str">
        <f t="shared" si="79"/>
        <v>Valid</v>
      </c>
      <c r="T866" t="str">
        <f t="shared" si="80"/>
        <v>Valid</v>
      </c>
      <c r="U866" t="str">
        <f t="shared" si="81"/>
        <v>Valid</v>
      </c>
      <c r="V866" t="str">
        <f t="shared" si="82"/>
        <v>Valid</v>
      </c>
      <c r="W866" t="str">
        <f t="shared" si="83"/>
        <v>Valid</v>
      </c>
    </row>
    <row r="867" spans="1:23">
      <c r="A867" t="s">
        <v>898</v>
      </c>
      <c r="B867" s="2">
        <v>45774</v>
      </c>
      <c r="C867" t="s">
        <v>723</v>
      </c>
      <c r="D867" t="s">
        <v>28</v>
      </c>
      <c r="E867" t="s">
        <v>24</v>
      </c>
      <c r="F867" t="s">
        <v>29</v>
      </c>
      <c r="G867" t="s">
        <v>26</v>
      </c>
      <c r="H867">
        <v>1</v>
      </c>
      <c r="I867">
        <v>0</v>
      </c>
      <c r="J867">
        <v>0</v>
      </c>
      <c r="K867">
        <v>0</v>
      </c>
      <c r="L867">
        <v>0</v>
      </c>
      <c r="M867">
        <v>1</v>
      </c>
      <c r="N867">
        <v>0</v>
      </c>
      <c r="P867">
        <v>77.8</v>
      </c>
      <c r="R867" t="str">
        <f t="shared" si="78"/>
        <v>Unique</v>
      </c>
      <c r="S867" t="str">
        <f t="shared" si="79"/>
        <v>Valid</v>
      </c>
      <c r="T867" t="str">
        <f t="shared" si="80"/>
        <v>Valid</v>
      </c>
      <c r="U867" t="str">
        <f t="shared" si="81"/>
        <v>Valid</v>
      </c>
      <c r="V867" t="str">
        <f t="shared" si="82"/>
        <v>Valid</v>
      </c>
      <c r="W867" t="str">
        <f t="shared" si="83"/>
        <v>Valid</v>
      </c>
    </row>
    <row r="868" spans="1:23">
      <c r="A868" t="s">
        <v>899</v>
      </c>
      <c r="B868" s="2">
        <v>45749</v>
      </c>
      <c r="C868" t="s">
        <v>723</v>
      </c>
      <c r="D868" t="s">
        <v>32</v>
      </c>
      <c r="E868" t="s">
        <v>24</v>
      </c>
      <c r="F868" t="s">
        <v>39</v>
      </c>
      <c r="G868" t="s">
        <v>21</v>
      </c>
      <c r="H868">
        <v>1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P868">
        <v>63</v>
      </c>
      <c r="R868" t="str">
        <f t="shared" si="78"/>
        <v>Unique</v>
      </c>
      <c r="S868" t="str">
        <f t="shared" si="79"/>
        <v>Valid</v>
      </c>
      <c r="T868" t="str">
        <f t="shared" si="80"/>
        <v>Valid</v>
      </c>
      <c r="U868" t="str">
        <f t="shared" si="81"/>
        <v>Valid</v>
      </c>
      <c r="V868" t="str">
        <f t="shared" si="82"/>
        <v>Valid</v>
      </c>
      <c r="W868" t="str">
        <f t="shared" si="83"/>
        <v>Valid</v>
      </c>
    </row>
    <row r="869" spans="1:23">
      <c r="A869" t="s">
        <v>900</v>
      </c>
      <c r="B869" s="2">
        <v>45768</v>
      </c>
      <c r="C869" t="s">
        <v>723</v>
      </c>
      <c r="D869" t="s">
        <v>18</v>
      </c>
      <c r="E869" t="s">
        <v>24</v>
      </c>
      <c r="F869" t="s">
        <v>41</v>
      </c>
      <c r="G869" t="s">
        <v>26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P869">
        <v>79.8</v>
      </c>
      <c r="R869" t="str">
        <f t="shared" si="78"/>
        <v>Unique</v>
      </c>
      <c r="S869" t="str">
        <f t="shared" si="79"/>
        <v>Valid</v>
      </c>
      <c r="T869" t="str">
        <f t="shared" si="80"/>
        <v>Valid</v>
      </c>
      <c r="U869" t="str">
        <f t="shared" si="81"/>
        <v>Valid</v>
      </c>
      <c r="V869" t="str">
        <f t="shared" si="82"/>
        <v>Valid</v>
      </c>
      <c r="W869" t="str">
        <f t="shared" si="83"/>
        <v>Valid</v>
      </c>
    </row>
    <row r="870" spans="1:23">
      <c r="A870" t="s">
        <v>901</v>
      </c>
      <c r="B870" s="2">
        <v>45683</v>
      </c>
      <c r="C870" t="s">
        <v>723</v>
      </c>
      <c r="D870" t="s">
        <v>23</v>
      </c>
      <c r="E870" t="s">
        <v>19</v>
      </c>
      <c r="F870" t="s">
        <v>25</v>
      </c>
      <c r="G870" t="s">
        <v>21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P870">
        <v>69.900000000000006</v>
      </c>
      <c r="R870" t="str">
        <f t="shared" si="78"/>
        <v>Unique</v>
      </c>
      <c r="S870" t="str">
        <f t="shared" si="79"/>
        <v>Valid</v>
      </c>
      <c r="T870" t="str">
        <f t="shared" si="80"/>
        <v>Valid</v>
      </c>
      <c r="U870" t="str">
        <f t="shared" si="81"/>
        <v>Valid</v>
      </c>
      <c r="V870" t="str">
        <f t="shared" si="82"/>
        <v>Valid</v>
      </c>
      <c r="W870" t="str">
        <f t="shared" si="83"/>
        <v>Valid</v>
      </c>
    </row>
    <row r="871" spans="1:23">
      <c r="A871" t="s">
        <v>902</v>
      </c>
      <c r="B871" s="2">
        <v>45663</v>
      </c>
      <c r="C871" t="s">
        <v>723</v>
      </c>
      <c r="D871" t="s">
        <v>23</v>
      </c>
      <c r="E871" t="s">
        <v>24</v>
      </c>
      <c r="F871" t="s">
        <v>25</v>
      </c>
      <c r="G871" t="s">
        <v>26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1</v>
      </c>
      <c r="N871">
        <v>0</v>
      </c>
      <c r="P871">
        <v>66.400000000000006</v>
      </c>
      <c r="R871" t="str">
        <f t="shared" si="78"/>
        <v>Unique</v>
      </c>
      <c r="S871" t="str">
        <f t="shared" si="79"/>
        <v>Valid</v>
      </c>
      <c r="T871" t="str">
        <f t="shared" si="80"/>
        <v>Valid</v>
      </c>
      <c r="U871" t="str">
        <f t="shared" si="81"/>
        <v>Valid</v>
      </c>
      <c r="V871" t="str">
        <f t="shared" si="82"/>
        <v>Valid</v>
      </c>
      <c r="W871" t="str">
        <f t="shared" si="83"/>
        <v>Valid</v>
      </c>
    </row>
    <row r="872" spans="1:23">
      <c r="A872" t="s">
        <v>903</v>
      </c>
      <c r="B872" s="2">
        <v>45695</v>
      </c>
      <c r="C872" t="s">
        <v>723</v>
      </c>
      <c r="D872" t="s">
        <v>28</v>
      </c>
      <c r="E872" t="s">
        <v>24</v>
      </c>
      <c r="F872" t="s">
        <v>25</v>
      </c>
      <c r="G872" t="s">
        <v>26</v>
      </c>
      <c r="H872">
        <v>1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P872">
        <v>27.6</v>
      </c>
      <c r="R872" t="str">
        <f t="shared" si="78"/>
        <v>Unique</v>
      </c>
      <c r="S872" t="str">
        <f t="shared" si="79"/>
        <v>Valid</v>
      </c>
      <c r="T872" t="str">
        <f t="shared" si="80"/>
        <v>Valid</v>
      </c>
      <c r="U872" t="str">
        <f t="shared" si="81"/>
        <v>Valid</v>
      </c>
      <c r="V872" t="str">
        <f t="shared" si="82"/>
        <v>Valid</v>
      </c>
      <c r="W872" t="str">
        <f t="shared" si="83"/>
        <v>Valid</v>
      </c>
    </row>
    <row r="873" spans="1:23">
      <c r="A873" t="s">
        <v>904</v>
      </c>
      <c r="B873" s="2">
        <v>45784</v>
      </c>
      <c r="C873" t="s">
        <v>723</v>
      </c>
      <c r="D873" t="s">
        <v>23</v>
      </c>
      <c r="E873" t="s">
        <v>24</v>
      </c>
      <c r="F873" t="s">
        <v>25</v>
      </c>
      <c r="G873" t="s">
        <v>30</v>
      </c>
      <c r="H873">
        <v>1</v>
      </c>
      <c r="I873">
        <v>0</v>
      </c>
      <c r="J873">
        <v>0</v>
      </c>
      <c r="K873">
        <v>0</v>
      </c>
      <c r="L873">
        <v>0</v>
      </c>
      <c r="M873">
        <v>1</v>
      </c>
      <c r="N873">
        <v>0</v>
      </c>
      <c r="P873">
        <v>56.5</v>
      </c>
      <c r="R873" t="str">
        <f t="shared" si="78"/>
        <v>Unique</v>
      </c>
      <c r="S873" t="str">
        <f t="shared" si="79"/>
        <v>Valid</v>
      </c>
      <c r="T873" t="str">
        <f t="shared" si="80"/>
        <v>Valid</v>
      </c>
      <c r="U873" t="str">
        <f t="shared" si="81"/>
        <v>Valid</v>
      </c>
      <c r="V873" t="str">
        <f t="shared" si="82"/>
        <v>Valid</v>
      </c>
      <c r="W873" t="str">
        <f t="shared" si="83"/>
        <v>Valid</v>
      </c>
    </row>
    <row r="874" spans="1:23">
      <c r="A874" t="s">
        <v>905</v>
      </c>
      <c r="B874" s="2">
        <v>45769</v>
      </c>
      <c r="C874" t="s">
        <v>723</v>
      </c>
      <c r="D874" t="s">
        <v>23</v>
      </c>
      <c r="E874" t="s">
        <v>1451</v>
      </c>
      <c r="F874" t="s">
        <v>41</v>
      </c>
      <c r="G874" t="s">
        <v>26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P874">
        <v>67.8</v>
      </c>
      <c r="R874" t="str">
        <f t="shared" si="78"/>
        <v>Unique</v>
      </c>
      <c r="S874" t="str">
        <f t="shared" si="79"/>
        <v>Valid</v>
      </c>
      <c r="T874" t="str">
        <f t="shared" si="80"/>
        <v>Valid</v>
      </c>
      <c r="U874" t="str">
        <f t="shared" si="81"/>
        <v>Valid</v>
      </c>
      <c r="V874" t="str">
        <f t="shared" si="82"/>
        <v>Valid</v>
      </c>
      <c r="W874" t="str">
        <f t="shared" si="83"/>
        <v>Valid</v>
      </c>
    </row>
    <row r="875" spans="1:23">
      <c r="A875" t="s">
        <v>906</v>
      </c>
      <c r="B875" s="2">
        <v>45781</v>
      </c>
      <c r="C875" t="s">
        <v>723</v>
      </c>
      <c r="D875" t="s">
        <v>23</v>
      </c>
      <c r="E875" t="s">
        <v>19</v>
      </c>
      <c r="F875" t="s">
        <v>41</v>
      </c>
      <c r="G875" t="s">
        <v>26</v>
      </c>
      <c r="H875">
        <v>1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P875">
        <v>80</v>
      </c>
      <c r="R875" t="str">
        <f t="shared" si="78"/>
        <v>Unique</v>
      </c>
      <c r="S875" t="str">
        <f t="shared" si="79"/>
        <v>Valid</v>
      </c>
      <c r="T875" t="str">
        <f t="shared" si="80"/>
        <v>Valid</v>
      </c>
      <c r="U875" t="str">
        <f t="shared" si="81"/>
        <v>Valid</v>
      </c>
      <c r="V875" t="str">
        <f t="shared" si="82"/>
        <v>Valid</v>
      </c>
      <c r="W875" t="str">
        <f t="shared" si="83"/>
        <v>Valid</v>
      </c>
    </row>
    <row r="876" spans="1:23">
      <c r="A876" t="s">
        <v>907</v>
      </c>
      <c r="B876" s="2">
        <v>45793</v>
      </c>
      <c r="C876" t="s">
        <v>723</v>
      </c>
      <c r="D876" t="s">
        <v>32</v>
      </c>
      <c r="E876" t="s">
        <v>24</v>
      </c>
      <c r="F876" t="s">
        <v>41</v>
      </c>
      <c r="G876" t="s">
        <v>21</v>
      </c>
      <c r="H876">
        <v>1</v>
      </c>
      <c r="I876">
        <v>1</v>
      </c>
      <c r="J876">
        <v>1</v>
      </c>
      <c r="K876">
        <v>0</v>
      </c>
      <c r="L876">
        <v>0</v>
      </c>
      <c r="M876">
        <v>1</v>
      </c>
      <c r="N876">
        <v>0</v>
      </c>
      <c r="P876">
        <v>80.900000000000006</v>
      </c>
      <c r="R876" t="str">
        <f t="shared" si="78"/>
        <v>Unique</v>
      </c>
      <c r="S876" t="str">
        <f t="shared" si="79"/>
        <v>Valid</v>
      </c>
      <c r="T876" t="str">
        <f t="shared" si="80"/>
        <v>Valid</v>
      </c>
      <c r="U876" t="str">
        <f t="shared" si="81"/>
        <v>Valid</v>
      </c>
      <c r="V876" t="str">
        <f t="shared" si="82"/>
        <v>Valid</v>
      </c>
      <c r="W876" t="str">
        <f t="shared" si="83"/>
        <v>Valid</v>
      </c>
    </row>
    <row r="877" spans="1:23">
      <c r="A877" t="s">
        <v>908</v>
      </c>
      <c r="B877" s="2">
        <v>45699</v>
      </c>
      <c r="C877" t="s">
        <v>723</v>
      </c>
      <c r="D877" t="s">
        <v>23</v>
      </c>
      <c r="E877" t="s">
        <v>24</v>
      </c>
      <c r="F877" t="s">
        <v>29</v>
      </c>
      <c r="G877" t="s">
        <v>26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P877">
        <v>34.5</v>
      </c>
      <c r="R877" t="str">
        <f t="shared" si="78"/>
        <v>Unique</v>
      </c>
      <c r="S877" t="str">
        <f t="shared" si="79"/>
        <v>Valid</v>
      </c>
      <c r="T877" t="str">
        <f t="shared" si="80"/>
        <v>Valid</v>
      </c>
      <c r="U877" t="str">
        <f t="shared" si="81"/>
        <v>Valid</v>
      </c>
      <c r="V877" t="str">
        <f t="shared" si="82"/>
        <v>Valid</v>
      </c>
      <c r="W877" t="str">
        <f t="shared" si="83"/>
        <v>Valid</v>
      </c>
    </row>
    <row r="878" spans="1:23">
      <c r="A878" t="s">
        <v>909</v>
      </c>
      <c r="B878" s="2">
        <v>45786</v>
      </c>
      <c r="C878" t="s">
        <v>723</v>
      </c>
      <c r="D878" t="s">
        <v>28</v>
      </c>
      <c r="E878" t="s">
        <v>19</v>
      </c>
      <c r="F878" t="s">
        <v>25</v>
      </c>
      <c r="G878" t="s">
        <v>30</v>
      </c>
      <c r="H878">
        <v>1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P878">
        <v>73.5</v>
      </c>
      <c r="R878" t="str">
        <f t="shared" si="78"/>
        <v>Unique</v>
      </c>
      <c r="S878" t="str">
        <f t="shared" si="79"/>
        <v>Valid</v>
      </c>
      <c r="T878" t="str">
        <f t="shared" si="80"/>
        <v>Valid</v>
      </c>
      <c r="U878" t="str">
        <f t="shared" si="81"/>
        <v>Valid</v>
      </c>
      <c r="V878" t="str">
        <f t="shared" si="82"/>
        <v>Valid</v>
      </c>
      <c r="W878" t="str">
        <f t="shared" si="83"/>
        <v>Valid</v>
      </c>
    </row>
    <row r="879" spans="1:23">
      <c r="A879" t="s">
        <v>910</v>
      </c>
      <c r="B879" s="2">
        <v>45697</v>
      </c>
      <c r="C879" t="s">
        <v>723</v>
      </c>
      <c r="D879" t="s">
        <v>32</v>
      </c>
      <c r="E879" t="s">
        <v>19</v>
      </c>
      <c r="F879" t="s">
        <v>29</v>
      </c>
      <c r="G879" t="s">
        <v>26</v>
      </c>
      <c r="H879">
        <v>1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P879">
        <v>70</v>
      </c>
      <c r="R879" t="str">
        <f t="shared" si="78"/>
        <v>Unique</v>
      </c>
      <c r="S879" t="str">
        <f t="shared" si="79"/>
        <v>Valid</v>
      </c>
      <c r="T879" t="str">
        <f t="shared" si="80"/>
        <v>Valid</v>
      </c>
      <c r="U879" t="str">
        <f t="shared" si="81"/>
        <v>Valid</v>
      </c>
      <c r="V879" t="str">
        <f t="shared" si="82"/>
        <v>Valid</v>
      </c>
      <c r="W879" t="str">
        <f t="shared" si="83"/>
        <v>Valid</v>
      </c>
    </row>
    <row r="880" spans="1:23">
      <c r="A880" t="s">
        <v>911</v>
      </c>
      <c r="B880" s="2">
        <v>45799</v>
      </c>
      <c r="C880" t="s">
        <v>723</v>
      </c>
      <c r="D880" t="s">
        <v>23</v>
      </c>
      <c r="E880" t="s">
        <v>24</v>
      </c>
      <c r="F880" t="s">
        <v>41</v>
      </c>
      <c r="G880" t="s">
        <v>21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P880">
        <v>86.9</v>
      </c>
      <c r="R880" t="str">
        <f t="shared" si="78"/>
        <v>Unique</v>
      </c>
      <c r="S880" t="str">
        <f t="shared" si="79"/>
        <v>Valid</v>
      </c>
      <c r="T880" t="str">
        <f t="shared" si="80"/>
        <v>Valid</v>
      </c>
      <c r="U880" t="str">
        <f t="shared" si="81"/>
        <v>Valid</v>
      </c>
      <c r="V880" t="str">
        <f t="shared" si="82"/>
        <v>Valid</v>
      </c>
      <c r="W880" t="str">
        <f t="shared" si="83"/>
        <v>Valid</v>
      </c>
    </row>
    <row r="881" spans="1:23">
      <c r="A881" t="s">
        <v>912</v>
      </c>
      <c r="B881" s="2">
        <v>45801</v>
      </c>
      <c r="C881" t="s">
        <v>723</v>
      </c>
      <c r="D881" t="s">
        <v>28</v>
      </c>
      <c r="E881" t="s">
        <v>24</v>
      </c>
      <c r="F881" t="s">
        <v>41</v>
      </c>
      <c r="G881" t="s">
        <v>21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P881">
        <v>66.900000000000006</v>
      </c>
      <c r="R881" t="str">
        <f t="shared" si="78"/>
        <v>Unique</v>
      </c>
      <c r="S881" t="str">
        <f t="shared" si="79"/>
        <v>Valid</v>
      </c>
      <c r="T881" t="str">
        <f t="shared" si="80"/>
        <v>Valid</v>
      </c>
      <c r="U881" t="str">
        <f t="shared" si="81"/>
        <v>Valid</v>
      </c>
      <c r="V881" t="str">
        <f t="shared" si="82"/>
        <v>Valid</v>
      </c>
      <c r="W881" t="str">
        <f t="shared" si="83"/>
        <v>Valid</v>
      </c>
    </row>
    <row r="882" spans="1:23">
      <c r="A882" t="s">
        <v>913</v>
      </c>
      <c r="B882" s="2">
        <v>45774</v>
      </c>
      <c r="C882" t="s">
        <v>723</v>
      </c>
      <c r="D882" t="s">
        <v>32</v>
      </c>
      <c r="E882" t="s">
        <v>19</v>
      </c>
      <c r="F882" t="s">
        <v>41</v>
      </c>
      <c r="G882" t="s">
        <v>21</v>
      </c>
      <c r="H882">
        <v>1</v>
      </c>
      <c r="I882">
        <v>1</v>
      </c>
      <c r="J882">
        <v>1</v>
      </c>
      <c r="K882">
        <v>0</v>
      </c>
      <c r="L882">
        <v>0</v>
      </c>
      <c r="M882">
        <v>0</v>
      </c>
      <c r="N882">
        <v>0</v>
      </c>
      <c r="P882">
        <v>58.3</v>
      </c>
      <c r="R882" t="str">
        <f t="shared" si="78"/>
        <v>Unique</v>
      </c>
      <c r="S882" t="str">
        <f t="shared" si="79"/>
        <v>Valid</v>
      </c>
      <c r="T882" t="str">
        <f t="shared" si="80"/>
        <v>Valid</v>
      </c>
      <c r="U882" t="str">
        <f t="shared" si="81"/>
        <v>Valid</v>
      </c>
      <c r="V882" t="str">
        <f t="shared" si="82"/>
        <v>Valid</v>
      </c>
      <c r="W882" t="str">
        <f t="shared" si="83"/>
        <v>Valid</v>
      </c>
    </row>
    <row r="883" spans="1:23">
      <c r="A883" t="s">
        <v>914</v>
      </c>
      <c r="B883" s="2">
        <v>45735</v>
      </c>
      <c r="C883" t="s">
        <v>723</v>
      </c>
      <c r="D883" t="s">
        <v>28</v>
      </c>
      <c r="E883" t="s">
        <v>24</v>
      </c>
      <c r="F883" t="s">
        <v>29</v>
      </c>
      <c r="G883" t="s">
        <v>26</v>
      </c>
      <c r="H883">
        <v>1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P883">
        <v>45</v>
      </c>
      <c r="R883" t="str">
        <f t="shared" si="78"/>
        <v>Unique</v>
      </c>
      <c r="S883" t="str">
        <f t="shared" si="79"/>
        <v>Valid</v>
      </c>
      <c r="T883" t="str">
        <f t="shared" si="80"/>
        <v>Valid</v>
      </c>
      <c r="U883" t="str">
        <f t="shared" si="81"/>
        <v>Valid</v>
      </c>
      <c r="V883" t="str">
        <f t="shared" si="82"/>
        <v>Valid</v>
      </c>
      <c r="W883" t="str">
        <f t="shared" si="83"/>
        <v>Valid</v>
      </c>
    </row>
    <row r="884" spans="1:23">
      <c r="A884" t="s">
        <v>915</v>
      </c>
      <c r="B884" s="2">
        <v>45797</v>
      </c>
      <c r="C884" t="s">
        <v>723</v>
      </c>
      <c r="D884" t="s">
        <v>32</v>
      </c>
      <c r="E884" t="s">
        <v>24</v>
      </c>
      <c r="F884" t="s">
        <v>25</v>
      </c>
      <c r="G884" t="s">
        <v>30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P884">
        <v>60.8</v>
      </c>
      <c r="R884" t="str">
        <f t="shared" si="78"/>
        <v>Unique</v>
      </c>
      <c r="S884" t="str">
        <f t="shared" si="79"/>
        <v>Valid</v>
      </c>
      <c r="T884" t="str">
        <f t="shared" si="80"/>
        <v>Valid</v>
      </c>
      <c r="U884" t="str">
        <f t="shared" si="81"/>
        <v>Valid</v>
      </c>
      <c r="V884" t="str">
        <f t="shared" si="82"/>
        <v>Valid</v>
      </c>
      <c r="W884" t="str">
        <f t="shared" si="83"/>
        <v>Valid</v>
      </c>
    </row>
    <row r="885" spans="1:23">
      <c r="A885" t="s">
        <v>916</v>
      </c>
      <c r="B885" s="2">
        <v>45787</v>
      </c>
      <c r="C885" t="s">
        <v>723</v>
      </c>
      <c r="D885" t="s">
        <v>18</v>
      </c>
      <c r="E885" t="s">
        <v>24</v>
      </c>
      <c r="F885" t="s">
        <v>20</v>
      </c>
      <c r="G885" t="s">
        <v>30</v>
      </c>
      <c r="H885">
        <v>1</v>
      </c>
      <c r="I885">
        <v>0</v>
      </c>
      <c r="J885">
        <v>0</v>
      </c>
      <c r="K885">
        <v>0</v>
      </c>
      <c r="L885">
        <v>0</v>
      </c>
      <c r="M885">
        <v>4</v>
      </c>
      <c r="N885">
        <v>0</v>
      </c>
      <c r="P885">
        <v>53.7</v>
      </c>
      <c r="R885" t="str">
        <f t="shared" si="78"/>
        <v>Unique</v>
      </c>
      <c r="S885" t="str">
        <f t="shared" si="79"/>
        <v>Valid</v>
      </c>
      <c r="T885" t="str">
        <f t="shared" si="80"/>
        <v>Valid</v>
      </c>
      <c r="U885" t="str">
        <f t="shared" si="81"/>
        <v>Valid</v>
      </c>
      <c r="V885" t="str">
        <f t="shared" si="82"/>
        <v>Valid</v>
      </c>
      <c r="W885" t="str">
        <f t="shared" si="83"/>
        <v>Valid</v>
      </c>
    </row>
    <row r="886" spans="1:23">
      <c r="A886" t="s">
        <v>917</v>
      </c>
      <c r="B886" s="2">
        <v>45745</v>
      </c>
      <c r="C886" t="s">
        <v>723</v>
      </c>
      <c r="D886" t="s">
        <v>28</v>
      </c>
      <c r="E886" t="s">
        <v>24</v>
      </c>
      <c r="F886" t="s">
        <v>41</v>
      </c>
      <c r="G886" t="s">
        <v>26</v>
      </c>
      <c r="H886">
        <v>1</v>
      </c>
      <c r="I886">
        <v>1</v>
      </c>
      <c r="J886">
        <v>1</v>
      </c>
      <c r="K886">
        <v>0</v>
      </c>
      <c r="L886">
        <v>0</v>
      </c>
      <c r="M886">
        <v>0</v>
      </c>
      <c r="N886">
        <v>0</v>
      </c>
      <c r="P886">
        <v>48.8</v>
      </c>
      <c r="R886" t="str">
        <f t="shared" si="78"/>
        <v>Unique</v>
      </c>
      <c r="S886" t="str">
        <f t="shared" si="79"/>
        <v>Valid</v>
      </c>
      <c r="T886" t="str">
        <f t="shared" si="80"/>
        <v>Valid</v>
      </c>
      <c r="U886" t="str">
        <f t="shared" si="81"/>
        <v>Valid</v>
      </c>
      <c r="V886" t="str">
        <f t="shared" si="82"/>
        <v>Valid</v>
      </c>
      <c r="W886" t="str">
        <f t="shared" si="83"/>
        <v>Valid</v>
      </c>
    </row>
    <row r="887" spans="1:23">
      <c r="A887" t="s">
        <v>918</v>
      </c>
      <c r="B887" s="2">
        <v>45750</v>
      </c>
      <c r="C887" t="s">
        <v>723</v>
      </c>
      <c r="D887" t="s">
        <v>23</v>
      </c>
      <c r="E887" t="s">
        <v>19</v>
      </c>
      <c r="F887" t="s">
        <v>39</v>
      </c>
      <c r="G887" t="s">
        <v>21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P887">
        <v>52.9</v>
      </c>
      <c r="R887" t="str">
        <f t="shared" si="78"/>
        <v>Unique</v>
      </c>
      <c r="S887" t="str">
        <f t="shared" si="79"/>
        <v>Valid</v>
      </c>
      <c r="T887" t="str">
        <f t="shared" si="80"/>
        <v>Valid</v>
      </c>
      <c r="U887" t="str">
        <f t="shared" si="81"/>
        <v>Valid</v>
      </c>
      <c r="V887" t="str">
        <f t="shared" si="82"/>
        <v>Valid</v>
      </c>
      <c r="W887" t="str">
        <f t="shared" si="83"/>
        <v>Valid</v>
      </c>
    </row>
    <row r="888" spans="1:23">
      <c r="A888" t="s">
        <v>919</v>
      </c>
      <c r="B888" s="2">
        <v>45807</v>
      </c>
      <c r="C888" t="s">
        <v>723</v>
      </c>
      <c r="D888" t="s">
        <v>32</v>
      </c>
      <c r="E888" t="s">
        <v>24</v>
      </c>
      <c r="F888" t="s">
        <v>20</v>
      </c>
      <c r="G888" t="s">
        <v>26</v>
      </c>
      <c r="H888">
        <v>1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P888">
        <v>42.4</v>
      </c>
      <c r="R888" t="str">
        <f t="shared" si="78"/>
        <v>Unique</v>
      </c>
      <c r="S888" t="str">
        <f t="shared" si="79"/>
        <v>Valid</v>
      </c>
      <c r="T888" t="str">
        <f t="shared" si="80"/>
        <v>Valid</v>
      </c>
      <c r="U888" t="str">
        <f t="shared" si="81"/>
        <v>Valid</v>
      </c>
      <c r="V888" t="str">
        <f t="shared" si="82"/>
        <v>Valid</v>
      </c>
      <c r="W888" t="str">
        <f t="shared" si="83"/>
        <v>Valid</v>
      </c>
    </row>
    <row r="889" spans="1:23">
      <c r="A889" t="s">
        <v>920</v>
      </c>
      <c r="B889" s="2">
        <v>45753</v>
      </c>
      <c r="C889" t="s">
        <v>723</v>
      </c>
      <c r="D889" t="s">
        <v>28</v>
      </c>
      <c r="E889" t="s">
        <v>19</v>
      </c>
      <c r="F889" t="s">
        <v>20</v>
      </c>
      <c r="G889" t="s">
        <v>26</v>
      </c>
      <c r="H889">
        <v>1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P889">
        <v>58.7</v>
      </c>
      <c r="R889" t="str">
        <f t="shared" si="78"/>
        <v>Unique</v>
      </c>
      <c r="S889" t="str">
        <f t="shared" si="79"/>
        <v>Valid</v>
      </c>
      <c r="T889" t="str">
        <f t="shared" si="80"/>
        <v>Valid</v>
      </c>
      <c r="U889" t="str">
        <f t="shared" si="81"/>
        <v>Valid</v>
      </c>
      <c r="V889" t="str">
        <f t="shared" si="82"/>
        <v>Valid</v>
      </c>
      <c r="W889" t="str">
        <f t="shared" si="83"/>
        <v>Valid</v>
      </c>
    </row>
    <row r="890" spans="1:23">
      <c r="A890" t="s">
        <v>921</v>
      </c>
      <c r="B890" s="2">
        <v>45730</v>
      </c>
      <c r="C890" t="s">
        <v>723</v>
      </c>
      <c r="D890" t="s">
        <v>18</v>
      </c>
      <c r="E890" t="s">
        <v>24</v>
      </c>
      <c r="F890" t="s">
        <v>39</v>
      </c>
      <c r="G890" t="s">
        <v>26</v>
      </c>
      <c r="H890">
        <v>1</v>
      </c>
      <c r="I890">
        <v>1</v>
      </c>
      <c r="J890">
        <v>1</v>
      </c>
      <c r="K890">
        <v>1</v>
      </c>
      <c r="L890">
        <v>2064.5500000000002</v>
      </c>
      <c r="M890">
        <v>0</v>
      </c>
      <c r="N890">
        <v>0</v>
      </c>
      <c r="O890">
        <v>1</v>
      </c>
      <c r="P890">
        <v>67.8</v>
      </c>
      <c r="R890" t="str">
        <f t="shared" si="78"/>
        <v>Unique</v>
      </c>
      <c r="S890" t="str">
        <f t="shared" si="79"/>
        <v>Valid</v>
      </c>
      <c r="T890" t="str">
        <f t="shared" si="80"/>
        <v>Valid</v>
      </c>
      <c r="U890" t="str">
        <f t="shared" si="81"/>
        <v>Valid</v>
      </c>
      <c r="V890" t="str">
        <f t="shared" si="82"/>
        <v>Valid</v>
      </c>
      <c r="W890" t="str">
        <f t="shared" si="83"/>
        <v>Valid</v>
      </c>
    </row>
    <row r="891" spans="1:23">
      <c r="A891" t="s">
        <v>922</v>
      </c>
      <c r="B891" s="2">
        <v>45712</v>
      </c>
      <c r="C891" t="s">
        <v>723</v>
      </c>
      <c r="D891" t="s">
        <v>32</v>
      </c>
      <c r="E891" t="s">
        <v>19</v>
      </c>
      <c r="F891" t="s">
        <v>29</v>
      </c>
      <c r="G891" t="s">
        <v>21</v>
      </c>
      <c r="H891">
        <v>1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P891">
        <v>62.6</v>
      </c>
      <c r="R891" t="str">
        <f t="shared" si="78"/>
        <v>Unique</v>
      </c>
      <c r="S891" t="str">
        <f t="shared" si="79"/>
        <v>Valid</v>
      </c>
      <c r="T891" t="str">
        <f t="shared" si="80"/>
        <v>Valid</v>
      </c>
      <c r="U891" t="str">
        <f t="shared" si="81"/>
        <v>Valid</v>
      </c>
      <c r="V891" t="str">
        <f t="shared" si="82"/>
        <v>Valid</v>
      </c>
      <c r="W891" t="str">
        <f t="shared" si="83"/>
        <v>Valid</v>
      </c>
    </row>
    <row r="892" spans="1:23">
      <c r="A892" t="s">
        <v>923</v>
      </c>
      <c r="B892" s="2">
        <v>45720</v>
      </c>
      <c r="C892" t="s">
        <v>723</v>
      </c>
      <c r="D892" t="s">
        <v>23</v>
      </c>
      <c r="E892" t="s">
        <v>24</v>
      </c>
      <c r="F892" t="s">
        <v>20</v>
      </c>
      <c r="G892" t="s">
        <v>21</v>
      </c>
      <c r="H892">
        <v>1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P892">
        <v>82.4</v>
      </c>
      <c r="R892" t="str">
        <f t="shared" si="78"/>
        <v>Unique</v>
      </c>
      <c r="S892" t="str">
        <f t="shared" si="79"/>
        <v>Valid</v>
      </c>
      <c r="T892" t="str">
        <f t="shared" si="80"/>
        <v>Valid</v>
      </c>
      <c r="U892" t="str">
        <f t="shared" si="81"/>
        <v>Valid</v>
      </c>
      <c r="V892" t="str">
        <f t="shared" si="82"/>
        <v>Valid</v>
      </c>
      <c r="W892" t="str">
        <f t="shared" si="83"/>
        <v>Valid</v>
      </c>
    </row>
    <row r="893" spans="1:23">
      <c r="A893" t="s">
        <v>924</v>
      </c>
      <c r="B893" s="2">
        <v>45749</v>
      </c>
      <c r="C893" t="s">
        <v>723</v>
      </c>
      <c r="D893" t="s">
        <v>18</v>
      </c>
      <c r="E893" t="s">
        <v>24</v>
      </c>
      <c r="F893" t="s">
        <v>25</v>
      </c>
      <c r="G893" t="s">
        <v>26</v>
      </c>
      <c r="H893">
        <v>1</v>
      </c>
      <c r="I893">
        <v>1</v>
      </c>
      <c r="J893">
        <v>1</v>
      </c>
      <c r="K893">
        <v>0</v>
      </c>
      <c r="L893">
        <v>0</v>
      </c>
      <c r="M893">
        <v>0</v>
      </c>
      <c r="N893">
        <v>0</v>
      </c>
      <c r="P893">
        <v>50.4</v>
      </c>
      <c r="R893" t="str">
        <f t="shared" si="78"/>
        <v>Unique</v>
      </c>
      <c r="S893" t="str">
        <f t="shared" si="79"/>
        <v>Valid</v>
      </c>
      <c r="T893" t="str">
        <f t="shared" si="80"/>
        <v>Valid</v>
      </c>
      <c r="U893" t="str">
        <f t="shared" si="81"/>
        <v>Valid</v>
      </c>
      <c r="V893" t="str">
        <f t="shared" si="82"/>
        <v>Valid</v>
      </c>
      <c r="W893" t="str">
        <f t="shared" si="83"/>
        <v>Valid</v>
      </c>
    </row>
    <row r="894" spans="1:23">
      <c r="A894" t="s">
        <v>925</v>
      </c>
      <c r="B894" s="2">
        <v>45788</v>
      </c>
      <c r="C894" t="s">
        <v>723</v>
      </c>
      <c r="D894" t="s">
        <v>18</v>
      </c>
      <c r="E894" t="s">
        <v>24</v>
      </c>
      <c r="F894" t="s">
        <v>20</v>
      </c>
      <c r="G894" t="s">
        <v>30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P894">
        <v>68.400000000000006</v>
      </c>
      <c r="R894" t="str">
        <f t="shared" si="78"/>
        <v>Unique</v>
      </c>
      <c r="S894" t="str">
        <f t="shared" si="79"/>
        <v>Valid</v>
      </c>
      <c r="T894" t="str">
        <f t="shared" si="80"/>
        <v>Valid</v>
      </c>
      <c r="U894" t="str">
        <f t="shared" si="81"/>
        <v>Valid</v>
      </c>
      <c r="V894" t="str">
        <f t="shared" si="82"/>
        <v>Valid</v>
      </c>
      <c r="W894" t="str">
        <f t="shared" si="83"/>
        <v>Valid</v>
      </c>
    </row>
    <row r="895" spans="1:23">
      <c r="A895" t="s">
        <v>926</v>
      </c>
      <c r="B895" s="2">
        <v>45787</v>
      </c>
      <c r="C895" t="s">
        <v>723</v>
      </c>
      <c r="D895" t="s">
        <v>23</v>
      </c>
      <c r="E895" t="s">
        <v>34</v>
      </c>
      <c r="F895" t="s">
        <v>29</v>
      </c>
      <c r="G895" t="s">
        <v>21</v>
      </c>
      <c r="H895">
        <v>1</v>
      </c>
      <c r="I895">
        <v>1</v>
      </c>
      <c r="J895">
        <v>1</v>
      </c>
      <c r="K895">
        <v>0</v>
      </c>
      <c r="L895">
        <v>0</v>
      </c>
      <c r="M895">
        <v>0</v>
      </c>
      <c r="N895">
        <v>0</v>
      </c>
      <c r="P895">
        <v>58.8</v>
      </c>
      <c r="R895" t="str">
        <f t="shared" si="78"/>
        <v>Unique</v>
      </c>
      <c r="S895" t="str">
        <f t="shared" si="79"/>
        <v>Valid</v>
      </c>
      <c r="T895" t="str">
        <f t="shared" si="80"/>
        <v>Valid</v>
      </c>
      <c r="U895" t="str">
        <f t="shared" si="81"/>
        <v>Valid</v>
      </c>
      <c r="V895" t="str">
        <f t="shared" si="82"/>
        <v>Valid</v>
      </c>
      <c r="W895" t="str">
        <f t="shared" si="83"/>
        <v>Valid</v>
      </c>
    </row>
    <row r="896" spans="1:23">
      <c r="A896" t="s">
        <v>927</v>
      </c>
      <c r="B896" s="2">
        <v>45783</v>
      </c>
      <c r="C896" t="s">
        <v>723</v>
      </c>
      <c r="D896" t="s">
        <v>23</v>
      </c>
      <c r="E896" t="s">
        <v>24</v>
      </c>
      <c r="F896" t="s">
        <v>39</v>
      </c>
      <c r="G896" t="s">
        <v>26</v>
      </c>
      <c r="H896">
        <v>1</v>
      </c>
      <c r="I896">
        <v>1</v>
      </c>
      <c r="J896">
        <v>0</v>
      </c>
      <c r="K896">
        <v>0</v>
      </c>
      <c r="L896">
        <v>0</v>
      </c>
      <c r="M896">
        <v>2</v>
      </c>
      <c r="N896">
        <v>0</v>
      </c>
      <c r="P896">
        <v>28.3</v>
      </c>
      <c r="R896" t="str">
        <f t="shared" si="78"/>
        <v>Unique</v>
      </c>
      <c r="S896" t="str">
        <f t="shared" si="79"/>
        <v>Valid</v>
      </c>
      <c r="T896" t="str">
        <f t="shared" si="80"/>
        <v>Valid</v>
      </c>
      <c r="U896" t="str">
        <f t="shared" si="81"/>
        <v>Valid</v>
      </c>
      <c r="V896" t="str">
        <f t="shared" si="82"/>
        <v>Valid</v>
      </c>
      <c r="W896" t="str">
        <f t="shared" si="83"/>
        <v>Valid</v>
      </c>
    </row>
    <row r="897" spans="1:23">
      <c r="A897" t="s">
        <v>928</v>
      </c>
      <c r="B897" s="2">
        <v>45699</v>
      </c>
      <c r="C897" t="s">
        <v>723</v>
      </c>
      <c r="D897" t="s">
        <v>23</v>
      </c>
      <c r="E897" t="s">
        <v>19</v>
      </c>
      <c r="F897" t="s">
        <v>29</v>
      </c>
      <c r="G897" t="s">
        <v>26</v>
      </c>
      <c r="H897">
        <v>1</v>
      </c>
      <c r="I897">
        <v>1</v>
      </c>
      <c r="J897">
        <v>0</v>
      </c>
      <c r="K897">
        <v>0</v>
      </c>
      <c r="L897">
        <v>0</v>
      </c>
      <c r="M897">
        <v>0</v>
      </c>
      <c r="N897">
        <v>0</v>
      </c>
      <c r="P897">
        <v>44.1</v>
      </c>
      <c r="R897" t="str">
        <f t="shared" si="78"/>
        <v>Unique</v>
      </c>
      <c r="S897" t="str">
        <f t="shared" si="79"/>
        <v>Valid</v>
      </c>
      <c r="T897" t="str">
        <f t="shared" si="80"/>
        <v>Valid</v>
      </c>
      <c r="U897" t="str">
        <f t="shared" si="81"/>
        <v>Valid</v>
      </c>
      <c r="V897" t="str">
        <f t="shared" si="82"/>
        <v>Valid</v>
      </c>
      <c r="W897" t="str">
        <f t="shared" si="83"/>
        <v>Valid</v>
      </c>
    </row>
    <row r="898" spans="1:23">
      <c r="A898" t="s">
        <v>929</v>
      </c>
      <c r="B898" s="2">
        <v>45786</v>
      </c>
      <c r="C898" t="s">
        <v>723</v>
      </c>
      <c r="D898" t="s">
        <v>32</v>
      </c>
      <c r="E898" t="s">
        <v>24</v>
      </c>
      <c r="F898" t="s">
        <v>29</v>
      </c>
      <c r="G898" t="s">
        <v>30</v>
      </c>
      <c r="H898">
        <v>1</v>
      </c>
      <c r="I898">
        <v>1</v>
      </c>
      <c r="J898">
        <v>0</v>
      </c>
      <c r="K898">
        <v>0</v>
      </c>
      <c r="L898">
        <v>0</v>
      </c>
      <c r="M898">
        <v>0</v>
      </c>
      <c r="N898">
        <v>0</v>
      </c>
      <c r="P898">
        <v>66.7</v>
      </c>
      <c r="R898" t="str">
        <f t="shared" si="78"/>
        <v>Unique</v>
      </c>
      <c r="S898" t="str">
        <f t="shared" si="79"/>
        <v>Valid</v>
      </c>
      <c r="T898" t="str">
        <f t="shared" si="80"/>
        <v>Valid</v>
      </c>
      <c r="U898" t="str">
        <f t="shared" si="81"/>
        <v>Valid</v>
      </c>
      <c r="V898" t="str">
        <f t="shared" si="82"/>
        <v>Valid</v>
      </c>
      <c r="W898" t="str">
        <f t="shared" si="83"/>
        <v>Valid</v>
      </c>
    </row>
    <row r="899" spans="1:23">
      <c r="A899" t="s">
        <v>930</v>
      </c>
      <c r="B899" s="2">
        <v>45690</v>
      </c>
      <c r="C899" t="s">
        <v>723</v>
      </c>
      <c r="D899" t="s">
        <v>32</v>
      </c>
      <c r="E899" t="s">
        <v>24</v>
      </c>
      <c r="F899" t="s">
        <v>1451</v>
      </c>
      <c r="G899" t="s">
        <v>26</v>
      </c>
      <c r="H899">
        <v>1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P899">
        <v>100</v>
      </c>
      <c r="R899" t="str">
        <f t="shared" ref="R899:R962" si="84">IF(COUNTIF($A:$A,A899)&gt;1,"Duplicate","Unique")</f>
        <v>Unique</v>
      </c>
      <c r="S899" t="str">
        <f t="shared" ref="S899:S962" si="85">IF(OR(H899=0,H899=1),"Valid","Invalid")</f>
        <v>Valid</v>
      </c>
      <c r="T899" t="str">
        <f t="shared" ref="T899:T962" si="86">IF(OR(I899=0,I899=1),"Valid","Invalid")</f>
        <v>Valid</v>
      </c>
      <c r="U899" t="str">
        <f t="shared" ref="U899:U962" si="87">IF(OR(J899=0,J899=1),"Valid","Invalid")</f>
        <v>Valid</v>
      </c>
      <c r="V899" t="str">
        <f t="shared" ref="V899:V962" si="88">IF(OR(K899=0,K899=1),"Valid","Invalid")</f>
        <v>Valid</v>
      </c>
      <c r="W899" t="str">
        <f t="shared" ref="W899:W962" si="89">IF(OR(N899=0,N899=1),"Valid","Invalid")</f>
        <v>Valid</v>
      </c>
    </row>
    <row r="900" spans="1:23">
      <c r="A900" t="s">
        <v>931</v>
      </c>
      <c r="B900" s="2">
        <v>45750</v>
      </c>
      <c r="C900" t="s">
        <v>723</v>
      </c>
      <c r="D900" t="s">
        <v>32</v>
      </c>
      <c r="E900" t="s">
        <v>24</v>
      </c>
      <c r="F900" t="s">
        <v>41</v>
      </c>
      <c r="G900" t="s">
        <v>26</v>
      </c>
      <c r="H900">
        <v>1</v>
      </c>
      <c r="I900">
        <v>1</v>
      </c>
      <c r="J900">
        <v>0</v>
      </c>
      <c r="K900">
        <v>0</v>
      </c>
      <c r="L900">
        <v>0</v>
      </c>
      <c r="M900">
        <v>0</v>
      </c>
      <c r="N900">
        <v>0</v>
      </c>
      <c r="P900">
        <v>87.5</v>
      </c>
      <c r="R900" t="str">
        <f t="shared" si="84"/>
        <v>Unique</v>
      </c>
      <c r="S900" t="str">
        <f t="shared" si="85"/>
        <v>Valid</v>
      </c>
      <c r="T900" t="str">
        <f t="shared" si="86"/>
        <v>Valid</v>
      </c>
      <c r="U900" t="str">
        <f t="shared" si="87"/>
        <v>Valid</v>
      </c>
      <c r="V900" t="str">
        <f t="shared" si="88"/>
        <v>Valid</v>
      </c>
      <c r="W900" t="str">
        <f t="shared" si="89"/>
        <v>Valid</v>
      </c>
    </row>
    <row r="901" spans="1:23">
      <c r="A901" t="s">
        <v>932</v>
      </c>
      <c r="B901" s="2">
        <v>45703</v>
      </c>
      <c r="C901" t="s">
        <v>723</v>
      </c>
      <c r="D901" t="s">
        <v>18</v>
      </c>
      <c r="E901" t="s">
        <v>19</v>
      </c>
      <c r="F901" t="s">
        <v>25</v>
      </c>
      <c r="G901" t="s">
        <v>21</v>
      </c>
      <c r="H901">
        <v>1</v>
      </c>
      <c r="I901">
        <v>0</v>
      </c>
      <c r="J901">
        <v>0</v>
      </c>
      <c r="K901">
        <v>0</v>
      </c>
      <c r="L901">
        <v>0</v>
      </c>
      <c r="M901">
        <v>2</v>
      </c>
      <c r="N901">
        <v>0</v>
      </c>
      <c r="P901">
        <v>65.400000000000006</v>
      </c>
      <c r="R901" t="str">
        <f t="shared" si="84"/>
        <v>Unique</v>
      </c>
      <c r="S901" t="str">
        <f t="shared" si="85"/>
        <v>Valid</v>
      </c>
      <c r="T901" t="str">
        <f t="shared" si="86"/>
        <v>Valid</v>
      </c>
      <c r="U901" t="str">
        <f t="shared" si="87"/>
        <v>Valid</v>
      </c>
      <c r="V901" t="str">
        <f t="shared" si="88"/>
        <v>Valid</v>
      </c>
      <c r="W901" t="str">
        <f t="shared" si="89"/>
        <v>Valid</v>
      </c>
    </row>
    <row r="902" spans="1:23">
      <c r="A902" t="s">
        <v>933</v>
      </c>
      <c r="B902" s="2">
        <v>45765</v>
      </c>
      <c r="C902" t="s">
        <v>723</v>
      </c>
      <c r="D902" t="s">
        <v>32</v>
      </c>
      <c r="E902" t="s">
        <v>19</v>
      </c>
      <c r="F902" t="s">
        <v>25</v>
      </c>
      <c r="G902" t="s">
        <v>26</v>
      </c>
      <c r="H902">
        <v>1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P902">
        <v>22.9</v>
      </c>
      <c r="R902" t="str">
        <f t="shared" si="84"/>
        <v>Unique</v>
      </c>
      <c r="S902" t="str">
        <f t="shared" si="85"/>
        <v>Valid</v>
      </c>
      <c r="T902" t="str">
        <f t="shared" si="86"/>
        <v>Valid</v>
      </c>
      <c r="U902" t="str">
        <f t="shared" si="87"/>
        <v>Valid</v>
      </c>
      <c r="V902" t="str">
        <f t="shared" si="88"/>
        <v>Valid</v>
      </c>
      <c r="W902" t="str">
        <f t="shared" si="89"/>
        <v>Valid</v>
      </c>
    </row>
    <row r="903" spans="1:23">
      <c r="A903" t="s">
        <v>934</v>
      </c>
      <c r="B903" s="2">
        <v>45730</v>
      </c>
      <c r="C903" t="s">
        <v>723</v>
      </c>
      <c r="D903" t="s">
        <v>23</v>
      </c>
      <c r="E903" t="s">
        <v>19</v>
      </c>
      <c r="F903" t="s">
        <v>25</v>
      </c>
      <c r="G903" t="s">
        <v>30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P903">
        <v>64.599999999999994</v>
      </c>
      <c r="R903" t="str">
        <f t="shared" si="84"/>
        <v>Unique</v>
      </c>
      <c r="S903" t="str">
        <f t="shared" si="85"/>
        <v>Valid</v>
      </c>
      <c r="T903" t="str">
        <f t="shared" si="86"/>
        <v>Valid</v>
      </c>
      <c r="U903" t="str">
        <f t="shared" si="87"/>
        <v>Valid</v>
      </c>
      <c r="V903" t="str">
        <f t="shared" si="88"/>
        <v>Valid</v>
      </c>
      <c r="W903" t="str">
        <f t="shared" si="89"/>
        <v>Valid</v>
      </c>
    </row>
    <row r="904" spans="1:23">
      <c r="A904" t="s">
        <v>935</v>
      </c>
      <c r="B904" s="2">
        <v>45745</v>
      </c>
      <c r="C904" t="s">
        <v>723</v>
      </c>
      <c r="D904" t="s">
        <v>32</v>
      </c>
      <c r="E904" t="s">
        <v>24</v>
      </c>
      <c r="F904" t="s">
        <v>39</v>
      </c>
      <c r="G904" t="s">
        <v>26</v>
      </c>
      <c r="H904">
        <v>1</v>
      </c>
      <c r="I904">
        <v>0</v>
      </c>
      <c r="J904">
        <v>0</v>
      </c>
      <c r="K904">
        <v>0</v>
      </c>
      <c r="L904">
        <v>0</v>
      </c>
      <c r="M904">
        <v>2</v>
      </c>
      <c r="N904">
        <v>0</v>
      </c>
      <c r="P904">
        <v>54.4</v>
      </c>
      <c r="R904" t="str">
        <f t="shared" si="84"/>
        <v>Unique</v>
      </c>
      <c r="S904" t="str">
        <f t="shared" si="85"/>
        <v>Valid</v>
      </c>
      <c r="T904" t="str">
        <f t="shared" si="86"/>
        <v>Valid</v>
      </c>
      <c r="U904" t="str">
        <f t="shared" si="87"/>
        <v>Valid</v>
      </c>
      <c r="V904" t="str">
        <f t="shared" si="88"/>
        <v>Valid</v>
      </c>
      <c r="W904" t="str">
        <f t="shared" si="89"/>
        <v>Valid</v>
      </c>
    </row>
    <row r="905" spans="1:23">
      <c r="A905" t="s">
        <v>936</v>
      </c>
      <c r="B905" s="2">
        <v>45701</v>
      </c>
      <c r="C905" t="s">
        <v>723</v>
      </c>
      <c r="D905" t="s">
        <v>18</v>
      </c>
      <c r="E905" t="s">
        <v>19</v>
      </c>
      <c r="F905" t="s">
        <v>25</v>
      </c>
      <c r="G905" t="s">
        <v>26</v>
      </c>
      <c r="H905">
        <v>1</v>
      </c>
      <c r="I905">
        <v>1</v>
      </c>
      <c r="J905">
        <v>1</v>
      </c>
      <c r="K905">
        <v>0</v>
      </c>
      <c r="L905">
        <v>0</v>
      </c>
      <c r="M905">
        <v>0</v>
      </c>
      <c r="N905">
        <v>0</v>
      </c>
      <c r="P905">
        <v>56.8</v>
      </c>
      <c r="R905" t="str">
        <f t="shared" si="84"/>
        <v>Unique</v>
      </c>
      <c r="S905" t="str">
        <f t="shared" si="85"/>
        <v>Valid</v>
      </c>
      <c r="T905" t="str">
        <f t="shared" si="86"/>
        <v>Valid</v>
      </c>
      <c r="U905" t="str">
        <f t="shared" si="87"/>
        <v>Valid</v>
      </c>
      <c r="V905" t="str">
        <f t="shared" si="88"/>
        <v>Valid</v>
      </c>
      <c r="W905" t="str">
        <f t="shared" si="89"/>
        <v>Valid</v>
      </c>
    </row>
    <row r="906" spans="1:23">
      <c r="A906" t="s">
        <v>937</v>
      </c>
      <c r="B906" s="2">
        <v>45680</v>
      </c>
      <c r="C906" t="s">
        <v>723</v>
      </c>
      <c r="D906" t="s">
        <v>32</v>
      </c>
      <c r="E906" t="s">
        <v>24</v>
      </c>
      <c r="F906" t="s">
        <v>29</v>
      </c>
      <c r="G906" t="s">
        <v>26</v>
      </c>
      <c r="H906">
        <v>1</v>
      </c>
      <c r="I906">
        <v>1</v>
      </c>
      <c r="J906">
        <v>1</v>
      </c>
      <c r="K906">
        <v>1</v>
      </c>
      <c r="L906">
        <v>341.38</v>
      </c>
      <c r="M906">
        <v>0</v>
      </c>
      <c r="N906">
        <v>0</v>
      </c>
      <c r="O906">
        <v>2</v>
      </c>
      <c r="P906">
        <v>63.6</v>
      </c>
      <c r="R906" t="str">
        <f t="shared" si="84"/>
        <v>Unique</v>
      </c>
      <c r="S906" t="str">
        <f t="shared" si="85"/>
        <v>Valid</v>
      </c>
      <c r="T906" t="str">
        <f t="shared" si="86"/>
        <v>Valid</v>
      </c>
      <c r="U906" t="str">
        <f t="shared" si="87"/>
        <v>Valid</v>
      </c>
      <c r="V906" t="str">
        <f t="shared" si="88"/>
        <v>Valid</v>
      </c>
      <c r="W906" t="str">
        <f t="shared" si="89"/>
        <v>Valid</v>
      </c>
    </row>
    <row r="907" spans="1:23">
      <c r="A907" t="s">
        <v>938</v>
      </c>
      <c r="B907" s="2">
        <v>45712</v>
      </c>
      <c r="C907" t="s">
        <v>723</v>
      </c>
      <c r="D907" t="s">
        <v>28</v>
      </c>
      <c r="E907" t="s">
        <v>24</v>
      </c>
      <c r="F907" t="s">
        <v>41</v>
      </c>
      <c r="G907" t="s">
        <v>26</v>
      </c>
      <c r="H907">
        <v>1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P907">
        <v>58.2</v>
      </c>
      <c r="R907" t="str">
        <f t="shared" si="84"/>
        <v>Unique</v>
      </c>
      <c r="S907" t="str">
        <f t="shared" si="85"/>
        <v>Valid</v>
      </c>
      <c r="T907" t="str">
        <f t="shared" si="86"/>
        <v>Valid</v>
      </c>
      <c r="U907" t="str">
        <f t="shared" si="87"/>
        <v>Valid</v>
      </c>
      <c r="V907" t="str">
        <f t="shared" si="88"/>
        <v>Valid</v>
      </c>
      <c r="W907" t="str">
        <f t="shared" si="89"/>
        <v>Valid</v>
      </c>
    </row>
    <row r="908" spans="1:23">
      <c r="A908" t="s">
        <v>939</v>
      </c>
      <c r="B908" s="2">
        <v>45716</v>
      </c>
      <c r="C908" t="s">
        <v>723</v>
      </c>
      <c r="D908" t="s">
        <v>23</v>
      </c>
      <c r="E908" t="s">
        <v>24</v>
      </c>
      <c r="F908" t="s">
        <v>29</v>
      </c>
      <c r="G908" t="s">
        <v>26</v>
      </c>
      <c r="H908">
        <v>1</v>
      </c>
      <c r="I908">
        <v>1</v>
      </c>
      <c r="J908">
        <v>0</v>
      </c>
      <c r="K908">
        <v>0</v>
      </c>
      <c r="L908">
        <v>0</v>
      </c>
      <c r="M908">
        <v>0</v>
      </c>
      <c r="N908">
        <v>0</v>
      </c>
      <c r="P908">
        <v>54.6</v>
      </c>
      <c r="R908" t="str">
        <f t="shared" si="84"/>
        <v>Unique</v>
      </c>
      <c r="S908" t="str">
        <f t="shared" si="85"/>
        <v>Valid</v>
      </c>
      <c r="T908" t="str">
        <f t="shared" si="86"/>
        <v>Valid</v>
      </c>
      <c r="U908" t="str">
        <f t="shared" si="87"/>
        <v>Valid</v>
      </c>
      <c r="V908" t="str">
        <f t="shared" si="88"/>
        <v>Valid</v>
      </c>
      <c r="W908" t="str">
        <f t="shared" si="89"/>
        <v>Valid</v>
      </c>
    </row>
    <row r="909" spans="1:23">
      <c r="A909" t="s">
        <v>940</v>
      </c>
      <c r="B909" s="2">
        <v>45664</v>
      </c>
      <c r="C909" t="s">
        <v>723</v>
      </c>
      <c r="D909" t="s">
        <v>23</v>
      </c>
      <c r="E909" t="s">
        <v>34</v>
      </c>
      <c r="F909" t="s">
        <v>25</v>
      </c>
      <c r="G909" t="s">
        <v>21</v>
      </c>
      <c r="H909">
        <v>1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P909">
        <v>81.900000000000006</v>
      </c>
      <c r="R909" t="str">
        <f t="shared" si="84"/>
        <v>Unique</v>
      </c>
      <c r="S909" t="str">
        <f t="shared" si="85"/>
        <v>Valid</v>
      </c>
      <c r="T909" t="str">
        <f t="shared" si="86"/>
        <v>Valid</v>
      </c>
      <c r="U909" t="str">
        <f t="shared" si="87"/>
        <v>Valid</v>
      </c>
      <c r="V909" t="str">
        <f t="shared" si="88"/>
        <v>Valid</v>
      </c>
      <c r="W909" t="str">
        <f t="shared" si="89"/>
        <v>Valid</v>
      </c>
    </row>
    <row r="910" spans="1:23">
      <c r="A910" t="s">
        <v>941</v>
      </c>
      <c r="B910" s="2">
        <v>45737</v>
      </c>
      <c r="C910" t="s">
        <v>723</v>
      </c>
      <c r="D910" t="s">
        <v>23</v>
      </c>
      <c r="E910" t="s">
        <v>19</v>
      </c>
      <c r="F910" t="s">
        <v>20</v>
      </c>
      <c r="G910" t="s">
        <v>26</v>
      </c>
      <c r="H910">
        <v>1</v>
      </c>
      <c r="I910">
        <v>0</v>
      </c>
      <c r="J910">
        <v>0</v>
      </c>
      <c r="K910">
        <v>0</v>
      </c>
      <c r="L910">
        <v>0</v>
      </c>
      <c r="M910">
        <v>3</v>
      </c>
      <c r="N910">
        <v>0</v>
      </c>
      <c r="P910">
        <v>53.3</v>
      </c>
      <c r="R910" t="str">
        <f t="shared" si="84"/>
        <v>Unique</v>
      </c>
      <c r="S910" t="str">
        <f t="shared" si="85"/>
        <v>Valid</v>
      </c>
      <c r="T910" t="str">
        <f t="shared" si="86"/>
        <v>Valid</v>
      </c>
      <c r="U910" t="str">
        <f t="shared" si="87"/>
        <v>Valid</v>
      </c>
      <c r="V910" t="str">
        <f t="shared" si="88"/>
        <v>Valid</v>
      </c>
      <c r="W910" t="str">
        <f t="shared" si="89"/>
        <v>Valid</v>
      </c>
    </row>
    <row r="911" spans="1:23">
      <c r="A911" t="s">
        <v>942</v>
      </c>
      <c r="B911" s="2">
        <v>45706</v>
      </c>
      <c r="C911" t="s">
        <v>723</v>
      </c>
      <c r="D911" t="s">
        <v>18</v>
      </c>
      <c r="E911" t="s">
        <v>19</v>
      </c>
      <c r="F911" t="s">
        <v>25</v>
      </c>
      <c r="G911" t="s">
        <v>21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P911">
        <v>54.2</v>
      </c>
      <c r="R911" t="str">
        <f t="shared" si="84"/>
        <v>Unique</v>
      </c>
      <c r="S911" t="str">
        <f t="shared" si="85"/>
        <v>Valid</v>
      </c>
      <c r="T911" t="str">
        <f t="shared" si="86"/>
        <v>Valid</v>
      </c>
      <c r="U911" t="str">
        <f t="shared" si="87"/>
        <v>Valid</v>
      </c>
      <c r="V911" t="str">
        <f t="shared" si="88"/>
        <v>Valid</v>
      </c>
      <c r="W911" t="str">
        <f t="shared" si="89"/>
        <v>Valid</v>
      </c>
    </row>
    <row r="912" spans="1:23">
      <c r="A912" t="s">
        <v>943</v>
      </c>
      <c r="B912" s="2">
        <v>45662</v>
      </c>
      <c r="C912" t="s">
        <v>723</v>
      </c>
      <c r="D912" t="s">
        <v>18</v>
      </c>
      <c r="E912" t="s">
        <v>24</v>
      </c>
      <c r="F912" t="s">
        <v>29</v>
      </c>
      <c r="G912" t="s">
        <v>26</v>
      </c>
      <c r="H912">
        <v>1</v>
      </c>
      <c r="I912">
        <v>1</v>
      </c>
      <c r="J912">
        <v>0</v>
      </c>
      <c r="K912">
        <v>0</v>
      </c>
      <c r="L912">
        <v>0</v>
      </c>
      <c r="M912">
        <v>0</v>
      </c>
      <c r="N912">
        <v>0</v>
      </c>
      <c r="P912">
        <v>65.599999999999994</v>
      </c>
      <c r="R912" t="str">
        <f t="shared" si="84"/>
        <v>Unique</v>
      </c>
      <c r="S912" t="str">
        <f t="shared" si="85"/>
        <v>Valid</v>
      </c>
      <c r="T912" t="str">
        <f t="shared" si="86"/>
        <v>Valid</v>
      </c>
      <c r="U912" t="str">
        <f t="shared" si="87"/>
        <v>Valid</v>
      </c>
      <c r="V912" t="str">
        <f t="shared" si="88"/>
        <v>Valid</v>
      </c>
      <c r="W912" t="str">
        <f t="shared" si="89"/>
        <v>Valid</v>
      </c>
    </row>
    <row r="913" spans="1:23">
      <c r="A913" t="s">
        <v>944</v>
      </c>
      <c r="B913" s="2">
        <v>45727</v>
      </c>
      <c r="C913" t="s">
        <v>723</v>
      </c>
      <c r="D913" t="s">
        <v>28</v>
      </c>
      <c r="E913" t="s">
        <v>19</v>
      </c>
      <c r="F913" t="s">
        <v>25</v>
      </c>
      <c r="G913" t="s">
        <v>21</v>
      </c>
      <c r="H913">
        <v>1</v>
      </c>
      <c r="I913">
        <v>0</v>
      </c>
      <c r="J913">
        <v>0</v>
      </c>
      <c r="K913">
        <v>0</v>
      </c>
      <c r="L913">
        <v>0</v>
      </c>
      <c r="M913">
        <v>1</v>
      </c>
      <c r="N913">
        <v>0</v>
      </c>
      <c r="P913">
        <v>56.5</v>
      </c>
      <c r="R913" t="str">
        <f t="shared" si="84"/>
        <v>Unique</v>
      </c>
      <c r="S913" t="str">
        <f t="shared" si="85"/>
        <v>Valid</v>
      </c>
      <c r="T913" t="str">
        <f t="shared" si="86"/>
        <v>Valid</v>
      </c>
      <c r="U913" t="str">
        <f t="shared" si="87"/>
        <v>Valid</v>
      </c>
      <c r="V913" t="str">
        <f t="shared" si="88"/>
        <v>Valid</v>
      </c>
      <c r="W913" t="str">
        <f t="shared" si="89"/>
        <v>Valid</v>
      </c>
    </row>
    <row r="914" spans="1:23">
      <c r="A914" t="s">
        <v>945</v>
      </c>
      <c r="B914" s="2">
        <v>45666</v>
      </c>
      <c r="C914" t="s">
        <v>723</v>
      </c>
      <c r="D914" t="s">
        <v>18</v>
      </c>
      <c r="E914" t="s">
        <v>19</v>
      </c>
      <c r="F914" t="s">
        <v>25</v>
      </c>
      <c r="G914" t="s">
        <v>21</v>
      </c>
      <c r="H914">
        <v>1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P914">
        <v>59.7</v>
      </c>
      <c r="R914" t="str">
        <f t="shared" si="84"/>
        <v>Unique</v>
      </c>
      <c r="S914" t="str">
        <f t="shared" si="85"/>
        <v>Valid</v>
      </c>
      <c r="T914" t="str">
        <f t="shared" si="86"/>
        <v>Valid</v>
      </c>
      <c r="U914" t="str">
        <f t="shared" si="87"/>
        <v>Valid</v>
      </c>
      <c r="V914" t="str">
        <f t="shared" si="88"/>
        <v>Valid</v>
      </c>
      <c r="W914" t="str">
        <f t="shared" si="89"/>
        <v>Valid</v>
      </c>
    </row>
    <row r="915" spans="1:23">
      <c r="A915" t="s">
        <v>946</v>
      </c>
      <c r="B915" s="2">
        <v>45665</v>
      </c>
      <c r="C915" t="s">
        <v>723</v>
      </c>
      <c r="D915" t="s">
        <v>32</v>
      </c>
      <c r="E915" t="s">
        <v>24</v>
      </c>
      <c r="F915" t="s">
        <v>25</v>
      </c>
      <c r="G915" t="s">
        <v>26</v>
      </c>
      <c r="H915">
        <v>1</v>
      </c>
      <c r="I915">
        <v>1</v>
      </c>
      <c r="J915">
        <v>1</v>
      </c>
      <c r="K915">
        <v>0</v>
      </c>
      <c r="L915">
        <v>0</v>
      </c>
      <c r="M915">
        <v>0</v>
      </c>
      <c r="N915">
        <v>0</v>
      </c>
      <c r="P915">
        <v>72.5</v>
      </c>
      <c r="R915" t="str">
        <f t="shared" si="84"/>
        <v>Unique</v>
      </c>
      <c r="S915" t="str">
        <f t="shared" si="85"/>
        <v>Valid</v>
      </c>
      <c r="T915" t="str">
        <f t="shared" si="86"/>
        <v>Valid</v>
      </c>
      <c r="U915" t="str">
        <f t="shared" si="87"/>
        <v>Valid</v>
      </c>
      <c r="V915" t="str">
        <f t="shared" si="88"/>
        <v>Valid</v>
      </c>
      <c r="W915" t="str">
        <f t="shared" si="89"/>
        <v>Valid</v>
      </c>
    </row>
    <row r="916" spans="1:23">
      <c r="A916" t="s">
        <v>947</v>
      </c>
      <c r="B916" s="2">
        <v>45778</v>
      </c>
      <c r="C916" t="s">
        <v>723</v>
      </c>
      <c r="D916" t="s">
        <v>28</v>
      </c>
      <c r="E916" t="s">
        <v>19</v>
      </c>
      <c r="F916" t="s">
        <v>29</v>
      </c>
      <c r="G916" t="s">
        <v>26</v>
      </c>
      <c r="H916">
        <v>1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P916">
        <v>64.3</v>
      </c>
      <c r="R916" t="str">
        <f t="shared" si="84"/>
        <v>Unique</v>
      </c>
      <c r="S916" t="str">
        <f t="shared" si="85"/>
        <v>Valid</v>
      </c>
      <c r="T916" t="str">
        <f t="shared" si="86"/>
        <v>Valid</v>
      </c>
      <c r="U916" t="str">
        <f t="shared" si="87"/>
        <v>Valid</v>
      </c>
      <c r="V916" t="str">
        <f t="shared" si="88"/>
        <v>Valid</v>
      </c>
      <c r="W916" t="str">
        <f t="shared" si="89"/>
        <v>Valid</v>
      </c>
    </row>
    <row r="917" spans="1:23">
      <c r="A917" t="s">
        <v>948</v>
      </c>
      <c r="B917" s="2">
        <v>45719</v>
      </c>
      <c r="C917" t="s">
        <v>723</v>
      </c>
      <c r="D917" t="s">
        <v>32</v>
      </c>
      <c r="E917" t="s">
        <v>24</v>
      </c>
      <c r="F917" t="s">
        <v>41</v>
      </c>
      <c r="G917" t="s">
        <v>26</v>
      </c>
      <c r="H917">
        <v>1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P917">
        <v>64.5</v>
      </c>
      <c r="R917" t="str">
        <f t="shared" si="84"/>
        <v>Unique</v>
      </c>
      <c r="S917" t="str">
        <f t="shared" si="85"/>
        <v>Valid</v>
      </c>
      <c r="T917" t="str">
        <f t="shared" si="86"/>
        <v>Valid</v>
      </c>
      <c r="U917" t="str">
        <f t="shared" si="87"/>
        <v>Valid</v>
      </c>
      <c r="V917" t="str">
        <f t="shared" si="88"/>
        <v>Valid</v>
      </c>
      <c r="W917" t="str">
        <f t="shared" si="89"/>
        <v>Valid</v>
      </c>
    </row>
    <row r="918" spans="1:23">
      <c r="A918" t="s">
        <v>949</v>
      </c>
      <c r="B918" s="2">
        <v>45711</v>
      </c>
      <c r="C918" t="s">
        <v>723</v>
      </c>
      <c r="D918" t="s">
        <v>23</v>
      </c>
      <c r="E918" t="s">
        <v>19</v>
      </c>
      <c r="F918" t="s">
        <v>41</v>
      </c>
      <c r="G918" t="s">
        <v>21</v>
      </c>
      <c r="H918">
        <v>1</v>
      </c>
      <c r="I918">
        <v>1</v>
      </c>
      <c r="J918">
        <v>1</v>
      </c>
      <c r="K918">
        <v>0</v>
      </c>
      <c r="L918">
        <v>0</v>
      </c>
      <c r="M918">
        <v>0</v>
      </c>
      <c r="N918">
        <v>0</v>
      </c>
      <c r="P918">
        <v>70.599999999999994</v>
      </c>
      <c r="R918" t="str">
        <f t="shared" si="84"/>
        <v>Duplicate</v>
      </c>
      <c r="S918" t="str">
        <f t="shared" si="85"/>
        <v>Valid</v>
      </c>
      <c r="T918" t="str">
        <f t="shared" si="86"/>
        <v>Valid</v>
      </c>
      <c r="U918" t="str">
        <f t="shared" si="87"/>
        <v>Valid</v>
      </c>
      <c r="V918" t="str">
        <f t="shared" si="88"/>
        <v>Valid</v>
      </c>
      <c r="W918" t="str">
        <f t="shared" si="89"/>
        <v>Valid</v>
      </c>
    </row>
    <row r="919" spans="1:23">
      <c r="A919" t="s">
        <v>950</v>
      </c>
      <c r="B919" s="2">
        <v>45705</v>
      </c>
      <c r="C919" t="s">
        <v>723</v>
      </c>
      <c r="D919" t="s">
        <v>32</v>
      </c>
      <c r="E919" t="s">
        <v>19</v>
      </c>
      <c r="F919" t="s">
        <v>25</v>
      </c>
      <c r="G919" t="s">
        <v>21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P919">
        <v>58.4</v>
      </c>
      <c r="R919" t="str">
        <f t="shared" si="84"/>
        <v>Unique</v>
      </c>
      <c r="S919" t="str">
        <f t="shared" si="85"/>
        <v>Valid</v>
      </c>
      <c r="T919" t="str">
        <f t="shared" si="86"/>
        <v>Valid</v>
      </c>
      <c r="U919" t="str">
        <f t="shared" si="87"/>
        <v>Valid</v>
      </c>
      <c r="V919" t="str">
        <f t="shared" si="88"/>
        <v>Valid</v>
      </c>
      <c r="W919" t="str">
        <f t="shared" si="89"/>
        <v>Valid</v>
      </c>
    </row>
    <row r="920" spans="1:23">
      <c r="A920" t="s">
        <v>951</v>
      </c>
      <c r="B920" s="2">
        <v>45798</v>
      </c>
      <c r="C920" t="s">
        <v>723</v>
      </c>
      <c r="D920" t="s">
        <v>28</v>
      </c>
      <c r="E920" t="s">
        <v>24</v>
      </c>
      <c r="F920" t="s">
        <v>25</v>
      </c>
      <c r="G920" t="s">
        <v>21</v>
      </c>
      <c r="H920">
        <v>1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P920">
        <v>56.6</v>
      </c>
      <c r="R920" t="str">
        <f t="shared" si="84"/>
        <v>Unique</v>
      </c>
      <c r="S920" t="str">
        <f t="shared" si="85"/>
        <v>Valid</v>
      </c>
      <c r="T920" t="str">
        <f t="shared" si="86"/>
        <v>Valid</v>
      </c>
      <c r="U920" t="str">
        <f t="shared" si="87"/>
        <v>Valid</v>
      </c>
      <c r="V920" t="str">
        <f t="shared" si="88"/>
        <v>Valid</v>
      </c>
      <c r="W920" t="str">
        <f t="shared" si="89"/>
        <v>Valid</v>
      </c>
    </row>
    <row r="921" spans="1:23">
      <c r="A921" t="s">
        <v>952</v>
      </c>
      <c r="B921" s="2">
        <v>45687</v>
      </c>
      <c r="C921" t="s">
        <v>723</v>
      </c>
      <c r="D921" t="s">
        <v>32</v>
      </c>
      <c r="E921" t="s">
        <v>24</v>
      </c>
      <c r="F921" t="s">
        <v>25</v>
      </c>
      <c r="G921" t="s">
        <v>26</v>
      </c>
      <c r="H921">
        <v>1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P921">
        <v>61.8</v>
      </c>
      <c r="R921" t="str">
        <f t="shared" si="84"/>
        <v>Unique</v>
      </c>
      <c r="S921" t="str">
        <f t="shared" si="85"/>
        <v>Valid</v>
      </c>
      <c r="T921" t="str">
        <f t="shared" si="86"/>
        <v>Valid</v>
      </c>
      <c r="U921" t="str">
        <f t="shared" si="87"/>
        <v>Valid</v>
      </c>
      <c r="V921" t="str">
        <f t="shared" si="88"/>
        <v>Valid</v>
      </c>
      <c r="W921" t="str">
        <f t="shared" si="89"/>
        <v>Valid</v>
      </c>
    </row>
    <row r="922" spans="1:23">
      <c r="A922" t="s">
        <v>953</v>
      </c>
      <c r="B922" s="2">
        <v>45736</v>
      </c>
      <c r="C922" t="s">
        <v>723</v>
      </c>
      <c r="D922" t="s">
        <v>23</v>
      </c>
      <c r="E922" t="s">
        <v>24</v>
      </c>
      <c r="F922" t="s">
        <v>20</v>
      </c>
      <c r="G922" t="s">
        <v>26</v>
      </c>
      <c r="H922">
        <v>1</v>
      </c>
      <c r="I922">
        <v>1</v>
      </c>
      <c r="J922">
        <v>1</v>
      </c>
      <c r="K922">
        <v>1</v>
      </c>
      <c r="L922">
        <v>513.52</v>
      </c>
      <c r="M922">
        <v>0</v>
      </c>
      <c r="N922">
        <v>0</v>
      </c>
      <c r="O922">
        <v>8</v>
      </c>
      <c r="P922">
        <v>43.4</v>
      </c>
      <c r="R922" t="str">
        <f t="shared" si="84"/>
        <v>Unique</v>
      </c>
      <c r="S922" t="str">
        <f t="shared" si="85"/>
        <v>Valid</v>
      </c>
      <c r="T922" t="str">
        <f t="shared" si="86"/>
        <v>Valid</v>
      </c>
      <c r="U922" t="str">
        <f t="shared" si="87"/>
        <v>Valid</v>
      </c>
      <c r="V922" t="str">
        <f t="shared" si="88"/>
        <v>Valid</v>
      </c>
      <c r="W922" t="str">
        <f t="shared" si="89"/>
        <v>Valid</v>
      </c>
    </row>
    <row r="923" spans="1:23">
      <c r="A923" t="s">
        <v>954</v>
      </c>
      <c r="B923" s="2">
        <v>45757</v>
      </c>
      <c r="C923" t="s">
        <v>723</v>
      </c>
      <c r="D923" t="s">
        <v>23</v>
      </c>
      <c r="E923" t="s">
        <v>34</v>
      </c>
      <c r="F923" t="s">
        <v>29</v>
      </c>
      <c r="G923" t="s">
        <v>26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P923">
        <v>43</v>
      </c>
      <c r="R923" t="str">
        <f t="shared" si="84"/>
        <v>Unique</v>
      </c>
      <c r="S923" t="str">
        <f t="shared" si="85"/>
        <v>Valid</v>
      </c>
      <c r="T923" t="str">
        <f t="shared" si="86"/>
        <v>Valid</v>
      </c>
      <c r="U923" t="str">
        <f t="shared" si="87"/>
        <v>Valid</v>
      </c>
      <c r="V923" t="str">
        <f t="shared" si="88"/>
        <v>Valid</v>
      </c>
      <c r="W923" t="str">
        <f t="shared" si="89"/>
        <v>Valid</v>
      </c>
    </row>
    <row r="924" spans="1:23">
      <c r="A924" t="s">
        <v>955</v>
      </c>
      <c r="B924" s="2">
        <v>45723</v>
      </c>
      <c r="C924" t="s">
        <v>723</v>
      </c>
      <c r="D924" t="s">
        <v>18</v>
      </c>
      <c r="E924" t="s">
        <v>19</v>
      </c>
      <c r="F924" t="s">
        <v>25</v>
      </c>
      <c r="G924" t="s">
        <v>26</v>
      </c>
      <c r="H924">
        <v>1</v>
      </c>
      <c r="I924">
        <v>1</v>
      </c>
      <c r="J924">
        <v>1</v>
      </c>
      <c r="K924">
        <v>0</v>
      </c>
      <c r="L924">
        <v>0</v>
      </c>
      <c r="M924">
        <v>0</v>
      </c>
      <c r="N924">
        <v>0</v>
      </c>
      <c r="P924">
        <v>51.1</v>
      </c>
      <c r="R924" t="str">
        <f t="shared" si="84"/>
        <v>Unique</v>
      </c>
      <c r="S924" t="str">
        <f t="shared" si="85"/>
        <v>Valid</v>
      </c>
      <c r="T924" t="str">
        <f t="shared" si="86"/>
        <v>Valid</v>
      </c>
      <c r="U924" t="str">
        <f t="shared" si="87"/>
        <v>Valid</v>
      </c>
      <c r="V924" t="str">
        <f t="shared" si="88"/>
        <v>Valid</v>
      </c>
      <c r="W924" t="str">
        <f t="shared" si="89"/>
        <v>Valid</v>
      </c>
    </row>
    <row r="925" spans="1:23">
      <c r="A925" t="s">
        <v>956</v>
      </c>
      <c r="B925" s="2">
        <v>45728</v>
      </c>
      <c r="C925" t="s">
        <v>723</v>
      </c>
      <c r="D925" t="s">
        <v>23</v>
      </c>
      <c r="E925" t="s">
        <v>24</v>
      </c>
      <c r="F925" t="s">
        <v>20</v>
      </c>
      <c r="G925" t="s">
        <v>21</v>
      </c>
      <c r="H925">
        <v>1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P925">
        <v>48.8</v>
      </c>
      <c r="R925" t="str">
        <f t="shared" si="84"/>
        <v>Unique</v>
      </c>
      <c r="S925" t="str">
        <f t="shared" si="85"/>
        <v>Valid</v>
      </c>
      <c r="T925" t="str">
        <f t="shared" si="86"/>
        <v>Valid</v>
      </c>
      <c r="U925" t="str">
        <f t="shared" si="87"/>
        <v>Valid</v>
      </c>
      <c r="V925" t="str">
        <f t="shared" si="88"/>
        <v>Valid</v>
      </c>
      <c r="W925" t="str">
        <f t="shared" si="89"/>
        <v>Valid</v>
      </c>
    </row>
    <row r="926" spans="1:23">
      <c r="A926" t="s">
        <v>957</v>
      </c>
      <c r="B926" s="2">
        <v>45712</v>
      </c>
      <c r="C926" t="s">
        <v>723</v>
      </c>
      <c r="D926" t="s">
        <v>28</v>
      </c>
      <c r="E926" t="s">
        <v>24</v>
      </c>
      <c r="F926" t="s">
        <v>39</v>
      </c>
      <c r="G926" t="s">
        <v>26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P926">
        <v>73.2</v>
      </c>
      <c r="R926" t="str">
        <f t="shared" si="84"/>
        <v>Unique</v>
      </c>
      <c r="S926" t="str">
        <f t="shared" si="85"/>
        <v>Valid</v>
      </c>
      <c r="T926" t="str">
        <f t="shared" si="86"/>
        <v>Valid</v>
      </c>
      <c r="U926" t="str">
        <f t="shared" si="87"/>
        <v>Valid</v>
      </c>
      <c r="V926" t="str">
        <f t="shared" si="88"/>
        <v>Valid</v>
      </c>
      <c r="W926" t="str">
        <f t="shared" si="89"/>
        <v>Valid</v>
      </c>
    </row>
    <row r="927" spans="1:23">
      <c r="A927" t="s">
        <v>958</v>
      </c>
      <c r="B927" s="2">
        <v>45672</v>
      </c>
      <c r="C927" t="s">
        <v>723</v>
      </c>
      <c r="D927" t="s">
        <v>28</v>
      </c>
      <c r="E927" t="s">
        <v>24</v>
      </c>
      <c r="F927" t="s">
        <v>39</v>
      </c>
      <c r="G927" t="s">
        <v>26</v>
      </c>
      <c r="H927">
        <v>1</v>
      </c>
      <c r="I927">
        <v>1</v>
      </c>
      <c r="J927">
        <v>1</v>
      </c>
      <c r="K927">
        <v>0</v>
      </c>
      <c r="L927">
        <v>0</v>
      </c>
      <c r="M927">
        <v>0</v>
      </c>
      <c r="N927">
        <v>0</v>
      </c>
      <c r="P927">
        <v>80</v>
      </c>
      <c r="R927" t="str">
        <f t="shared" si="84"/>
        <v>Unique</v>
      </c>
      <c r="S927" t="str">
        <f t="shared" si="85"/>
        <v>Valid</v>
      </c>
      <c r="T927" t="str">
        <f t="shared" si="86"/>
        <v>Valid</v>
      </c>
      <c r="U927" t="str">
        <f t="shared" si="87"/>
        <v>Valid</v>
      </c>
      <c r="V927" t="str">
        <f t="shared" si="88"/>
        <v>Valid</v>
      </c>
      <c r="W927" t="str">
        <f t="shared" si="89"/>
        <v>Valid</v>
      </c>
    </row>
    <row r="928" spans="1:23">
      <c r="A928" t="s">
        <v>959</v>
      </c>
      <c r="B928" s="2">
        <v>45664</v>
      </c>
      <c r="C928" t="s">
        <v>723</v>
      </c>
      <c r="D928" t="s">
        <v>18</v>
      </c>
      <c r="E928" t="s">
        <v>19</v>
      </c>
      <c r="F928" t="s">
        <v>29</v>
      </c>
      <c r="G928" t="s">
        <v>26</v>
      </c>
      <c r="H928">
        <v>1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P928">
        <v>52.3</v>
      </c>
      <c r="R928" t="str">
        <f t="shared" si="84"/>
        <v>Unique</v>
      </c>
      <c r="S928" t="str">
        <f t="shared" si="85"/>
        <v>Valid</v>
      </c>
      <c r="T928" t="str">
        <f t="shared" si="86"/>
        <v>Valid</v>
      </c>
      <c r="U928" t="str">
        <f t="shared" si="87"/>
        <v>Valid</v>
      </c>
      <c r="V928" t="str">
        <f t="shared" si="88"/>
        <v>Valid</v>
      </c>
      <c r="W928" t="str">
        <f t="shared" si="89"/>
        <v>Valid</v>
      </c>
    </row>
    <row r="929" spans="1:23">
      <c r="A929" t="s">
        <v>960</v>
      </c>
      <c r="B929" s="2">
        <v>45718</v>
      </c>
      <c r="C929" t="s">
        <v>723</v>
      </c>
      <c r="D929" t="s">
        <v>18</v>
      </c>
      <c r="E929" t="s">
        <v>19</v>
      </c>
      <c r="F929" t="s">
        <v>25</v>
      </c>
      <c r="G929" t="s">
        <v>26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P929">
        <v>49.1</v>
      </c>
      <c r="R929" t="str">
        <f t="shared" si="84"/>
        <v>Unique</v>
      </c>
      <c r="S929" t="str">
        <f t="shared" si="85"/>
        <v>Valid</v>
      </c>
      <c r="T929" t="str">
        <f t="shared" si="86"/>
        <v>Valid</v>
      </c>
      <c r="U929" t="str">
        <f t="shared" si="87"/>
        <v>Valid</v>
      </c>
      <c r="V929" t="str">
        <f t="shared" si="88"/>
        <v>Valid</v>
      </c>
      <c r="W929" t="str">
        <f t="shared" si="89"/>
        <v>Valid</v>
      </c>
    </row>
    <row r="930" spans="1:23">
      <c r="A930" t="s">
        <v>961</v>
      </c>
      <c r="B930" s="2">
        <v>45662</v>
      </c>
      <c r="C930" t="s">
        <v>723</v>
      </c>
      <c r="D930" t="s">
        <v>32</v>
      </c>
      <c r="E930" t="s">
        <v>19</v>
      </c>
      <c r="F930" t="s">
        <v>39</v>
      </c>
      <c r="G930" t="s">
        <v>21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P930">
        <v>45.3</v>
      </c>
      <c r="R930" t="str">
        <f t="shared" si="84"/>
        <v>Unique</v>
      </c>
      <c r="S930" t="str">
        <f t="shared" si="85"/>
        <v>Valid</v>
      </c>
      <c r="T930" t="str">
        <f t="shared" si="86"/>
        <v>Valid</v>
      </c>
      <c r="U930" t="str">
        <f t="shared" si="87"/>
        <v>Valid</v>
      </c>
      <c r="V930" t="str">
        <f t="shared" si="88"/>
        <v>Valid</v>
      </c>
      <c r="W930" t="str">
        <f t="shared" si="89"/>
        <v>Valid</v>
      </c>
    </row>
    <row r="931" spans="1:23">
      <c r="A931" t="s">
        <v>962</v>
      </c>
      <c r="B931" s="2">
        <v>45719</v>
      </c>
      <c r="C931" t="s">
        <v>723</v>
      </c>
      <c r="D931" t="s">
        <v>32</v>
      </c>
      <c r="E931" t="s">
        <v>24</v>
      </c>
      <c r="F931" t="s">
        <v>25</v>
      </c>
      <c r="G931" t="s">
        <v>26</v>
      </c>
      <c r="H931">
        <v>1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P931">
        <v>49.1</v>
      </c>
      <c r="R931" t="str">
        <f t="shared" si="84"/>
        <v>Unique</v>
      </c>
      <c r="S931" t="str">
        <f t="shared" si="85"/>
        <v>Valid</v>
      </c>
      <c r="T931" t="str">
        <f t="shared" si="86"/>
        <v>Valid</v>
      </c>
      <c r="U931" t="str">
        <f t="shared" si="87"/>
        <v>Valid</v>
      </c>
      <c r="V931" t="str">
        <f t="shared" si="88"/>
        <v>Valid</v>
      </c>
      <c r="W931" t="str">
        <f t="shared" si="89"/>
        <v>Valid</v>
      </c>
    </row>
    <row r="932" spans="1:23">
      <c r="A932" t="s">
        <v>963</v>
      </c>
      <c r="B932" s="2">
        <v>45747</v>
      </c>
      <c r="C932" t="s">
        <v>723</v>
      </c>
      <c r="D932" t="s">
        <v>28</v>
      </c>
      <c r="E932" t="s">
        <v>19</v>
      </c>
      <c r="F932" t="s">
        <v>39</v>
      </c>
      <c r="G932" t="s">
        <v>26</v>
      </c>
      <c r="H932">
        <v>1</v>
      </c>
      <c r="I932">
        <v>1</v>
      </c>
      <c r="J932">
        <v>1</v>
      </c>
      <c r="K932">
        <v>1</v>
      </c>
      <c r="L932">
        <v>476.44</v>
      </c>
      <c r="M932">
        <v>0</v>
      </c>
      <c r="N932">
        <v>0</v>
      </c>
      <c r="O932">
        <v>3</v>
      </c>
      <c r="P932">
        <v>88.6</v>
      </c>
      <c r="R932" t="str">
        <f t="shared" si="84"/>
        <v>Unique</v>
      </c>
      <c r="S932" t="str">
        <f t="shared" si="85"/>
        <v>Valid</v>
      </c>
      <c r="T932" t="str">
        <f t="shared" si="86"/>
        <v>Valid</v>
      </c>
      <c r="U932" t="str">
        <f t="shared" si="87"/>
        <v>Valid</v>
      </c>
      <c r="V932" t="str">
        <f t="shared" si="88"/>
        <v>Valid</v>
      </c>
      <c r="W932" t="str">
        <f t="shared" si="89"/>
        <v>Valid</v>
      </c>
    </row>
    <row r="933" spans="1:23">
      <c r="A933" t="s">
        <v>964</v>
      </c>
      <c r="B933" s="2">
        <v>45671</v>
      </c>
      <c r="C933" t="s">
        <v>723</v>
      </c>
      <c r="D933" t="s">
        <v>28</v>
      </c>
      <c r="E933" t="s">
        <v>19</v>
      </c>
      <c r="F933" t="s">
        <v>29</v>
      </c>
      <c r="G933" t="s">
        <v>30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1</v>
      </c>
      <c r="N933">
        <v>0</v>
      </c>
      <c r="P933">
        <v>54.4</v>
      </c>
      <c r="R933" t="str">
        <f t="shared" si="84"/>
        <v>Unique</v>
      </c>
      <c r="S933" t="str">
        <f t="shared" si="85"/>
        <v>Valid</v>
      </c>
      <c r="T933" t="str">
        <f t="shared" si="86"/>
        <v>Valid</v>
      </c>
      <c r="U933" t="str">
        <f t="shared" si="87"/>
        <v>Valid</v>
      </c>
      <c r="V933" t="str">
        <f t="shared" si="88"/>
        <v>Valid</v>
      </c>
      <c r="W933" t="str">
        <f t="shared" si="89"/>
        <v>Valid</v>
      </c>
    </row>
    <row r="934" spans="1:23">
      <c r="A934" t="s">
        <v>965</v>
      </c>
      <c r="B934" s="2">
        <v>45672</v>
      </c>
      <c r="C934" t="s">
        <v>723</v>
      </c>
      <c r="D934" t="s">
        <v>23</v>
      </c>
      <c r="E934" t="s">
        <v>19</v>
      </c>
      <c r="F934" t="s">
        <v>29</v>
      </c>
      <c r="G934" t="s">
        <v>30</v>
      </c>
      <c r="H934">
        <v>1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P934">
        <v>72.900000000000006</v>
      </c>
      <c r="R934" t="str">
        <f t="shared" si="84"/>
        <v>Unique</v>
      </c>
      <c r="S934" t="str">
        <f t="shared" si="85"/>
        <v>Valid</v>
      </c>
      <c r="T934" t="str">
        <f t="shared" si="86"/>
        <v>Valid</v>
      </c>
      <c r="U934" t="str">
        <f t="shared" si="87"/>
        <v>Valid</v>
      </c>
      <c r="V934" t="str">
        <f t="shared" si="88"/>
        <v>Valid</v>
      </c>
      <c r="W934" t="str">
        <f t="shared" si="89"/>
        <v>Valid</v>
      </c>
    </row>
    <row r="935" spans="1:23">
      <c r="A935" t="s">
        <v>966</v>
      </c>
      <c r="B935" s="2">
        <v>45772</v>
      </c>
      <c r="C935" t="s">
        <v>723</v>
      </c>
      <c r="D935" t="s">
        <v>23</v>
      </c>
      <c r="E935" t="s">
        <v>19</v>
      </c>
      <c r="F935" t="s">
        <v>25</v>
      </c>
      <c r="G935" t="s">
        <v>26</v>
      </c>
      <c r="H935">
        <v>1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P935">
        <v>53.2</v>
      </c>
      <c r="R935" t="str">
        <f t="shared" si="84"/>
        <v>Unique</v>
      </c>
      <c r="S935" t="str">
        <f t="shared" si="85"/>
        <v>Valid</v>
      </c>
      <c r="T935" t="str">
        <f t="shared" si="86"/>
        <v>Valid</v>
      </c>
      <c r="U935" t="str">
        <f t="shared" si="87"/>
        <v>Valid</v>
      </c>
      <c r="V935" t="str">
        <f t="shared" si="88"/>
        <v>Valid</v>
      </c>
      <c r="W935" t="str">
        <f t="shared" si="89"/>
        <v>Valid</v>
      </c>
    </row>
    <row r="936" spans="1:23">
      <c r="A936" t="s">
        <v>967</v>
      </c>
      <c r="B936" s="2">
        <v>45737</v>
      </c>
      <c r="C936" t="s">
        <v>723</v>
      </c>
      <c r="D936" t="s">
        <v>28</v>
      </c>
      <c r="E936" t="s">
        <v>24</v>
      </c>
      <c r="F936" t="s">
        <v>25</v>
      </c>
      <c r="G936" t="s">
        <v>21</v>
      </c>
      <c r="H936">
        <v>1</v>
      </c>
      <c r="I936">
        <v>1</v>
      </c>
      <c r="J936">
        <v>0</v>
      </c>
      <c r="K936">
        <v>0</v>
      </c>
      <c r="L936">
        <v>0</v>
      </c>
      <c r="M936">
        <v>0</v>
      </c>
      <c r="N936">
        <v>0</v>
      </c>
      <c r="P936">
        <v>48.7</v>
      </c>
      <c r="R936" t="str">
        <f t="shared" si="84"/>
        <v>Unique</v>
      </c>
      <c r="S936" t="str">
        <f t="shared" si="85"/>
        <v>Valid</v>
      </c>
      <c r="T936" t="str">
        <f t="shared" si="86"/>
        <v>Valid</v>
      </c>
      <c r="U936" t="str">
        <f t="shared" si="87"/>
        <v>Valid</v>
      </c>
      <c r="V936" t="str">
        <f t="shared" si="88"/>
        <v>Valid</v>
      </c>
      <c r="W936" t="str">
        <f t="shared" si="89"/>
        <v>Valid</v>
      </c>
    </row>
    <row r="937" spans="1:23">
      <c r="A937" t="s">
        <v>968</v>
      </c>
      <c r="B937" s="2">
        <v>45773</v>
      </c>
      <c r="C937" t="s">
        <v>723</v>
      </c>
      <c r="D937" t="s">
        <v>32</v>
      </c>
      <c r="E937" t="s">
        <v>24</v>
      </c>
      <c r="F937" t="s">
        <v>29</v>
      </c>
      <c r="G937" t="s">
        <v>21</v>
      </c>
      <c r="H937">
        <v>1</v>
      </c>
      <c r="I937">
        <v>1</v>
      </c>
      <c r="J937">
        <v>1</v>
      </c>
      <c r="K937">
        <v>0</v>
      </c>
      <c r="L937">
        <v>0</v>
      </c>
      <c r="M937">
        <v>0</v>
      </c>
      <c r="N937">
        <v>0</v>
      </c>
      <c r="P937">
        <v>59.9</v>
      </c>
      <c r="R937" t="str">
        <f t="shared" si="84"/>
        <v>Unique</v>
      </c>
      <c r="S937" t="str">
        <f t="shared" si="85"/>
        <v>Valid</v>
      </c>
      <c r="T937" t="str">
        <f t="shared" si="86"/>
        <v>Valid</v>
      </c>
      <c r="U937" t="str">
        <f t="shared" si="87"/>
        <v>Valid</v>
      </c>
      <c r="V937" t="str">
        <f t="shared" si="88"/>
        <v>Valid</v>
      </c>
      <c r="W937" t="str">
        <f t="shared" si="89"/>
        <v>Valid</v>
      </c>
    </row>
    <row r="938" spans="1:23">
      <c r="A938" t="s">
        <v>969</v>
      </c>
      <c r="B938" s="2">
        <v>45798</v>
      </c>
      <c r="C938" t="s">
        <v>723</v>
      </c>
      <c r="D938" t="s">
        <v>32</v>
      </c>
      <c r="E938" t="s">
        <v>19</v>
      </c>
      <c r="F938" t="s">
        <v>1451</v>
      </c>
      <c r="G938" t="s">
        <v>21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P938">
        <v>82</v>
      </c>
      <c r="R938" t="str">
        <f t="shared" si="84"/>
        <v>Unique</v>
      </c>
      <c r="S938" t="str">
        <f t="shared" si="85"/>
        <v>Valid</v>
      </c>
      <c r="T938" t="str">
        <f t="shared" si="86"/>
        <v>Valid</v>
      </c>
      <c r="U938" t="str">
        <f t="shared" si="87"/>
        <v>Valid</v>
      </c>
      <c r="V938" t="str">
        <f t="shared" si="88"/>
        <v>Valid</v>
      </c>
      <c r="W938" t="str">
        <f t="shared" si="89"/>
        <v>Valid</v>
      </c>
    </row>
    <row r="939" spans="1:23">
      <c r="A939" t="s">
        <v>970</v>
      </c>
      <c r="B939" s="2">
        <v>45765</v>
      </c>
      <c r="C939" t="s">
        <v>723</v>
      </c>
      <c r="D939" t="s">
        <v>28</v>
      </c>
      <c r="E939" t="s">
        <v>24</v>
      </c>
      <c r="F939" t="s">
        <v>29</v>
      </c>
      <c r="G939" t="s">
        <v>26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P939">
        <v>72.099999999999994</v>
      </c>
      <c r="R939" t="str">
        <f t="shared" si="84"/>
        <v>Unique</v>
      </c>
      <c r="S939" t="str">
        <f t="shared" si="85"/>
        <v>Valid</v>
      </c>
      <c r="T939" t="str">
        <f t="shared" si="86"/>
        <v>Valid</v>
      </c>
      <c r="U939" t="str">
        <f t="shared" si="87"/>
        <v>Valid</v>
      </c>
      <c r="V939" t="str">
        <f t="shared" si="88"/>
        <v>Valid</v>
      </c>
      <c r="W939" t="str">
        <f t="shared" si="89"/>
        <v>Valid</v>
      </c>
    </row>
    <row r="940" spans="1:23">
      <c r="A940" t="s">
        <v>971</v>
      </c>
      <c r="B940" s="2">
        <v>45686</v>
      </c>
      <c r="C940" t="s">
        <v>723</v>
      </c>
      <c r="D940" t="s">
        <v>18</v>
      </c>
      <c r="E940" t="s">
        <v>19</v>
      </c>
      <c r="F940" t="s">
        <v>20</v>
      </c>
      <c r="G940" t="s">
        <v>30</v>
      </c>
      <c r="H940">
        <v>1</v>
      </c>
      <c r="I940">
        <v>1</v>
      </c>
      <c r="J940">
        <v>0</v>
      </c>
      <c r="K940">
        <v>0</v>
      </c>
      <c r="L940">
        <v>0</v>
      </c>
      <c r="M940">
        <v>0</v>
      </c>
      <c r="N940">
        <v>0</v>
      </c>
      <c r="P940">
        <v>68.3</v>
      </c>
      <c r="R940" t="str">
        <f t="shared" si="84"/>
        <v>Unique</v>
      </c>
      <c r="S940" t="str">
        <f t="shared" si="85"/>
        <v>Valid</v>
      </c>
      <c r="T940" t="str">
        <f t="shared" si="86"/>
        <v>Valid</v>
      </c>
      <c r="U940" t="str">
        <f t="shared" si="87"/>
        <v>Valid</v>
      </c>
      <c r="V940" t="str">
        <f t="shared" si="88"/>
        <v>Valid</v>
      </c>
      <c r="W940" t="str">
        <f t="shared" si="89"/>
        <v>Valid</v>
      </c>
    </row>
    <row r="941" spans="1:23">
      <c r="A941" t="s">
        <v>972</v>
      </c>
      <c r="B941" s="2">
        <v>45805</v>
      </c>
      <c r="C941" t="s">
        <v>723</v>
      </c>
      <c r="D941" t="s">
        <v>23</v>
      </c>
      <c r="E941" t="s">
        <v>24</v>
      </c>
      <c r="F941" t="s">
        <v>25</v>
      </c>
      <c r="G941" t="s">
        <v>30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P941">
        <v>100</v>
      </c>
      <c r="R941" t="str">
        <f t="shared" si="84"/>
        <v>Unique</v>
      </c>
      <c r="S941" t="str">
        <f t="shared" si="85"/>
        <v>Valid</v>
      </c>
      <c r="T941" t="str">
        <f t="shared" si="86"/>
        <v>Valid</v>
      </c>
      <c r="U941" t="str">
        <f t="shared" si="87"/>
        <v>Valid</v>
      </c>
      <c r="V941" t="str">
        <f t="shared" si="88"/>
        <v>Valid</v>
      </c>
      <c r="W941" t="str">
        <f t="shared" si="89"/>
        <v>Valid</v>
      </c>
    </row>
    <row r="942" spans="1:23">
      <c r="A942" t="s">
        <v>973</v>
      </c>
      <c r="B942" s="2">
        <v>45672</v>
      </c>
      <c r="C942" t="s">
        <v>723</v>
      </c>
      <c r="D942" t="s">
        <v>28</v>
      </c>
      <c r="E942" t="s">
        <v>24</v>
      </c>
      <c r="F942" t="s">
        <v>20</v>
      </c>
      <c r="G942" t="s">
        <v>26</v>
      </c>
      <c r="H942">
        <v>1</v>
      </c>
      <c r="I942">
        <v>1</v>
      </c>
      <c r="J942">
        <v>1</v>
      </c>
      <c r="K942">
        <v>0</v>
      </c>
      <c r="L942">
        <v>0</v>
      </c>
      <c r="M942">
        <v>2</v>
      </c>
      <c r="N942">
        <v>0</v>
      </c>
      <c r="P942">
        <v>76.5</v>
      </c>
      <c r="R942" t="str">
        <f t="shared" si="84"/>
        <v>Unique</v>
      </c>
      <c r="S942" t="str">
        <f t="shared" si="85"/>
        <v>Valid</v>
      </c>
      <c r="T942" t="str">
        <f t="shared" si="86"/>
        <v>Valid</v>
      </c>
      <c r="U942" t="str">
        <f t="shared" si="87"/>
        <v>Valid</v>
      </c>
      <c r="V942" t="str">
        <f t="shared" si="88"/>
        <v>Valid</v>
      </c>
      <c r="W942" t="str">
        <f t="shared" si="89"/>
        <v>Valid</v>
      </c>
    </row>
    <row r="943" spans="1:23">
      <c r="A943" t="s">
        <v>974</v>
      </c>
      <c r="B943" s="2">
        <v>45660</v>
      </c>
      <c r="C943" t="s">
        <v>723</v>
      </c>
      <c r="D943" t="s">
        <v>32</v>
      </c>
      <c r="E943" t="s">
        <v>24</v>
      </c>
      <c r="F943" t="s">
        <v>25</v>
      </c>
      <c r="G943" t="s">
        <v>21</v>
      </c>
      <c r="H943">
        <v>1</v>
      </c>
      <c r="I943">
        <v>1</v>
      </c>
      <c r="J943">
        <v>0</v>
      </c>
      <c r="K943">
        <v>0</v>
      </c>
      <c r="L943">
        <v>0</v>
      </c>
      <c r="M943">
        <v>0</v>
      </c>
      <c r="N943">
        <v>0</v>
      </c>
      <c r="P943">
        <v>62</v>
      </c>
      <c r="R943" t="str">
        <f t="shared" si="84"/>
        <v>Unique</v>
      </c>
      <c r="S943" t="str">
        <f t="shared" si="85"/>
        <v>Valid</v>
      </c>
      <c r="T943" t="str">
        <f t="shared" si="86"/>
        <v>Valid</v>
      </c>
      <c r="U943" t="str">
        <f t="shared" si="87"/>
        <v>Valid</v>
      </c>
      <c r="V943" t="str">
        <f t="shared" si="88"/>
        <v>Valid</v>
      </c>
      <c r="W943" t="str">
        <f t="shared" si="89"/>
        <v>Valid</v>
      </c>
    </row>
    <row r="944" spans="1:23">
      <c r="A944" t="s">
        <v>975</v>
      </c>
      <c r="B944" s="2">
        <v>45692</v>
      </c>
      <c r="C944" t="s">
        <v>723</v>
      </c>
      <c r="D944" t="s">
        <v>32</v>
      </c>
      <c r="E944" t="s">
        <v>24</v>
      </c>
      <c r="F944" t="s">
        <v>29</v>
      </c>
      <c r="G944" t="s">
        <v>26</v>
      </c>
      <c r="H944">
        <v>1</v>
      </c>
      <c r="I944">
        <v>1</v>
      </c>
      <c r="J944">
        <v>1</v>
      </c>
      <c r="K944">
        <v>1</v>
      </c>
      <c r="L944">
        <v>324.68</v>
      </c>
      <c r="M944">
        <v>1</v>
      </c>
      <c r="N944">
        <v>0</v>
      </c>
      <c r="O944">
        <v>7</v>
      </c>
      <c r="P944">
        <v>50.1</v>
      </c>
      <c r="R944" t="str">
        <f t="shared" si="84"/>
        <v>Unique</v>
      </c>
      <c r="S944" t="str">
        <f t="shared" si="85"/>
        <v>Valid</v>
      </c>
      <c r="T944" t="str">
        <f t="shared" si="86"/>
        <v>Valid</v>
      </c>
      <c r="U944" t="str">
        <f t="shared" si="87"/>
        <v>Valid</v>
      </c>
      <c r="V944" t="str">
        <f t="shared" si="88"/>
        <v>Valid</v>
      </c>
      <c r="W944" t="str">
        <f t="shared" si="89"/>
        <v>Valid</v>
      </c>
    </row>
    <row r="945" spans="1:23">
      <c r="A945" t="s">
        <v>976</v>
      </c>
      <c r="B945" s="2">
        <v>45710</v>
      </c>
      <c r="C945" t="s">
        <v>723</v>
      </c>
      <c r="D945" t="s">
        <v>32</v>
      </c>
      <c r="E945" t="s">
        <v>24</v>
      </c>
      <c r="F945" t="s">
        <v>39</v>
      </c>
      <c r="G945" t="s">
        <v>30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P945">
        <v>62.1</v>
      </c>
      <c r="R945" t="str">
        <f t="shared" si="84"/>
        <v>Unique</v>
      </c>
      <c r="S945" t="str">
        <f t="shared" si="85"/>
        <v>Valid</v>
      </c>
      <c r="T945" t="str">
        <f t="shared" si="86"/>
        <v>Valid</v>
      </c>
      <c r="U945" t="str">
        <f t="shared" si="87"/>
        <v>Valid</v>
      </c>
      <c r="V945" t="str">
        <f t="shared" si="88"/>
        <v>Valid</v>
      </c>
      <c r="W945" t="str">
        <f t="shared" si="89"/>
        <v>Valid</v>
      </c>
    </row>
    <row r="946" spans="1:23">
      <c r="A946" t="s">
        <v>977</v>
      </c>
      <c r="B946" s="2">
        <v>45783</v>
      </c>
      <c r="C946" t="s">
        <v>723</v>
      </c>
      <c r="D946" t="s">
        <v>23</v>
      </c>
      <c r="E946" t="s">
        <v>24</v>
      </c>
      <c r="F946" t="s">
        <v>25</v>
      </c>
      <c r="G946" t="s">
        <v>21</v>
      </c>
      <c r="H946">
        <v>1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P946">
        <v>49.7</v>
      </c>
      <c r="R946" t="str">
        <f t="shared" si="84"/>
        <v>Unique</v>
      </c>
      <c r="S946" t="str">
        <f t="shared" si="85"/>
        <v>Valid</v>
      </c>
      <c r="T946" t="str">
        <f t="shared" si="86"/>
        <v>Valid</v>
      </c>
      <c r="U946" t="str">
        <f t="shared" si="87"/>
        <v>Valid</v>
      </c>
      <c r="V946" t="str">
        <f t="shared" si="88"/>
        <v>Valid</v>
      </c>
      <c r="W946" t="str">
        <f t="shared" si="89"/>
        <v>Valid</v>
      </c>
    </row>
    <row r="947" spans="1:23">
      <c r="A947" t="s">
        <v>978</v>
      </c>
      <c r="B947" s="2">
        <v>45688</v>
      </c>
      <c r="C947" t="s">
        <v>723</v>
      </c>
      <c r="D947" t="s">
        <v>32</v>
      </c>
      <c r="E947" t="s">
        <v>24</v>
      </c>
      <c r="F947" t="s">
        <v>25</v>
      </c>
      <c r="G947" t="s">
        <v>26</v>
      </c>
      <c r="H947">
        <v>1</v>
      </c>
      <c r="I947">
        <v>0</v>
      </c>
      <c r="J947">
        <v>0</v>
      </c>
      <c r="K947">
        <v>0</v>
      </c>
      <c r="L947">
        <v>0</v>
      </c>
      <c r="M947">
        <v>3</v>
      </c>
      <c r="N947">
        <v>0</v>
      </c>
      <c r="P947">
        <v>71.099999999999994</v>
      </c>
      <c r="R947" t="str">
        <f t="shared" si="84"/>
        <v>Unique</v>
      </c>
      <c r="S947" t="str">
        <f t="shared" si="85"/>
        <v>Valid</v>
      </c>
      <c r="T947" t="str">
        <f t="shared" si="86"/>
        <v>Valid</v>
      </c>
      <c r="U947" t="str">
        <f t="shared" si="87"/>
        <v>Valid</v>
      </c>
      <c r="V947" t="str">
        <f t="shared" si="88"/>
        <v>Valid</v>
      </c>
      <c r="W947" t="str">
        <f t="shared" si="89"/>
        <v>Valid</v>
      </c>
    </row>
    <row r="948" spans="1:23">
      <c r="A948" t="s">
        <v>979</v>
      </c>
      <c r="B948" s="2">
        <v>45706</v>
      </c>
      <c r="C948" t="s">
        <v>723</v>
      </c>
      <c r="D948" t="s">
        <v>18</v>
      </c>
      <c r="E948" t="s">
        <v>24</v>
      </c>
      <c r="F948" t="s">
        <v>41</v>
      </c>
      <c r="G948" t="s">
        <v>21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P948">
        <v>70.8</v>
      </c>
      <c r="R948" t="str">
        <f t="shared" si="84"/>
        <v>Unique</v>
      </c>
      <c r="S948" t="str">
        <f t="shared" si="85"/>
        <v>Valid</v>
      </c>
      <c r="T948" t="str">
        <f t="shared" si="86"/>
        <v>Valid</v>
      </c>
      <c r="U948" t="str">
        <f t="shared" si="87"/>
        <v>Valid</v>
      </c>
      <c r="V948" t="str">
        <f t="shared" si="88"/>
        <v>Valid</v>
      </c>
      <c r="W948" t="str">
        <f t="shared" si="89"/>
        <v>Valid</v>
      </c>
    </row>
    <row r="949" spans="1:23">
      <c r="A949" t="s">
        <v>980</v>
      </c>
      <c r="B949" s="2">
        <v>45770</v>
      </c>
      <c r="C949" t="s">
        <v>723</v>
      </c>
      <c r="D949" t="s">
        <v>28</v>
      </c>
      <c r="E949" t="s">
        <v>24</v>
      </c>
      <c r="F949" t="s">
        <v>29</v>
      </c>
      <c r="G949" t="s">
        <v>26</v>
      </c>
      <c r="H949">
        <v>1</v>
      </c>
      <c r="I949">
        <v>1</v>
      </c>
      <c r="J949">
        <v>1</v>
      </c>
      <c r="K949">
        <v>1</v>
      </c>
      <c r="L949">
        <v>301.98</v>
      </c>
      <c r="M949">
        <v>0</v>
      </c>
      <c r="N949">
        <v>0</v>
      </c>
      <c r="O949">
        <v>10</v>
      </c>
      <c r="P949">
        <v>52.2</v>
      </c>
      <c r="R949" t="str">
        <f t="shared" si="84"/>
        <v>Unique</v>
      </c>
      <c r="S949" t="str">
        <f t="shared" si="85"/>
        <v>Valid</v>
      </c>
      <c r="T949" t="str">
        <f t="shared" si="86"/>
        <v>Valid</v>
      </c>
      <c r="U949" t="str">
        <f t="shared" si="87"/>
        <v>Valid</v>
      </c>
      <c r="V949" t="str">
        <f t="shared" si="88"/>
        <v>Valid</v>
      </c>
      <c r="W949" t="str">
        <f t="shared" si="89"/>
        <v>Valid</v>
      </c>
    </row>
    <row r="950" spans="1:23">
      <c r="A950" t="s">
        <v>981</v>
      </c>
      <c r="B950" s="2">
        <v>45694</v>
      </c>
      <c r="C950" t="s">
        <v>723</v>
      </c>
      <c r="D950" t="s">
        <v>18</v>
      </c>
      <c r="E950" t="s">
        <v>24</v>
      </c>
      <c r="F950" t="s">
        <v>25</v>
      </c>
      <c r="G950" t="s">
        <v>26</v>
      </c>
      <c r="H950">
        <v>1</v>
      </c>
      <c r="I950">
        <v>1</v>
      </c>
      <c r="J950">
        <v>1</v>
      </c>
      <c r="K950">
        <v>0</v>
      </c>
      <c r="L950">
        <v>0</v>
      </c>
      <c r="M950">
        <v>0</v>
      </c>
      <c r="N950">
        <v>0</v>
      </c>
      <c r="P950">
        <v>73</v>
      </c>
      <c r="R950" t="str">
        <f t="shared" si="84"/>
        <v>Unique</v>
      </c>
      <c r="S950" t="str">
        <f t="shared" si="85"/>
        <v>Valid</v>
      </c>
      <c r="T950" t="str">
        <f t="shared" si="86"/>
        <v>Valid</v>
      </c>
      <c r="U950" t="str">
        <f t="shared" si="87"/>
        <v>Valid</v>
      </c>
      <c r="V950" t="str">
        <f t="shared" si="88"/>
        <v>Valid</v>
      </c>
      <c r="W950" t="str">
        <f t="shared" si="89"/>
        <v>Valid</v>
      </c>
    </row>
    <row r="951" spans="1:23">
      <c r="A951" t="s">
        <v>982</v>
      </c>
      <c r="B951" s="2">
        <v>45773</v>
      </c>
      <c r="C951" t="s">
        <v>723</v>
      </c>
      <c r="D951" t="s">
        <v>32</v>
      </c>
      <c r="E951" t="s">
        <v>19</v>
      </c>
      <c r="F951" t="s">
        <v>29</v>
      </c>
      <c r="G951" t="s">
        <v>26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P951">
        <v>78.2</v>
      </c>
      <c r="R951" t="str">
        <f t="shared" si="84"/>
        <v>Unique</v>
      </c>
      <c r="S951" t="str">
        <f t="shared" si="85"/>
        <v>Valid</v>
      </c>
      <c r="T951" t="str">
        <f t="shared" si="86"/>
        <v>Valid</v>
      </c>
      <c r="U951" t="str">
        <f t="shared" si="87"/>
        <v>Valid</v>
      </c>
      <c r="V951" t="str">
        <f t="shared" si="88"/>
        <v>Valid</v>
      </c>
      <c r="W951" t="str">
        <f t="shared" si="89"/>
        <v>Valid</v>
      </c>
    </row>
    <row r="952" spans="1:23">
      <c r="A952" t="s">
        <v>983</v>
      </c>
      <c r="B952" s="2">
        <v>45746</v>
      </c>
      <c r="C952" t="s">
        <v>723</v>
      </c>
      <c r="D952" t="s">
        <v>23</v>
      </c>
      <c r="E952" t="s">
        <v>19</v>
      </c>
      <c r="F952" t="s">
        <v>29</v>
      </c>
      <c r="G952" t="s">
        <v>21</v>
      </c>
      <c r="H952">
        <v>1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P952">
        <v>68.8</v>
      </c>
      <c r="R952" t="str">
        <f t="shared" si="84"/>
        <v>Unique</v>
      </c>
      <c r="S952" t="str">
        <f t="shared" si="85"/>
        <v>Valid</v>
      </c>
      <c r="T952" t="str">
        <f t="shared" si="86"/>
        <v>Valid</v>
      </c>
      <c r="U952" t="str">
        <f t="shared" si="87"/>
        <v>Valid</v>
      </c>
      <c r="V952" t="str">
        <f t="shared" si="88"/>
        <v>Valid</v>
      </c>
      <c r="W952" t="str">
        <f t="shared" si="89"/>
        <v>Valid</v>
      </c>
    </row>
    <row r="953" spans="1:23">
      <c r="A953" t="s">
        <v>984</v>
      </c>
      <c r="B953" s="2">
        <v>45760</v>
      </c>
      <c r="C953" t="s">
        <v>723</v>
      </c>
      <c r="D953" t="s">
        <v>23</v>
      </c>
      <c r="E953" t="s">
        <v>24</v>
      </c>
      <c r="F953" t="s">
        <v>1451</v>
      </c>
      <c r="G953" t="s">
        <v>30</v>
      </c>
      <c r="H953">
        <v>1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P953">
        <v>57.1</v>
      </c>
      <c r="R953" t="str">
        <f t="shared" si="84"/>
        <v>Unique</v>
      </c>
      <c r="S953" t="str">
        <f t="shared" si="85"/>
        <v>Valid</v>
      </c>
      <c r="T953" t="str">
        <f t="shared" si="86"/>
        <v>Valid</v>
      </c>
      <c r="U953" t="str">
        <f t="shared" si="87"/>
        <v>Valid</v>
      </c>
      <c r="V953" t="str">
        <f t="shared" si="88"/>
        <v>Valid</v>
      </c>
      <c r="W953" t="str">
        <f t="shared" si="89"/>
        <v>Valid</v>
      </c>
    </row>
    <row r="954" spans="1:23">
      <c r="A954" t="s">
        <v>985</v>
      </c>
      <c r="B954" s="2">
        <v>45751</v>
      </c>
      <c r="C954" t="s">
        <v>723</v>
      </c>
      <c r="D954" t="s">
        <v>28</v>
      </c>
      <c r="E954" t="s">
        <v>19</v>
      </c>
      <c r="F954" t="s">
        <v>25</v>
      </c>
      <c r="G954" t="s">
        <v>30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1</v>
      </c>
      <c r="N954">
        <v>0</v>
      </c>
      <c r="P954">
        <v>74.599999999999994</v>
      </c>
      <c r="R954" t="str">
        <f t="shared" si="84"/>
        <v>Unique</v>
      </c>
      <c r="S954" t="str">
        <f t="shared" si="85"/>
        <v>Valid</v>
      </c>
      <c r="T954" t="str">
        <f t="shared" si="86"/>
        <v>Valid</v>
      </c>
      <c r="U954" t="str">
        <f t="shared" si="87"/>
        <v>Valid</v>
      </c>
      <c r="V954" t="str">
        <f t="shared" si="88"/>
        <v>Valid</v>
      </c>
      <c r="W954" t="str">
        <f t="shared" si="89"/>
        <v>Valid</v>
      </c>
    </row>
    <row r="955" spans="1:23">
      <c r="A955" t="s">
        <v>986</v>
      </c>
      <c r="B955" s="2">
        <v>45750</v>
      </c>
      <c r="C955" t="s">
        <v>723</v>
      </c>
      <c r="D955" t="s">
        <v>18</v>
      </c>
      <c r="E955" t="s">
        <v>19</v>
      </c>
      <c r="F955" t="s">
        <v>39</v>
      </c>
      <c r="G955" t="s">
        <v>26</v>
      </c>
      <c r="H955">
        <v>1</v>
      </c>
      <c r="I955">
        <v>0</v>
      </c>
      <c r="J955">
        <v>0</v>
      </c>
      <c r="K955">
        <v>0</v>
      </c>
      <c r="L955">
        <v>0</v>
      </c>
      <c r="M955">
        <v>1</v>
      </c>
      <c r="N955">
        <v>0</v>
      </c>
      <c r="P955">
        <v>64.099999999999994</v>
      </c>
      <c r="R955" t="str">
        <f t="shared" si="84"/>
        <v>Unique</v>
      </c>
      <c r="S955" t="str">
        <f t="shared" si="85"/>
        <v>Valid</v>
      </c>
      <c r="T955" t="str">
        <f t="shared" si="86"/>
        <v>Valid</v>
      </c>
      <c r="U955" t="str">
        <f t="shared" si="87"/>
        <v>Valid</v>
      </c>
      <c r="V955" t="str">
        <f t="shared" si="88"/>
        <v>Valid</v>
      </c>
      <c r="W955" t="str">
        <f t="shared" si="89"/>
        <v>Valid</v>
      </c>
    </row>
    <row r="956" spans="1:23">
      <c r="A956" t="s">
        <v>987</v>
      </c>
      <c r="B956" s="2">
        <v>45730</v>
      </c>
      <c r="C956" t="s">
        <v>723</v>
      </c>
      <c r="D956" t="s">
        <v>23</v>
      </c>
      <c r="E956" t="s">
        <v>24</v>
      </c>
      <c r="F956" t="s">
        <v>29</v>
      </c>
      <c r="G956" t="s">
        <v>30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P956">
        <v>67.3</v>
      </c>
      <c r="R956" t="str">
        <f t="shared" si="84"/>
        <v>Unique</v>
      </c>
      <c r="S956" t="str">
        <f t="shared" si="85"/>
        <v>Valid</v>
      </c>
      <c r="T956" t="str">
        <f t="shared" si="86"/>
        <v>Valid</v>
      </c>
      <c r="U956" t="str">
        <f t="shared" si="87"/>
        <v>Valid</v>
      </c>
      <c r="V956" t="str">
        <f t="shared" si="88"/>
        <v>Valid</v>
      </c>
      <c r="W956" t="str">
        <f t="shared" si="89"/>
        <v>Valid</v>
      </c>
    </row>
    <row r="957" spans="1:23">
      <c r="A957" t="s">
        <v>988</v>
      </c>
      <c r="B957" s="2">
        <v>45671</v>
      </c>
      <c r="C957" t="s">
        <v>723</v>
      </c>
      <c r="D957" t="s">
        <v>23</v>
      </c>
      <c r="E957" t="s">
        <v>24</v>
      </c>
      <c r="F957" t="s">
        <v>39</v>
      </c>
      <c r="G957" t="s">
        <v>26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2</v>
      </c>
      <c r="N957">
        <v>0</v>
      </c>
      <c r="P957">
        <v>41</v>
      </c>
      <c r="R957" t="str">
        <f t="shared" si="84"/>
        <v>Unique</v>
      </c>
      <c r="S957" t="str">
        <f t="shared" si="85"/>
        <v>Valid</v>
      </c>
      <c r="T957" t="str">
        <f t="shared" si="86"/>
        <v>Valid</v>
      </c>
      <c r="U957" t="str">
        <f t="shared" si="87"/>
        <v>Valid</v>
      </c>
      <c r="V957" t="str">
        <f t="shared" si="88"/>
        <v>Valid</v>
      </c>
      <c r="W957" t="str">
        <f t="shared" si="89"/>
        <v>Valid</v>
      </c>
    </row>
    <row r="958" spans="1:23">
      <c r="A958" t="s">
        <v>989</v>
      </c>
      <c r="B958" s="2">
        <v>45782</v>
      </c>
      <c r="C958" t="s">
        <v>723</v>
      </c>
      <c r="D958" t="s">
        <v>23</v>
      </c>
      <c r="E958" t="s">
        <v>24</v>
      </c>
      <c r="F958" t="s">
        <v>29</v>
      </c>
      <c r="G958" t="s">
        <v>26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P958">
        <v>48.1</v>
      </c>
      <c r="R958" t="str">
        <f t="shared" si="84"/>
        <v>Unique</v>
      </c>
      <c r="S958" t="str">
        <f t="shared" si="85"/>
        <v>Valid</v>
      </c>
      <c r="T958" t="str">
        <f t="shared" si="86"/>
        <v>Valid</v>
      </c>
      <c r="U958" t="str">
        <f t="shared" si="87"/>
        <v>Valid</v>
      </c>
      <c r="V958" t="str">
        <f t="shared" si="88"/>
        <v>Valid</v>
      </c>
      <c r="W958" t="str">
        <f t="shared" si="89"/>
        <v>Valid</v>
      </c>
    </row>
    <row r="959" spans="1:23">
      <c r="A959" t="s">
        <v>990</v>
      </c>
      <c r="B959" s="2">
        <v>45779</v>
      </c>
      <c r="C959" t="s">
        <v>723</v>
      </c>
      <c r="D959" t="s">
        <v>23</v>
      </c>
      <c r="E959" t="s">
        <v>19</v>
      </c>
      <c r="F959" t="s">
        <v>41</v>
      </c>
      <c r="G959" t="s">
        <v>26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1</v>
      </c>
      <c r="N959">
        <v>0</v>
      </c>
      <c r="P959">
        <v>60.8</v>
      </c>
      <c r="R959" t="str">
        <f t="shared" si="84"/>
        <v>Unique</v>
      </c>
      <c r="S959" t="str">
        <f t="shared" si="85"/>
        <v>Valid</v>
      </c>
      <c r="T959" t="str">
        <f t="shared" si="86"/>
        <v>Valid</v>
      </c>
      <c r="U959" t="str">
        <f t="shared" si="87"/>
        <v>Valid</v>
      </c>
      <c r="V959" t="str">
        <f t="shared" si="88"/>
        <v>Valid</v>
      </c>
      <c r="W959" t="str">
        <f t="shared" si="89"/>
        <v>Valid</v>
      </c>
    </row>
    <row r="960" spans="1:23">
      <c r="A960" t="s">
        <v>991</v>
      </c>
      <c r="B960" s="2">
        <v>45798</v>
      </c>
      <c r="C960" t="s">
        <v>723</v>
      </c>
      <c r="D960" t="s">
        <v>28</v>
      </c>
      <c r="E960" t="s">
        <v>24</v>
      </c>
      <c r="F960" t="s">
        <v>25</v>
      </c>
      <c r="G960" t="s">
        <v>26</v>
      </c>
      <c r="H960">
        <v>1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P960">
        <v>63.1</v>
      </c>
      <c r="R960" t="str">
        <f t="shared" si="84"/>
        <v>Unique</v>
      </c>
      <c r="S960" t="str">
        <f t="shared" si="85"/>
        <v>Valid</v>
      </c>
      <c r="T960" t="str">
        <f t="shared" si="86"/>
        <v>Valid</v>
      </c>
      <c r="U960" t="str">
        <f t="shared" si="87"/>
        <v>Valid</v>
      </c>
      <c r="V960" t="str">
        <f t="shared" si="88"/>
        <v>Valid</v>
      </c>
      <c r="W960" t="str">
        <f t="shared" si="89"/>
        <v>Valid</v>
      </c>
    </row>
    <row r="961" spans="1:23">
      <c r="A961" t="s">
        <v>992</v>
      </c>
      <c r="B961" s="2">
        <v>45793</v>
      </c>
      <c r="C961" t="s">
        <v>723</v>
      </c>
      <c r="D961" t="s">
        <v>18</v>
      </c>
      <c r="E961" t="s">
        <v>24</v>
      </c>
      <c r="F961" t="s">
        <v>39</v>
      </c>
      <c r="G961" t="s">
        <v>30</v>
      </c>
      <c r="H961">
        <v>1</v>
      </c>
      <c r="I961">
        <v>0</v>
      </c>
      <c r="J961">
        <v>0</v>
      </c>
      <c r="K961">
        <v>0</v>
      </c>
      <c r="L961">
        <v>0</v>
      </c>
      <c r="M961">
        <v>2</v>
      </c>
      <c r="N961">
        <v>0</v>
      </c>
      <c r="P961">
        <v>49.7</v>
      </c>
      <c r="R961" t="str">
        <f t="shared" si="84"/>
        <v>Unique</v>
      </c>
      <c r="S961" t="str">
        <f t="shared" si="85"/>
        <v>Valid</v>
      </c>
      <c r="T961" t="str">
        <f t="shared" si="86"/>
        <v>Valid</v>
      </c>
      <c r="U961" t="str">
        <f t="shared" si="87"/>
        <v>Valid</v>
      </c>
      <c r="V961" t="str">
        <f t="shared" si="88"/>
        <v>Valid</v>
      </c>
      <c r="W961" t="str">
        <f t="shared" si="89"/>
        <v>Valid</v>
      </c>
    </row>
    <row r="962" spans="1:23">
      <c r="A962" t="s">
        <v>993</v>
      </c>
      <c r="B962" s="2">
        <v>45801</v>
      </c>
      <c r="C962" t="s">
        <v>723</v>
      </c>
      <c r="D962" t="s">
        <v>28</v>
      </c>
      <c r="E962" t="s">
        <v>19</v>
      </c>
      <c r="F962" t="s">
        <v>25</v>
      </c>
      <c r="G962" t="s">
        <v>30</v>
      </c>
      <c r="H962">
        <v>1</v>
      </c>
      <c r="I962">
        <v>1</v>
      </c>
      <c r="J962">
        <v>1</v>
      </c>
      <c r="K962">
        <v>0</v>
      </c>
      <c r="L962">
        <v>0</v>
      </c>
      <c r="M962">
        <v>1</v>
      </c>
      <c r="N962">
        <v>0</v>
      </c>
      <c r="P962">
        <v>83.4</v>
      </c>
      <c r="R962" t="str">
        <f t="shared" si="84"/>
        <v>Unique</v>
      </c>
      <c r="S962" t="str">
        <f t="shared" si="85"/>
        <v>Valid</v>
      </c>
      <c r="T962" t="str">
        <f t="shared" si="86"/>
        <v>Valid</v>
      </c>
      <c r="U962" t="str">
        <f t="shared" si="87"/>
        <v>Valid</v>
      </c>
      <c r="V962" t="str">
        <f t="shared" si="88"/>
        <v>Valid</v>
      </c>
      <c r="W962" t="str">
        <f t="shared" si="89"/>
        <v>Valid</v>
      </c>
    </row>
    <row r="963" spans="1:23">
      <c r="A963" t="s">
        <v>994</v>
      </c>
      <c r="B963" s="2">
        <v>45734</v>
      </c>
      <c r="C963" t="s">
        <v>723</v>
      </c>
      <c r="D963" t="s">
        <v>28</v>
      </c>
      <c r="E963" t="s">
        <v>24</v>
      </c>
      <c r="F963" t="s">
        <v>25</v>
      </c>
      <c r="G963" t="s">
        <v>21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P963">
        <v>75.900000000000006</v>
      </c>
      <c r="R963" t="str">
        <f t="shared" ref="R963:R1026" si="90">IF(COUNTIF($A:$A,A963)&gt;1,"Duplicate","Unique")</f>
        <v>Unique</v>
      </c>
      <c r="S963" t="str">
        <f t="shared" ref="S963:S1026" si="91">IF(OR(H963=0,H963=1),"Valid","Invalid")</f>
        <v>Valid</v>
      </c>
      <c r="T963" t="str">
        <f t="shared" ref="T963:T1026" si="92">IF(OR(I963=0,I963=1),"Valid","Invalid")</f>
        <v>Valid</v>
      </c>
      <c r="U963" t="str">
        <f t="shared" ref="U963:U1026" si="93">IF(OR(J963=0,J963=1),"Valid","Invalid")</f>
        <v>Valid</v>
      </c>
      <c r="V963" t="str">
        <f t="shared" ref="V963:V1026" si="94">IF(OR(K963=0,K963=1),"Valid","Invalid")</f>
        <v>Valid</v>
      </c>
      <c r="W963" t="str">
        <f t="shared" ref="W963:W1026" si="95">IF(OR(N963=0,N963=1),"Valid","Invalid")</f>
        <v>Valid</v>
      </c>
    </row>
    <row r="964" spans="1:23">
      <c r="A964" t="s">
        <v>995</v>
      </c>
      <c r="B964" s="2">
        <v>45668</v>
      </c>
      <c r="C964" t="s">
        <v>723</v>
      </c>
      <c r="D964" t="s">
        <v>28</v>
      </c>
      <c r="E964" t="s">
        <v>19</v>
      </c>
      <c r="F964" t="s">
        <v>29</v>
      </c>
      <c r="G964" t="s">
        <v>26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1</v>
      </c>
      <c r="N964">
        <v>0</v>
      </c>
      <c r="P964">
        <v>71.8</v>
      </c>
      <c r="R964" t="str">
        <f t="shared" si="90"/>
        <v>Unique</v>
      </c>
      <c r="S964" t="str">
        <f t="shared" si="91"/>
        <v>Valid</v>
      </c>
      <c r="T964" t="str">
        <f t="shared" si="92"/>
        <v>Valid</v>
      </c>
      <c r="U964" t="str">
        <f t="shared" si="93"/>
        <v>Valid</v>
      </c>
      <c r="V964" t="str">
        <f t="shared" si="94"/>
        <v>Valid</v>
      </c>
      <c r="W964" t="str">
        <f t="shared" si="95"/>
        <v>Valid</v>
      </c>
    </row>
    <row r="965" spans="1:23">
      <c r="A965" t="s">
        <v>996</v>
      </c>
      <c r="B965" s="2">
        <v>45697</v>
      </c>
      <c r="C965" t="s">
        <v>723</v>
      </c>
      <c r="D965" t="s">
        <v>32</v>
      </c>
      <c r="E965" t="s">
        <v>24</v>
      </c>
      <c r="F965" t="s">
        <v>25</v>
      </c>
      <c r="G965" t="s">
        <v>21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P965">
        <v>37.9</v>
      </c>
      <c r="R965" t="str">
        <f t="shared" si="90"/>
        <v>Unique</v>
      </c>
      <c r="S965" t="str">
        <f t="shared" si="91"/>
        <v>Valid</v>
      </c>
      <c r="T965" t="str">
        <f t="shared" si="92"/>
        <v>Valid</v>
      </c>
      <c r="U965" t="str">
        <f t="shared" si="93"/>
        <v>Valid</v>
      </c>
      <c r="V965" t="str">
        <f t="shared" si="94"/>
        <v>Valid</v>
      </c>
      <c r="W965" t="str">
        <f t="shared" si="95"/>
        <v>Valid</v>
      </c>
    </row>
    <row r="966" spans="1:23">
      <c r="A966" t="s">
        <v>997</v>
      </c>
      <c r="B966" s="2">
        <v>45717</v>
      </c>
      <c r="C966" t="s">
        <v>723</v>
      </c>
      <c r="D966" t="s">
        <v>18</v>
      </c>
      <c r="E966" t="s">
        <v>19</v>
      </c>
      <c r="F966" t="s">
        <v>41</v>
      </c>
      <c r="G966" t="s">
        <v>26</v>
      </c>
      <c r="H966">
        <v>1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P966">
        <v>59.8</v>
      </c>
      <c r="R966" t="str">
        <f t="shared" si="90"/>
        <v>Unique</v>
      </c>
      <c r="S966" t="str">
        <f t="shared" si="91"/>
        <v>Valid</v>
      </c>
      <c r="T966" t="str">
        <f t="shared" si="92"/>
        <v>Valid</v>
      </c>
      <c r="U966" t="str">
        <f t="shared" si="93"/>
        <v>Valid</v>
      </c>
      <c r="V966" t="str">
        <f t="shared" si="94"/>
        <v>Valid</v>
      </c>
      <c r="W966" t="str">
        <f t="shared" si="95"/>
        <v>Valid</v>
      </c>
    </row>
    <row r="967" spans="1:23">
      <c r="A967" t="s">
        <v>998</v>
      </c>
      <c r="B967" s="2">
        <v>45784</v>
      </c>
      <c r="C967" t="s">
        <v>723</v>
      </c>
      <c r="D967" t="s">
        <v>18</v>
      </c>
      <c r="E967" t="s">
        <v>24</v>
      </c>
      <c r="F967" t="s">
        <v>25</v>
      </c>
      <c r="G967" t="s">
        <v>21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P967">
        <v>66.900000000000006</v>
      </c>
      <c r="R967" t="str">
        <f t="shared" si="90"/>
        <v>Unique</v>
      </c>
      <c r="S967" t="str">
        <f t="shared" si="91"/>
        <v>Valid</v>
      </c>
      <c r="T967" t="str">
        <f t="shared" si="92"/>
        <v>Valid</v>
      </c>
      <c r="U967" t="str">
        <f t="shared" si="93"/>
        <v>Valid</v>
      </c>
      <c r="V967" t="str">
        <f t="shared" si="94"/>
        <v>Valid</v>
      </c>
      <c r="W967" t="str">
        <f t="shared" si="95"/>
        <v>Valid</v>
      </c>
    </row>
    <row r="968" spans="1:23">
      <c r="A968" t="s">
        <v>999</v>
      </c>
      <c r="B968" s="2">
        <v>45707</v>
      </c>
      <c r="C968" t="s">
        <v>723</v>
      </c>
      <c r="D968" t="s">
        <v>32</v>
      </c>
      <c r="E968" t="s">
        <v>19</v>
      </c>
      <c r="F968" t="s">
        <v>1451</v>
      </c>
      <c r="G968" t="s">
        <v>26</v>
      </c>
      <c r="H968">
        <v>1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P968">
        <v>59</v>
      </c>
      <c r="R968" t="str">
        <f t="shared" si="90"/>
        <v>Unique</v>
      </c>
      <c r="S968" t="str">
        <f t="shared" si="91"/>
        <v>Valid</v>
      </c>
      <c r="T968" t="str">
        <f t="shared" si="92"/>
        <v>Valid</v>
      </c>
      <c r="U968" t="str">
        <f t="shared" si="93"/>
        <v>Valid</v>
      </c>
      <c r="V968" t="str">
        <f t="shared" si="94"/>
        <v>Valid</v>
      </c>
      <c r="W968" t="str">
        <f t="shared" si="95"/>
        <v>Valid</v>
      </c>
    </row>
    <row r="969" spans="1:23">
      <c r="A969" t="s">
        <v>1000</v>
      </c>
      <c r="B969" s="2">
        <v>45714</v>
      </c>
      <c r="C969" t="s">
        <v>723</v>
      </c>
      <c r="D969" t="s">
        <v>23</v>
      </c>
      <c r="E969" t="s">
        <v>24</v>
      </c>
      <c r="F969" t="s">
        <v>25</v>
      </c>
      <c r="G969" t="s">
        <v>30</v>
      </c>
      <c r="H969">
        <v>1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P969">
        <v>80.099999999999994</v>
      </c>
      <c r="R969" t="str">
        <f t="shared" si="90"/>
        <v>Unique</v>
      </c>
      <c r="S969" t="str">
        <f t="shared" si="91"/>
        <v>Valid</v>
      </c>
      <c r="T969" t="str">
        <f t="shared" si="92"/>
        <v>Valid</v>
      </c>
      <c r="U969" t="str">
        <f t="shared" si="93"/>
        <v>Valid</v>
      </c>
      <c r="V969" t="str">
        <f t="shared" si="94"/>
        <v>Valid</v>
      </c>
      <c r="W969" t="str">
        <f t="shared" si="95"/>
        <v>Valid</v>
      </c>
    </row>
    <row r="970" spans="1:23">
      <c r="A970" t="s">
        <v>1001</v>
      </c>
      <c r="B970" s="2">
        <v>45739</v>
      </c>
      <c r="C970" t="s">
        <v>723</v>
      </c>
      <c r="D970" t="s">
        <v>32</v>
      </c>
      <c r="E970" t="s">
        <v>24</v>
      </c>
      <c r="F970" t="s">
        <v>41</v>
      </c>
      <c r="G970" t="s">
        <v>26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P970">
        <v>64.3</v>
      </c>
      <c r="R970" t="str">
        <f t="shared" si="90"/>
        <v>Unique</v>
      </c>
      <c r="S970" t="str">
        <f t="shared" si="91"/>
        <v>Valid</v>
      </c>
      <c r="T970" t="str">
        <f t="shared" si="92"/>
        <v>Valid</v>
      </c>
      <c r="U970" t="str">
        <f t="shared" si="93"/>
        <v>Valid</v>
      </c>
      <c r="V970" t="str">
        <f t="shared" si="94"/>
        <v>Valid</v>
      </c>
      <c r="W970" t="str">
        <f t="shared" si="95"/>
        <v>Valid</v>
      </c>
    </row>
    <row r="971" spans="1:23">
      <c r="A971" t="s">
        <v>1002</v>
      </c>
      <c r="B971" s="2">
        <v>45772</v>
      </c>
      <c r="C971" t="s">
        <v>723</v>
      </c>
      <c r="D971" t="s">
        <v>32</v>
      </c>
      <c r="E971" t="s">
        <v>19</v>
      </c>
      <c r="F971" t="s">
        <v>41</v>
      </c>
      <c r="G971" t="s">
        <v>26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1</v>
      </c>
      <c r="N971">
        <v>0</v>
      </c>
      <c r="P971">
        <v>57.4</v>
      </c>
      <c r="R971" t="str">
        <f t="shared" si="90"/>
        <v>Unique</v>
      </c>
      <c r="S971" t="str">
        <f t="shared" si="91"/>
        <v>Valid</v>
      </c>
      <c r="T971" t="str">
        <f t="shared" si="92"/>
        <v>Valid</v>
      </c>
      <c r="U971" t="str">
        <f t="shared" si="93"/>
        <v>Valid</v>
      </c>
      <c r="V971" t="str">
        <f t="shared" si="94"/>
        <v>Valid</v>
      </c>
      <c r="W971" t="str">
        <f t="shared" si="95"/>
        <v>Valid</v>
      </c>
    </row>
    <row r="972" spans="1:23">
      <c r="A972" t="s">
        <v>1003</v>
      </c>
      <c r="B972" s="2">
        <v>45787</v>
      </c>
      <c r="C972" t="s">
        <v>723</v>
      </c>
      <c r="D972" t="s">
        <v>18</v>
      </c>
      <c r="E972" t="s">
        <v>19</v>
      </c>
      <c r="F972" t="s">
        <v>41</v>
      </c>
      <c r="G972" t="s">
        <v>26</v>
      </c>
      <c r="H972">
        <v>1</v>
      </c>
      <c r="I972">
        <v>1</v>
      </c>
      <c r="J972">
        <v>1</v>
      </c>
      <c r="K972">
        <v>0</v>
      </c>
      <c r="L972">
        <v>0</v>
      </c>
      <c r="M972">
        <v>0</v>
      </c>
      <c r="N972">
        <v>0</v>
      </c>
      <c r="P972">
        <v>83.6</v>
      </c>
      <c r="R972" t="str">
        <f t="shared" si="90"/>
        <v>Unique</v>
      </c>
      <c r="S972" t="str">
        <f t="shared" si="91"/>
        <v>Valid</v>
      </c>
      <c r="T972" t="str">
        <f t="shared" si="92"/>
        <v>Valid</v>
      </c>
      <c r="U972" t="str">
        <f t="shared" si="93"/>
        <v>Valid</v>
      </c>
      <c r="V972" t="str">
        <f t="shared" si="94"/>
        <v>Valid</v>
      </c>
      <c r="W972" t="str">
        <f t="shared" si="95"/>
        <v>Valid</v>
      </c>
    </row>
    <row r="973" spans="1:23">
      <c r="A973" t="s">
        <v>1004</v>
      </c>
      <c r="B973" s="2">
        <v>45769</v>
      </c>
      <c r="C973" t="s">
        <v>723</v>
      </c>
      <c r="D973" t="s">
        <v>28</v>
      </c>
      <c r="E973" t="s">
        <v>24</v>
      </c>
      <c r="F973" t="s">
        <v>29</v>
      </c>
      <c r="G973" t="s">
        <v>30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P973">
        <v>45.8</v>
      </c>
      <c r="R973" t="str">
        <f t="shared" si="90"/>
        <v>Unique</v>
      </c>
      <c r="S973" t="str">
        <f t="shared" si="91"/>
        <v>Valid</v>
      </c>
      <c r="T973" t="str">
        <f t="shared" si="92"/>
        <v>Valid</v>
      </c>
      <c r="U973" t="str">
        <f t="shared" si="93"/>
        <v>Valid</v>
      </c>
      <c r="V973" t="str">
        <f t="shared" si="94"/>
        <v>Valid</v>
      </c>
      <c r="W973" t="str">
        <f t="shared" si="95"/>
        <v>Valid</v>
      </c>
    </row>
    <row r="974" spans="1:23">
      <c r="A974" t="s">
        <v>1005</v>
      </c>
      <c r="B974" s="2">
        <v>45706</v>
      </c>
      <c r="C974" t="s">
        <v>723</v>
      </c>
      <c r="D974" t="s">
        <v>23</v>
      </c>
      <c r="E974" t="s">
        <v>24</v>
      </c>
      <c r="F974" t="s">
        <v>39</v>
      </c>
      <c r="G974" t="s">
        <v>21</v>
      </c>
      <c r="H974">
        <v>1</v>
      </c>
      <c r="I974">
        <v>1</v>
      </c>
      <c r="J974">
        <v>1</v>
      </c>
      <c r="K974">
        <v>0</v>
      </c>
      <c r="L974">
        <v>0</v>
      </c>
      <c r="M974">
        <v>0</v>
      </c>
      <c r="N974">
        <v>0</v>
      </c>
      <c r="P974">
        <v>64.3</v>
      </c>
      <c r="R974" t="str">
        <f t="shared" si="90"/>
        <v>Unique</v>
      </c>
      <c r="S974" t="str">
        <f t="shared" si="91"/>
        <v>Valid</v>
      </c>
      <c r="T974" t="str">
        <f t="shared" si="92"/>
        <v>Valid</v>
      </c>
      <c r="U974" t="str">
        <f t="shared" si="93"/>
        <v>Valid</v>
      </c>
      <c r="V974" t="str">
        <f t="shared" si="94"/>
        <v>Valid</v>
      </c>
      <c r="W974" t="str">
        <f t="shared" si="95"/>
        <v>Valid</v>
      </c>
    </row>
    <row r="975" spans="1:23">
      <c r="A975" t="s">
        <v>1006</v>
      </c>
      <c r="B975" s="2">
        <v>45683</v>
      </c>
      <c r="C975" t="s">
        <v>723</v>
      </c>
      <c r="D975" t="s">
        <v>32</v>
      </c>
      <c r="E975" t="s">
        <v>24</v>
      </c>
      <c r="F975" t="s">
        <v>29</v>
      </c>
      <c r="G975" t="s">
        <v>30</v>
      </c>
      <c r="H975">
        <v>1</v>
      </c>
      <c r="I975">
        <v>1</v>
      </c>
      <c r="J975">
        <v>1</v>
      </c>
      <c r="K975">
        <v>0</v>
      </c>
      <c r="L975">
        <v>0</v>
      </c>
      <c r="M975">
        <v>0</v>
      </c>
      <c r="N975">
        <v>0</v>
      </c>
      <c r="P975">
        <v>80.5</v>
      </c>
      <c r="R975" t="str">
        <f t="shared" si="90"/>
        <v>Unique</v>
      </c>
      <c r="S975" t="str">
        <f t="shared" si="91"/>
        <v>Valid</v>
      </c>
      <c r="T975" t="str">
        <f t="shared" si="92"/>
        <v>Valid</v>
      </c>
      <c r="U975" t="str">
        <f t="shared" si="93"/>
        <v>Valid</v>
      </c>
      <c r="V975" t="str">
        <f t="shared" si="94"/>
        <v>Valid</v>
      </c>
      <c r="W975" t="str">
        <f t="shared" si="95"/>
        <v>Valid</v>
      </c>
    </row>
    <row r="976" spans="1:23">
      <c r="A976" t="s">
        <v>1007</v>
      </c>
      <c r="B976" s="2">
        <v>45775</v>
      </c>
      <c r="C976" t="s">
        <v>723</v>
      </c>
      <c r="D976" t="s">
        <v>18</v>
      </c>
      <c r="E976" t="s">
        <v>24</v>
      </c>
      <c r="F976" t="s">
        <v>25</v>
      </c>
      <c r="G976" t="s">
        <v>26</v>
      </c>
      <c r="H976">
        <v>1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P976">
        <v>46.3</v>
      </c>
      <c r="R976" t="str">
        <f t="shared" si="90"/>
        <v>Unique</v>
      </c>
      <c r="S976" t="str">
        <f t="shared" si="91"/>
        <v>Valid</v>
      </c>
      <c r="T976" t="str">
        <f t="shared" si="92"/>
        <v>Valid</v>
      </c>
      <c r="U976" t="str">
        <f t="shared" si="93"/>
        <v>Valid</v>
      </c>
      <c r="V976" t="str">
        <f t="shared" si="94"/>
        <v>Valid</v>
      </c>
      <c r="W976" t="str">
        <f t="shared" si="95"/>
        <v>Valid</v>
      </c>
    </row>
    <row r="977" spans="1:23">
      <c r="A977" t="s">
        <v>1008</v>
      </c>
      <c r="B977" s="2">
        <v>45749</v>
      </c>
      <c r="C977" t="s">
        <v>723</v>
      </c>
      <c r="D977" t="s">
        <v>32</v>
      </c>
      <c r="E977" t="s">
        <v>19</v>
      </c>
      <c r="F977" t="s">
        <v>20</v>
      </c>
      <c r="G977" t="s">
        <v>21</v>
      </c>
      <c r="H977">
        <v>1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P977">
        <v>71.599999999999994</v>
      </c>
      <c r="R977" t="str">
        <f t="shared" si="90"/>
        <v>Unique</v>
      </c>
      <c r="S977" t="str">
        <f t="shared" si="91"/>
        <v>Valid</v>
      </c>
      <c r="T977" t="str">
        <f t="shared" si="92"/>
        <v>Valid</v>
      </c>
      <c r="U977" t="str">
        <f t="shared" si="93"/>
        <v>Valid</v>
      </c>
      <c r="V977" t="str">
        <f t="shared" si="94"/>
        <v>Valid</v>
      </c>
      <c r="W977" t="str">
        <f t="shared" si="95"/>
        <v>Valid</v>
      </c>
    </row>
    <row r="978" spans="1:23">
      <c r="A978" t="s">
        <v>1009</v>
      </c>
      <c r="B978" s="2">
        <v>45759</v>
      </c>
      <c r="C978" t="s">
        <v>723</v>
      </c>
      <c r="D978" t="s">
        <v>32</v>
      </c>
      <c r="E978" t="s">
        <v>19</v>
      </c>
      <c r="F978" t="s">
        <v>20</v>
      </c>
      <c r="G978" t="s">
        <v>30</v>
      </c>
      <c r="H978">
        <v>1</v>
      </c>
      <c r="I978">
        <v>1</v>
      </c>
      <c r="J978">
        <v>0</v>
      </c>
      <c r="K978">
        <v>0</v>
      </c>
      <c r="L978">
        <v>0</v>
      </c>
      <c r="M978">
        <v>0</v>
      </c>
      <c r="N978">
        <v>0</v>
      </c>
      <c r="P978">
        <v>57.8</v>
      </c>
      <c r="R978" t="str">
        <f t="shared" si="90"/>
        <v>Unique</v>
      </c>
      <c r="S978" t="str">
        <f t="shared" si="91"/>
        <v>Valid</v>
      </c>
      <c r="T978" t="str">
        <f t="shared" si="92"/>
        <v>Valid</v>
      </c>
      <c r="U978" t="str">
        <f t="shared" si="93"/>
        <v>Valid</v>
      </c>
      <c r="V978" t="str">
        <f t="shared" si="94"/>
        <v>Valid</v>
      </c>
      <c r="W978" t="str">
        <f t="shared" si="95"/>
        <v>Valid</v>
      </c>
    </row>
    <row r="979" spans="1:23">
      <c r="A979" t="s">
        <v>1010</v>
      </c>
      <c r="B979" s="2">
        <v>45660</v>
      </c>
      <c r="C979" t="s">
        <v>723</v>
      </c>
      <c r="D979" t="s">
        <v>23</v>
      </c>
      <c r="E979" t="s">
        <v>19</v>
      </c>
      <c r="F979" t="s">
        <v>20</v>
      </c>
      <c r="G979" t="s">
        <v>21</v>
      </c>
      <c r="H979">
        <v>1</v>
      </c>
      <c r="I979">
        <v>1</v>
      </c>
      <c r="J979">
        <v>1</v>
      </c>
      <c r="K979">
        <v>0</v>
      </c>
      <c r="L979">
        <v>0</v>
      </c>
      <c r="M979">
        <v>1</v>
      </c>
      <c r="N979">
        <v>0</v>
      </c>
      <c r="P979">
        <v>57.8</v>
      </c>
      <c r="R979" t="str">
        <f t="shared" si="90"/>
        <v>Unique</v>
      </c>
      <c r="S979" t="str">
        <f t="shared" si="91"/>
        <v>Valid</v>
      </c>
      <c r="T979" t="str">
        <f t="shared" si="92"/>
        <v>Valid</v>
      </c>
      <c r="U979" t="str">
        <f t="shared" si="93"/>
        <v>Valid</v>
      </c>
      <c r="V979" t="str">
        <f t="shared" si="94"/>
        <v>Valid</v>
      </c>
      <c r="W979" t="str">
        <f t="shared" si="95"/>
        <v>Valid</v>
      </c>
    </row>
    <row r="980" spans="1:23">
      <c r="A980" t="s">
        <v>1011</v>
      </c>
      <c r="B980" s="2">
        <v>45785</v>
      </c>
      <c r="C980" t="s">
        <v>723</v>
      </c>
      <c r="D980" t="s">
        <v>18</v>
      </c>
      <c r="E980" t="s">
        <v>24</v>
      </c>
      <c r="F980" t="s">
        <v>29</v>
      </c>
      <c r="G980" t="s">
        <v>26</v>
      </c>
      <c r="H980">
        <v>1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P980">
        <v>38.299999999999997</v>
      </c>
      <c r="R980" t="str">
        <f t="shared" si="90"/>
        <v>Unique</v>
      </c>
      <c r="S980" t="str">
        <f t="shared" si="91"/>
        <v>Valid</v>
      </c>
      <c r="T980" t="str">
        <f t="shared" si="92"/>
        <v>Valid</v>
      </c>
      <c r="U980" t="str">
        <f t="shared" si="93"/>
        <v>Valid</v>
      </c>
      <c r="V980" t="str">
        <f t="shared" si="94"/>
        <v>Valid</v>
      </c>
      <c r="W980" t="str">
        <f t="shared" si="95"/>
        <v>Valid</v>
      </c>
    </row>
    <row r="981" spans="1:23">
      <c r="A981" t="s">
        <v>1012</v>
      </c>
      <c r="B981" s="2">
        <v>45708</v>
      </c>
      <c r="C981" t="s">
        <v>723</v>
      </c>
      <c r="D981" t="s">
        <v>18</v>
      </c>
      <c r="E981" t="s">
        <v>24</v>
      </c>
      <c r="F981" t="s">
        <v>39</v>
      </c>
      <c r="G981" t="s">
        <v>30</v>
      </c>
      <c r="H981">
        <v>1</v>
      </c>
      <c r="I981">
        <v>0</v>
      </c>
      <c r="J981">
        <v>0</v>
      </c>
      <c r="K981">
        <v>0</v>
      </c>
      <c r="L981">
        <v>0</v>
      </c>
      <c r="M981">
        <v>1</v>
      </c>
      <c r="N981">
        <v>0</v>
      </c>
      <c r="P981">
        <v>66.099999999999994</v>
      </c>
      <c r="R981" t="str">
        <f t="shared" si="90"/>
        <v>Unique</v>
      </c>
      <c r="S981" t="str">
        <f t="shared" si="91"/>
        <v>Valid</v>
      </c>
      <c r="T981" t="str">
        <f t="shared" si="92"/>
        <v>Valid</v>
      </c>
      <c r="U981" t="str">
        <f t="shared" si="93"/>
        <v>Valid</v>
      </c>
      <c r="V981" t="str">
        <f t="shared" si="94"/>
        <v>Valid</v>
      </c>
      <c r="W981" t="str">
        <f t="shared" si="95"/>
        <v>Valid</v>
      </c>
    </row>
    <row r="982" spans="1:23">
      <c r="A982" t="s">
        <v>1013</v>
      </c>
      <c r="B982" s="2">
        <v>45733</v>
      </c>
      <c r="C982" t="s">
        <v>723</v>
      </c>
      <c r="D982" t="s">
        <v>18</v>
      </c>
      <c r="E982" t="s">
        <v>19</v>
      </c>
      <c r="F982" t="s">
        <v>29</v>
      </c>
      <c r="G982" t="s">
        <v>30</v>
      </c>
      <c r="H982">
        <v>1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P982">
        <v>66.5</v>
      </c>
      <c r="R982" t="str">
        <f t="shared" si="90"/>
        <v>Unique</v>
      </c>
      <c r="S982" t="str">
        <f t="shared" si="91"/>
        <v>Valid</v>
      </c>
      <c r="T982" t="str">
        <f t="shared" si="92"/>
        <v>Valid</v>
      </c>
      <c r="U982" t="str">
        <f t="shared" si="93"/>
        <v>Valid</v>
      </c>
      <c r="V982" t="str">
        <f t="shared" si="94"/>
        <v>Valid</v>
      </c>
      <c r="W982" t="str">
        <f t="shared" si="95"/>
        <v>Valid</v>
      </c>
    </row>
    <row r="983" spans="1:23">
      <c r="A983" t="s">
        <v>1014</v>
      </c>
      <c r="B983" s="2">
        <v>45757</v>
      </c>
      <c r="C983" t="s">
        <v>723</v>
      </c>
      <c r="D983" t="s">
        <v>32</v>
      </c>
      <c r="E983" t="s">
        <v>19</v>
      </c>
      <c r="F983" t="s">
        <v>20</v>
      </c>
      <c r="G983" t="s">
        <v>26</v>
      </c>
      <c r="H983">
        <v>1</v>
      </c>
      <c r="I983">
        <v>0</v>
      </c>
      <c r="J983">
        <v>0</v>
      </c>
      <c r="K983">
        <v>0</v>
      </c>
      <c r="L983">
        <v>0</v>
      </c>
      <c r="M983">
        <v>3</v>
      </c>
      <c r="N983">
        <v>0</v>
      </c>
      <c r="P983">
        <v>51.5</v>
      </c>
      <c r="R983" t="str">
        <f t="shared" si="90"/>
        <v>Unique</v>
      </c>
      <c r="S983" t="str">
        <f t="shared" si="91"/>
        <v>Valid</v>
      </c>
      <c r="T983" t="str">
        <f t="shared" si="92"/>
        <v>Valid</v>
      </c>
      <c r="U983" t="str">
        <f t="shared" si="93"/>
        <v>Valid</v>
      </c>
      <c r="V983" t="str">
        <f t="shared" si="94"/>
        <v>Valid</v>
      </c>
      <c r="W983" t="str">
        <f t="shared" si="95"/>
        <v>Valid</v>
      </c>
    </row>
    <row r="984" spans="1:23">
      <c r="A984" t="s">
        <v>1015</v>
      </c>
      <c r="B984" s="2">
        <v>45785</v>
      </c>
      <c r="C984" t="s">
        <v>723</v>
      </c>
      <c r="D984" t="s">
        <v>18</v>
      </c>
      <c r="E984" t="s">
        <v>19</v>
      </c>
      <c r="F984" t="s">
        <v>39</v>
      </c>
      <c r="G984" t="s">
        <v>26</v>
      </c>
      <c r="H984">
        <v>1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P984">
        <v>59.9</v>
      </c>
      <c r="R984" t="str">
        <f t="shared" si="90"/>
        <v>Unique</v>
      </c>
      <c r="S984" t="str">
        <f t="shared" si="91"/>
        <v>Valid</v>
      </c>
      <c r="T984" t="str">
        <f t="shared" si="92"/>
        <v>Valid</v>
      </c>
      <c r="U984" t="str">
        <f t="shared" si="93"/>
        <v>Valid</v>
      </c>
      <c r="V984" t="str">
        <f t="shared" si="94"/>
        <v>Valid</v>
      </c>
      <c r="W984" t="str">
        <f t="shared" si="95"/>
        <v>Valid</v>
      </c>
    </row>
    <row r="985" spans="1:23">
      <c r="A985" t="s">
        <v>1016</v>
      </c>
      <c r="B985" s="2">
        <v>45766</v>
      </c>
      <c r="C985" t="s">
        <v>723</v>
      </c>
      <c r="D985" t="s">
        <v>23</v>
      </c>
      <c r="E985" t="s">
        <v>24</v>
      </c>
      <c r="F985" t="s">
        <v>29</v>
      </c>
      <c r="G985" t="s">
        <v>21</v>
      </c>
      <c r="H985">
        <v>1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P985">
        <v>58.8</v>
      </c>
      <c r="R985" t="str">
        <f t="shared" si="90"/>
        <v>Unique</v>
      </c>
      <c r="S985" t="str">
        <f t="shared" si="91"/>
        <v>Valid</v>
      </c>
      <c r="T985" t="str">
        <f t="shared" si="92"/>
        <v>Valid</v>
      </c>
      <c r="U985" t="str">
        <f t="shared" si="93"/>
        <v>Valid</v>
      </c>
      <c r="V985" t="str">
        <f t="shared" si="94"/>
        <v>Valid</v>
      </c>
      <c r="W985" t="str">
        <f t="shared" si="95"/>
        <v>Valid</v>
      </c>
    </row>
    <row r="986" spans="1:23">
      <c r="A986" t="s">
        <v>1017</v>
      </c>
      <c r="B986" s="2">
        <v>45658</v>
      </c>
      <c r="C986" t="s">
        <v>723</v>
      </c>
      <c r="D986" t="s">
        <v>32</v>
      </c>
      <c r="E986" t="s">
        <v>34</v>
      </c>
      <c r="F986" t="s">
        <v>29</v>
      </c>
      <c r="G986" t="s">
        <v>21</v>
      </c>
      <c r="H986">
        <v>1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P986">
        <v>69.599999999999994</v>
      </c>
      <c r="R986" t="str">
        <f t="shared" si="90"/>
        <v>Unique</v>
      </c>
      <c r="S986" t="str">
        <f t="shared" si="91"/>
        <v>Valid</v>
      </c>
      <c r="T986" t="str">
        <f t="shared" si="92"/>
        <v>Valid</v>
      </c>
      <c r="U986" t="str">
        <f t="shared" si="93"/>
        <v>Valid</v>
      </c>
      <c r="V986" t="str">
        <f t="shared" si="94"/>
        <v>Valid</v>
      </c>
      <c r="W986" t="str">
        <f t="shared" si="95"/>
        <v>Valid</v>
      </c>
    </row>
    <row r="987" spans="1:23">
      <c r="A987" t="s">
        <v>1018</v>
      </c>
      <c r="B987" s="2">
        <v>45726</v>
      </c>
      <c r="C987" t="s">
        <v>723</v>
      </c>
      <c r="D987" t="s">
        <v>28</v>
      </c>
      <c r="E987" t="s">
        <v>24</v>
      </c>
      <c r="F987" t="s">
        <v>29</v>
      </c>
      <c r="G987" t="s">
        <v>26</v>
      </c>
      <c r="H987">
        <v>1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P987">
        <v>77.5</v>
      </c>
      <c r="R987" t="str">
        <f t="shared" si="90"/>
        <v>Unique</v>
      </c>
      <c r="S987" t="str">
        <f t="shared" si="91"/>
        <v>Valid</v>
      </c>
      <c r="T987" t="str">
        <f t="shared" si="92"/>
        <v>Valid</v>
      </c>
      <c r="U987" t="str">
        <f t="shared" si="93"/>
        <v>Valid</v>
      </c>
      <c r="V987" t="str">
        <f t="shared" si="94"/>
        <v>Valid</v>
      </c>
      <c r="W987" t="str">
        <f t="shared" si="95"/>
        <v>Valid</v>
      </c>
    </row>
    <row r="988" spans="1:23">
      <c r="A988" t="s">
        <v>1019</v>
      </c>
      <c r="B988" s="2">
        <v>45726</v>
      </c>
      <c r="C988" t="s">
        <v>723</v>
      </c>
      <c r="D988" t="s">
        <v>28</v>
      </c>
      <c r="E988" t="s">
        <v>34</v>
      </c>
      <c r="F988" t="s">
        <v>41</v>
      </c>
      <c r="G988" t="s">
        <v>30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2</v>
      </c>
      <c r="N988">
        <v>0</v>
      </c>
      <c r="P988">
        <v>57.5</v>
      </c>
      <c r="R988" t="str">
        <f t="shared" si="90"/>
        <v>Unique</v>
      </c>
      <c r="S988" t="str">
        <f t="shared" si="91"/>
        <v>Valid</v>
      </c>
      <c r="T988" t="str">
        <f t="shared" si="92"/>
        <v>Valid</v>
      </c>
      <c r="U988" t="str">
        <f t="shared" si="93"/>
        <v>Valid</v>
      </c>
      <c r="V988" t="str">
        <f t="shared" si="94"/>
        <v>Valid</v>
      </c>
      <c r="W988" t="str">
        <f t="shared" si="95"/>
        <v>Valid</v>
      </c>
    </row>
    <row r="989" spans="1:23">
      <c r="A989" t="s">
        <v>1020</v>
      </c>
      <c r="B989" s="2">
        <v>45766</v>
      </c>
      <c r="C989" t="s">
        <v>723</v>
      </c>
      <c r="D989" t="s">
        <v>23</v>
      </c>
      <c r="E989" t="s">
        <v>34</v>
      </c>
      <c r="F989" t="s">
        <v>20</v>
      </c>
      <c r="G989" t="s">
        <v>21</v>
      </c>
      <c r="H989">
        <v>1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P989">
        <v>64.2</v>
      </c>
      <c r="R989" t="str">
        <f t="shared" si="90"/>
        <v>Unique</v>
      </c>
      <c r="S989" t="str">
        <f t="shared" si="91"/>
        <v>Valid</v>
      </c>
      <c r="T989" t="str">
        <f t="shared" si="92"/>
        <v>Valid</v>
      </c>
      <c r="U989" t="str">
        <f t="shared" si="93"/>
        <v>Valid</v>
      </c>
      <c r="V989" t="str">
        <f t="shared" si="94"/>
        <v>Valid</v>
      </c>
      <c r="W989" t="str">
        <f t="shared" si="95"/>
        <v>Valid</v>
      </c>
    </row>
    <row r="990" spans="1:23">
      <c r="A990" t="s">
        <v>1021</v>
      </c>
      <c r="B990" s="2">
        <v>45758</v>
      </c>
      <c r="C990" t="s">
        <v>723</v>
      </c>
      <c r="D990" t="s">
        <v>23</v>
      </c>
      <c r="E990" t="s">
        <v>19</v>
      </c>
      <c r="F990" t="s">
        <v>25</v>
      </c>
      <c r="G990" t="s">
        <v>26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P990">
        <v>60</v>
      </c>
      <c r="R990" t="str">
        <f t="shared" si="90"/>
        <v>Unique</v>
      </c>
      <c r="S990" t="str">
        <f t="shared" si="91"/>
        <v>Valid</v>
      </c>
      <c r="T990" t="str">
        <f t="shared" si="92"/>
        <v>Valid</v>
      </c>
      <c r="U990" t="str">
        <f t="shared" si="93"/>
        <v>Valid</v>
      </c>
      <c r="V990" t="str">
        <f t="shared" si="94"/>
        <v>Valid</v>
      </c>
      <c r="W990" t="str">
        <f t="shared" si="95"/>
        <v>Valid</v>
      </c>
    </row>
    <row r="991" spans="1:23">
      <c r="A991" t="s">
        <v>1022</v>
      </c>
      <c r="B991" s="2">
        <v>45757</v>
      </c>
      <c r="C991" t="s">
        <v>723</v>
      </c>
      <c r="D991" t="s">
        <v>28</v>
      </c>
      <c r="E991" t="s">
        <v>24</v>
      </c>
      <c r="F991" t="s">
        <v>25</v>
      </c>
      <c r="G991" t="s">
        <v>21</v>
      </c>
      <c r="H991">
        <v>1</v>
      </c>
      <c r="I991">
        <v>0</v>
      </c>
      <c r="J991">
        <v>0</v>
      </c>
      <c r="K991">
        <v>0</v>
      </c>
      <c r="L991">
        <v>0</v>
      </c>
      <c r="M991">
        <v>1</v>
      </c>
      <c r="N991">
        <v>0</v>
      </c>
      <c r="P991">
        <v>43.7</v>
      </c>
      <c r="R991" t="str">
        <f t="shared" si="90"/>
        <v>Unique</v>
      </c>
      <c r="S991" t="str">
        <f t="shared" si="91"/>
        <v>Valid</v>
      </c>
      <c r="T991" t="str">
        <f t="shared" si="92"/>
        <v>Valid</v>
      </c>
      <c r="U991" t="str">
        <f t="shared" si="93"/>
        <v>Valid</v>
      </c>
      <c r="V991" t="str">
        <f t="shared" si="94"/>
        <v>Valid</v>
      </c>
      <c r="W991" t="str">
        <f t="shared" si="95"/>
        <v>Valid</v>
      </c>
    </row>
    <row r="992" spans="1:23">
      <c r="A992" t="s">
        <v>1023</v>
      </c>
      <c r="B992" s="2">
        <v>45670</v>
      </c>
      <c r="C992" t="s">
        <v>723</v>
      </c>
      <c r="D992" t="s">
        <v>23</v>
      </c>
      <c r="E992" t="s">
        <v>19</v>
      </c>
      <c r="F992" t="s">
        <v>41</v>
      </c>
      <c r="G992" t="s">
        <v>26</v>
      </c>
      <c r="H992">
        <v>1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P992">
        <v>64.900000000000006</v>
      </c>
      <c r="R992" t="str">
        <f t="shared" si="90"/>
        <v>Unique</v>
      </c>
      <c r="S992" t="str">
        <f t="shared" si="91"/>
        <v>Valid</v>
      </c>
      <c r="T992" t="str">
        <f t="shared" si="92"/>
        <v>Valid</v>
      </c>
      <c r="U992" t="str">
        <f t="shared" si="93"/>
        <v>Valid</v>
      </c>
      <c r="V992" t="str">
        <f t="shared" si="94"/>
        <v>Valid</v>
      </c>
      <c r="W992" t="str">
        <f t="shared" si="95"/>
        <v>Valid</v>
      </c>
    </row>
    <row r="993" spans="1:23">
      <c r="A993" t="s">
        <v>1024</v>
      </c>
      <c r="B993" s="2">
        <v>45744</v>
      </c>
      <c r="C993" t="s">
        <v>723</v>
      </c>
      <c r="D993" t="s">
        <v>32</v>
      </c>
      <c r="E993" t="s">
        <v>19</v>
      </c>
      <c r="F993" t="s">
        <v>25</v>
      </c>
      <c r="G993" t="s">
        <v>26</v>
      </c>
      <c r="H993">
        <v>1</v>
      </c>
      <c r="I993">
        <v>1</v>
      </c>
      <c r="J993">
        <v>0</v>
      </c>
      <c r="K993">
        <v>0</v>
      </c>
      <c r="L993">
        <v>0</v>
      </c>
      <c r="M993">
        <v>0</v>
      </c>
      <c r="N993">
        <v>0</v>
      </c>
      <c r="P993">
        <v>45.5</v>
      </c>
      <c r="R993" t="str">
        <f t="shared" si="90"/>
        <v>Unique</v>
      </c>
      <c r="S993" t="str">
        <f t="shared" si="91"/>
        <v>Valid</v>
      </c>
      <c r="T993" t="str">
        <f t="shared" si="92"/>
        <v>Valid</v>
      </c>
      <c r="U993" t="str">
        <f t="shared" si="93"/>
        <v>Valid</v>
      </c>
      <c r="V993" t="str">
        <f t="shared" si="94"/>
        <v>Valid</v>
      </c>
      <c r="W993" t="str">
        <f t="shared" si="95"/>
        <v>Valid</v>
      </c>
    </row>
    <row r="994" spans="1:23">
      <c r="A994" t="s">
        <v>1025</v>
      </c>
      <c r="B994" s="2">
        <v>45686</v>
      </c>
      <c r="C994" t="s">
        <v>723</v>
      </c>
      <c r="D994" t="s">
        <v>28</v>
      </c>
      <c r="E994" t="s">
        <v>24</v>
      </c>
      <c r="F994" t="s">
        <v>29</v>
      </c>
      <c r="G994" t="s">
        <v>26</v>
      </c>
      <c r="H994">
        <v>1</v>
      </c>
      <c r="I994">
        <v>1</v>
      </c>
      <c r="J994">
        <v>1</v>
      </c>
      <c r="K994">
        <v>1</v>
      </c>
      <c r="L994">
        <v>1772.97</v>
      </c>
      <c r="M994">
        <v>0</v>
      </c>
      <c r="N994">
        <v>0</v>
      </c>
      <c r="O994">
        <v>8</v>
      </c>
      <c r="P994">
        <v>61.2</v>
      </c>
      <c r="R994" t="str">
        <f t="shared" si="90"/>
        <v>Unique</v>
      </c>
      <c r="S994" t="str">
        <f t="shared" si="91"/>
        <v>Valid</v>
      </c>
      <c r="T994" t="str">
        <f t="shared" si="92"/>
        <v>Valid</v>
      </c>
      <c r="U994" t="str">
        <f t="shared" si="93"/>
        <v>Valid</v>
      </c>
      <c r="V994" t="str">
        <f t="shared" si="94"/>
        <v>Valid</v>
      </c>
      <c r="W994" t="str">
        <f t="shared" si="95"/>
        <v>Valid</v>
      </c>
    </row>
    <row r="995" spans="1:23">
      <c r="A995" t="s">
        <v>1026</v>
      </c>
      <c r="B995" s="2">
        <v>45743</v>
      </c>
      <c r="C995" t="s">
        <v>723</v>
      </c>
      <c r="D995" t="s">
        <v>32</v>
      </c>
      <c r="E995" t="s">
        <v>24</v>
      </c>
      <c r="F995" t="s">
        <v>39</v>
      </c>
      <c r="G995" t="s">
        <v>26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P995">
        <v>87.8</v>
      </c>
      <c r="R995" t="str">
        <f t="shared" si="90"/>
        <v>Unique</v>
      </c>
      <c r="S995" t="str">
        <f t="shared" si="91"/>
        <v>Valid</v>
      </c>
      <c r="T995" t="str">
        <f t="shared" si="92"/>
        <v>Valid</v>
      </c>
      <c r="U995" t="str">
        <f t="shared" si="93"/>
        <v>Valid</v>
      </c>
      <c r="V995" t="str">
        <f t="shared" si="94"/>
        <v>Valid</v>
      </c>
      <c r="W995" t="str">
        <f t="shared" si="95"/>
        <v>Valid</v>
      </c>
    </row>
    <row r="996" spans="1:23">
      <c r="A996" t="s">
        <v>1027</v>
      </c>
      <c r="B996" s="2">
        <v>45736</v>
      </c>
      <c r="C996" t="s">
        <v>723</v>
      </c>
      <c r="D996" t="s">
        <v>28</v>
      </c>
      <c r="E996" t="s">
        <v>34</v>
      </c>
      <c r="F996" t="s">
        <v>41</v>
      </c>
      <c r="G996" t="s">
        <v>26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P996">
        <v>86.4</v>
      </c>
      <c r="R996" t="str">
        <f t="shared" si="90"/>
        <v>Unique</v>
      </c>
      <c r="S996" t="str">
        <f t="shared" si="91"/>
        <v>Valid</v>
      </c>
      <c r="T996" t="str">
        <f t="shared" si="92"/>
        <v>Valid</v>
      </c>
      <c r="U996" t="str">
        <f t="shared" si="93"/>
        <v>Valid</v>
      </c>
      <c r="V996" t="str">
        <f t="shared" si="94"/>
        <v>Valid</v>
      </c>
      <c r="W996" t="str">
        <f t="shared" si="95"/>
        <v>Valid</v>
      </c>
    </row>
    <row r="997" spans="1:23">
      <c r="A997" t="s">
        <v>1028</v>
      </c>
      <c r="B997" s="2">
        <v>45666</v>
      </c>
      <c r="C997" t="s">
        <v>723</v>
      </c>
      <c r="D997" t="s">
        <v>18</v>
      </c>
      <c r="E997" t="s">
        <v>24</v>
      </c>
      <c r="F997" t="s">
        <v>29</v>
      </c>
      <c r="G997" t="s">
        <v>21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1</v>
      </c>
      <c r="N997">
        <v>0</v>
      </c>
      <c r="P997">
        <v>71.400000000000006</v>
      </c>
      <c r="R997" t="str">
        <f t="shared" si="90"/>
        <v>Unique</v>
      </c>
      <c r="S997" t="str">
        <f t="shared" si="91"/>
        <v>Valid</v>
      </c>
      <c r="T997" t="str">
        <f t="shared" si="92"/>
        <v>Valid</v>
      </c>
      <c r="U997" t="str">
        <f t="shared" si="93"/>
        <v>Valid</v>
      </c>
      <c r="V997" t="str">
        <f t="shared" si="94"/>
        <v>Valid</v>
      </c>
      <c r="W997" t="str">
        <f t="shared" si="95"/>
        <v>Valid</v>
      </c>
    </row>
    <row r="998" spans="1:23">
      <c r="A998" t="s">
        <v>1029</v>
      </c>
      <c r="B998" s="2">
        <v>45772</v>
      </c>
      <c r="C998" t="s">
        <v>723</v>
      </c>
      <c r="D998" t="s">
        <v>23</v>
      </c>
      <c r="E998" t="s">
        <v>24</v>
      </c>
      <c r="F998" t="s">
        <v>41</v>
      </c>
      <c r="G998" t="s">
        <v>26</v>
      </c>
      <c r="H998">
        <v>1</v>
      </c>
      <c r="I998">
        <v>1</v>
      </c>
      <c r="J998">
        <v>1</v>
      </c>
      <c r="K998">
        <v>1</v>
      </c>
      <c r="L998">
        <v>218.66</v>
      </c>
      <c r="M998">
        <v>0</v>
      </c>
      <c r="N998">
        <v>1</v>
      </c>
      <c r="O998">
        <v>8</v>
      </c>
      <c r="P998">
        <v>72.2</v>
      </c>
      <c r="R998" t="str">
        <f t="shared" si="90"/>
        <v>Unique</v>
      </c>
      <c r="S998" t="str">
        <f t="shared" si="91"/>
        <v>Valid</v>
      </c>
      <c r="T998" t="str">
        <f t="shared" si="92"/>
        <v>Valid</v>
      </c>
      <c r="U998" t="str">
        <f t="shared" si="93"/>
        <v>Valid</v>
      </c>
      <c r="V998" t="str">
        <f t="shared" si="94"/>
        <v>Valid</v>
      </c>
      <c r="W998" t="str">
        <f t="shared" si="95"/>
        <v>Valid</v>
      </c>
    </row>
    <row r="999" spans="1:23">
      <c r="A999" t="s">
        <v>1030</v>
      </c>
      <c r="B999" s="2">
        <v>45758</v>
      </c>
      <c r="C999" t="s">
        <v>723</v>
      </c>
      <c r="D999" t="s">
        <v>32</v>
      </c>
      <c r="E999" t="s">
        <v>19</v>
      </c>
      <c r="F999" t="s">
        <v>41</v>
      </c>
      <c r="G999" t="s">
        <v>26</v>
      </c>
      <c r="H999">
        <v>1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P999">
        <v>51.9</v>
      </c>
      <c r="R999" t="str">
        <f t="shared" si="90"/>
        <v>Unique</v>
      </c>
      <c r="S999" t="str">
        <f t="shared" si="91"/>
        <v>Valid</v>
      </c>
      <c r="T999" t="str">
        <f t="shared" si="92"/>
        <v>Valid</v>
      </c>
      <c r="U999" t="str">
        <f t="shared" si="93"/>
        <v>Valid</v>
      </c>
      <c r="V999" t="str">
        <f t="shared" si="94"/>
        <v>Valid</v>
      </c>
      <c r="W999" t="str">
        <f t="shared" si="95"/>
        <v>Valid</v>
      </c>
    </row>
    <row r="1000" spans="1:23">
      <c r="A1000" t="s">
        <v>1031</v>
      </c>
      <c r="B1000" s="2">
        <v>45693</v>
      </c>
      <c r="C1000" t="s">
        <v>723</v>
      </c>
      <c r="D1000" t="s">
        <v>28</v>
      </c>
      <c r="E1000" t="s">
        <v>24</v>
      </c>
      <c r="F1000" t="s">
        <v>41</v>
      </c>
      <c r="G1000" t="s">
        <v>21</v>
      </c>
      <c r="H1000">
        <v>1</v>
      </c>
      <c r="I1000">
        <v>1</v>
      </c>
      <c r="J1000">
        <v>1</v>
      </c>
      <c r="K1000">
        <v>0</v>
      </c>
      <c r="L1000">
        <v>0</v>
      </c>
      <c r="M1000">
        <v>0</v>
      </c>
      <c r="N1000">
        <v>0</v>
      </c>
      <c r="P1000">
        <v>70.3</v>
      </c>
      <c r="R1000" t="str">
        <f t="shared" si="90"/>
        <v>Unique</v>
      </c>
      <c r="S1000" t="str">
        <f t="shared" si="91"/>
        <v>Valid</v>
      </c>
      <c r="T1000" t="str">
        <f t="shared" si="92"/>
        <v>Valid</v>
      </c>
      <c r="U1000" t="str">
        <f t="shared" si="93"/>
        <v>Valid</v>
      </c>
      <c r="V1000" t="str">
        <f t="shared" si="94"/>
        <v>Valid</v>
      </c>
      <c r="W1000" t="str">
        <f t="shared" si="95"/>
        <v>Valid</v>
      </c>
    </row>
    <row r="1001" spans="1:23">
      <c r="A1001" t="s">
        <v>1032</v>
      </c>
      <c r="B1001" s="2">
        <v>45744</v>
      </c>
      <c r="C1001" t="s">
        <v>723</v>
      </c>
      <c r="D1001" t="s">
        <v>32</v>
      </c>
      <c r="E1001" t="s">
        <v>24</v>
      </c>
      <c r="F1001" t="s">
        <v>41</v>
      </c>
      <c r="G1001" t="s">
        <v>30</v>
      </c>
      <c r="H1001">
        <v>1</v>
      </c>
      <c r="I1001">
        <v>0</v>
      </c>
      <c r="J1001">
        <v>0</v>
      </c>
      <c r="K1001">
        <v>0</v>
      </c>
      <c r="L1001">
        <v>0</v>
      </c>
      <c r="M1001">
        <v>1</v>
      </c>
      <c r="N1001">
        <v>0</v>
      </c>
      <c r="P1001">
        <v>49.2</v>
      </c>
      <c r="R1001" t="str">
        <f t="shared" si="90"/>
        <v>Unique</v>
      </c>
      <c r="S1001" t="str">
        <f t="shared" si="91"/>
        <v>Valid</v>
      </c>
      <c r="T1001" t="str">
        <f t="shared" si="92"/>
        <v>Valid</v>
      </c>
      <c r="U1001" t="str">
        <f t="shared" si="93"/>
        <v>Valid</v>
      </c>
      <c r="V1001" t="str">
        <f t="shared" si="94"/>
        <v>Valid</v>
      </c>
      <c r="W1001" t="str">
        <f t="shared" si="95"/>
        <v>Valid</v>
      </c>
    </row>
    <row r="1002" spans="1:23">
      <c r="A1002" t="s">
        <v>1033</v>
      </c>
      <c r="B1002" s="2">
        <v>45791</v>
      </c>
      <c r="C1002" t="s">
        <v>723</v>
      </c>
      <c r="D1002" t="s">
        <v>32</v>
      </c>
      <c r="E1002" t="s">
        <v>24</v>
      </c>
      <c r="F1002" t="s">
        <v>39</v>
      </c>
      <c r="G1002" t="s">
        <v>26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P1002">
        <v>52.2</v>
      </c>
      <c r="R1002" t="str">
        <f t="shared" si="90"/>
        <v>Unique</v>
      </c>
      <c r="S1002" t="str">
        <f t="shared" si="91"/>
        <v>Valid</v>
      </c>
      <c r="T1002" t="str">
        <f t="shared" si="92"/>
        <v>Valid</v>
      </c>
      <c r="U1002" t="str">
        <f t="shared" si="93"/>
        <v>Valid</v>
      </c>
      <c r="V1002" t="str">
        <f t="shared" si="94"/>
        <v>Valid</v>
      </c>
      <c r="W1002" t="str">
        <f t="shared" si="95"/>
        <v>Valid</v>
      </c>
    </row>
    <row r="1003" spans="1:23">
      <c r="A1003" t="s">
        <v>1034</v>
      </c>
      <c r="B1003" s="2">
        <v>45726</v>
      </c>
      <c r="C1003" t="s">
        <v>723</v>
      </c>
      <c r="D1003" t="s">
        <v>28</v>
      </c>
      <c r="E1003" t="s">
        <v>24</v>
      </c>
      <c r="F1003" t="s">
        <v>29</v>
      </c>
      <c r="G1003" t="s">
        <v>21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1</v>
      </c>
      <c r="N1003">
        <v>0</v>
      </c>
      <c r="P1003">
        <v>62.6</v>
      </c>
      <c r="R1003" t="str">
        <f t="shared" si="90"/>
        <v>Unique</v>
      </c>
      <c r="S1003" t="str">
        <f t="shared" si="91"/>
        <v>Valid</v>
      </c>
      <c r="T1003" t="str">
        <f t="shared" si="92"/>
        <v>Valid</v>
      </c>
      <c r="U1003" t="str">
        <f t="shared" si="93"/>
        <v>Valid</v>
      </c>
      <c r="V1003" t="str">
        <f t="shared" si="94"/>
        <v>Valid</v>
      </c>
      <c r="W1003" t="str">
        <f t="shared" si="95"/>
        <v>Valid</v>
      </c>
    </row>
    <row r="1004" spans="1:23">
      <c r="A1004" t="s">
        <v>1035</v>
      </c>
      <c r="B1004" s="2">
        <v>45756</v>
      </c>
      <c r="C1004" t="s">
        <v>723</v>
      </c>
      <c r="D1004" t="s">
        <v>28</v>
      </c>
      <c r="E1004" t="s">
        <v>19</v>
      </c>
      <c r="F1004" t="s">
        <v>29</v>
      </c>
      <c r="G1004" t="s">
        <v>26</v>
      </c>
      <c r="H1004">
        <v>1</v>
      </c>
      <c r="I1004">
        <v>1</v>
      </c>
      <c r="J1004">
        <v>0</v>
      </c>
      <c r="K1004">
        <v>0</v>
      </c>
      <c r="L1004">
        <v>0</v>
      </c>
      <c r="M1004">
        <v>0</v>
      </c>
      <c r="N1004">
        <v>0</v>
      </c>
      <c r="P1004">
        <v>100</v>
      </c>
      <c r="R1004" t="str">
        <f t="shared" si="90"/>
        <v>Unique</v>
      </c>
      <c r="S1004" t="str">
        <f t="shared" si="91"/>
        <v>Valid</v>
      </c>
      <c r="T1004" t="str">
        <f t="shared" si="92"/>
        <v>Valid</v>
      </c>
      <c r="U1004" t="str">
        <f t="shared" si="93"/>
        <v>Valid</v>
      </c>
      <c r="V1004" t="str">
        <f t="shared" si="94"/>
        <v>Valid</v>
      </c>
      <c r="W1004" t="str">
        <f t="shared" si="95"/>
        <v>Valid</v>
      </c>
    </row>
    <row r="1005" spans="1:23">
      <c r="A1005" t="s">
        <v>1036</v>
      </c>
      <c r="B1005" s="2">
        <v>45701</v>
      </c>
      <c r="C1005" t="s">
        <v>723</v>
      </c>
      <c r="D1005" t="s">
        <v>18</v>
      </c>
      <c r="E1005" t="s">
        <v>24</v>
      </c>
      <c r="F1005" t="s">
        <v>39</v>
      </c>
      <c r="G1005" t="s">
        <v>21</v>
      </c>
      <c r="H1005">
        <v>1</v>
      </c>
      <c r="I1005">
        <v>1</v>
      </c>
      <c r="J1005">
        <v>1</v>
      </c>
      <c r="K1005">
        <v>0</v>
      </c>
      <c r="L1005">
        <v>0</v>
      </c>
      <c r="M1005">
        <v>2</v>
      </c>
      <c r="N1005">
        <v>0</v>
      </c>
      <c r="P1005">
        <v>45.9</v>
      </c>
      <c r="R1005" t="str">
        <f t="shared" si="90"/>
        <v>Unique</v>
      </c>
      <c r="S1005" t="str">
        <f t="shared" si="91"/>
        <v>Valid</v>
      </c>
      <c r="T1005" t="str">
        <f t="shared" si="92"/>
        <v>Valid</v>
      </c>
      <c r="U1005" t="str">
        <f t="shared" si="93"/>
        <v>Valid</v>
      </c>
      <c r="V1005" t="str">
        <f t="shared" si="94"/>
        <v>Valid</v>
      </c>
      <c r="W1005" t="str">
        <f t="shared" si="95"/>
        <v>Valid</v>
      </c>
    </row>
    <row r="1006" spans="1:23">
      <c r="A1006" t="s">
        <v>1037</v>
      </c>
      <c r="B1006" s="2">
        <v>45780</v>
      </c>
      <c r="C1006" t="s">
        <v>723</v>
      </c>
      <c r="D1006" t="s">
        <v>28</v>
      </c>
      <c r="E1006" t="s">
        <v>24</v>
      </c>
      <c r="F1006" t="s">
        <v>20</v>
      </c>
      <c r="G1006" t="s">
        <v>26</v>
      </c>
      <c r="H1006">
        <v>1</v>
      </c>
      <c r="I1006">
        <v>1</v>
      </c>
      <c r="J1006">
        <v>1</v>
      </c>
      <c r="K1006">
        <v>0</v>
      </c>
      <c r="L1006">
        <v>0</v>
      </c>
      <c r="M1006">
        <v>0</v>
      </c>
      <c r="N1006">
        <v>0</v>
      </c>
      <c r="P1006">
        <v>80.7</v>
      </c>
      <c r="R1006" t="str">
        <f t="shared" si="90"/>
        <v>Unique</v>
      </c>
      <c r="S1006" t="str">
        <f t="shared" si="91"/>
        <v>Valid</v>
      </c>
      <c r="T1006" t="str">
        <f t="shared" si="92"/>
        <v>Valid</v>
      </c>
      <c r="U1006" t="str">
        <f t="shared" si="93"/>
        <v>Valid</v>
      </c>
      <c r="V1006" t="str">
        <f t="shared" si="94"/>
        <v>Valid</v>
      </c>
      <c r="W1006" t="str">
        <f t="shared" si="95"/>
        <v>Valid</v>
      </c>
    </row>
    <row r="1007" spans="1:23">
      <c r="A1007" t="s">
        <v>1038</v>
      </c>
      <c r="B1007" s="2">
        <v>45763</v>
      </c>
      <c r="C1007" t="s">
        <v>723</v>
      </c>
      <c r="D1007" t="s">
        <v>32</v>
      </c>
      <c r="E1007" t="s">
        <v>19</v>
      </c>
      <c r="F1007" t="s">
        <v>39</v>
      </c>
      <c r="G1007" t="s">
        <v>30</v>
      </c>
      <c r="H1007">
        <v>1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P1007">
        <v>51.9</v>
      </c>
      <c r="R1007" t="str">
        <f t="shared" si="90"/>
        <v>Unique</v>
      </c>
      <c r="S1007" t="str">
        <f t="shared" si="91"/>
        <v>Valid</v>
      </c>
      <c r="T1007" t="str">
        <f t="shared" si="92"/>
        <v>Valid</v>
      </c>
      <c r="U1007" t="str">
        <f t="shared" si="93"/>
        <v>Valid</v>
      </c>
      <c r="V1007" t="str">
        <f t="shared" si="94"/>
        <v>Valid</v>
      </c>
      <c r="W1007" t="str">
        <f t="shared" si="95"/>
        <v>Valid</v>
      </c>
    </row>
    <row r="1008" spans="1:23">
      <c r="A1008" t="s">
        <v>1039</v>
      </c>
      <c r="B1008" s="2">
        <v>45777</v>
      </c>
      <c r="C1008" t="s">
        <v>723</v>
      </c>
      <c r="D1008" t="s">
        <v>18</v>
      </c>
      <c r="E1008" t="s">
        <v>24</v>
      </c>
      <c r="F1008" t="s">
        <v>29</v>
      </c>
      <c r="G1008" t="s">
        <v>30</v>
      </c>
      <c r="H1008">
        <v>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P1008">
        <v>68.900000000000006</v>
      </c>
      <c r="R1008" t="str">
        <f t="shared" si="90"/>
        <v>Unique</v>
      </c>
      <c r="S1008" t="str">
        <f t="shared" si="91"/>
        <v>Valid</v>
      </c>
      <c r="T1008" t="str">
        <f t="shared" si="92"/>
        <v>Valid</v>
      </c>
      <c r="U1008" t="str">
        <f t="shared" si="93"/>
        <v>Valid</v>
      </c>
      <c r="V1008" t="str">
        <f t="shared" si="94"/>
        <v>Valid</v>
      </c>
      <c r="W1008" t="str">
        <f t="shared" si="95"/>
        <v>Valid</v>
      </c>
    </row>
    <row r="1009" spans="1:23">
      <c r="A1009" t="s">
        <v>1040</v>
      </c>
      <c r="B1009" s="2">
        <v>45706</v>
      </c>
      <c r="C1009" t="s">
        <v>723</v>
      </c>
      <c r="D1009" t="s">
        <v>23</v>
      </c>
      <c r="E1009" t="s">
        <v>19</v>
      </c>
      <c r="F1009" t="s">
        <v>25</v>
      </c>
      <c r="G1009" t="s">
        <v>26</v>
      </c>
      <c r="H1009">
        <v>1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P1009">
        <v>66</v>
      </c>
      <c r="R1009" t="str">
        <f t="shared" si="90"/>
        <v>Unique</v>
      </c>
      <c r="S1009" t="str">
        <f t="shared" si="91"/>
        <v>Valid</v>
      </c>
      <c r="T1009" t="str">
        <f t="shared" si="92"/>
        <v>Valid</v>
      </c>
      <c r="U1009" t="str">
        <f t="shared" si="93"/>
        <v>Valid</v>
      </c>
      <c r="V1009" t="str">
        <f t="shared" si="94"/>
        <v>Valid</v>
      </c>
      <c r="W1009" t="str">
        <f t="shared" si="95"/>
        <v>Valid</v>
      </c>
    </row>
    <row r="1010" spans="1:23">
      <c r="A1010" t="s">
        <v>1041</v>
      </c>
      <c r="B1010" s="2">
        <v>45799</v>
      </c>
      <c r="C1010" t="s">
        <v>723</v>
      </c>
      <c r="D1010" t="s">
        <v>23</v>
      </c>
      <c r="E1010" t="s">
        <v>19</v>
      </c>
      <c r="F1010" t="s">
        <v>39</v>
      </c>
      <c r="G1010" t="s">
        <v>21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P1010">
        <v>63.1</v>
      </c>
      <c r="R1010" t="str">
        <f t="shared" si="90"/>
        <v>Unique</v>
      </c>
      <c r="S1010" t="str">
        <f t="shared" si="91"/>
        <v>Valid</v>
      </c>
      <c r="T1010" t="str">
        <f t="shared" si="92"/>
        <v>Valid</v>
      </c>
      <c r="U1010" t="str">
        <f t="shared" si="93"/>
        <v>Valid</v>
      </c>
      <c r="V1010" t="str">
        <f t="shared" si="94"/>
        <v>Valid</v>
      </c>
      <c r="W1010" t="str">
        <f t="shared" si="95"/>
        <v>Valid</v>
      </c>
    </row>
    <row r="1011" spans="1:23">
      <c r="A1011" t="s">
        <v>1042</v>
      </c>
      <c r="B1011" s="2">
        <v>45798</v>
      </c>
      <c r="C1011" t="s">
        <v>723</v>
      </c>
      <c r="D1011" t="s">
        <v>32</v>
      </c>
      <c r="E1011" t="s">
        <v>19</v>
      </c>
      <c r="F1011" t="s">
        <v>25</v>
      </c>
      <c r="G1011" t="s">
        <v>26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P1011">
        <v>56</v>
      </c>
      <c r="R1011" t="str">
        <f t="shared" si="90"/>
        <v>Unique</v>
      </c>
      <c r="S1011" t="str">
        <f t="shared" si="91"/>
        <v>Valid</v>
      </c>
      <c r="T1011" t="str">
        <f t="shared" si="92"/>
        <v>Valid</v>
      </c>
      <c r="U1011" t="str">
        <f t="shared" si="93"/>
        <v>Valid</v>
      </c>
      <c r="V1011" t="str">
        <f t="shared" si="94"/>
        <v>Valid</v>
      </c>
      <c r="W1011" t="str">
        <f t="shared" si="95"/>
        <v>Valid</v>
      </c>
    </row>
    <row r="1012" spans="1:23">
      <c r="A1012" t="s">
        <v>1043</v>
      </c>
      <c r="B1012" s="2">
        <v>45757</v>
      </c>
      <c r="C1012" t="s">
        <v>723</v>
      </c>
      <c r="D1012" t="s">
        <v>28</v>
      </c>
      <c r="E1012" t="s">
        <v>19</v>
      </c>
      <c r="F1012" t="s">
        <v>25</v>
      </c>
      <c r="G1012" t="s">
        <v>26</v>
      </c>
      <c r="H1012">
        <v>1</v>
      </c>
      <c r="I1012">
        <v>0</v>
      </c>
      <c r="J1012">
        <v>0</v>
      </c>
      <c r="K1012">
        <v>0</v>
      </c>
      <c r="L1012">
        <v>0</v>
      </c>
      <c r="M1012">
        <v>1</v>
      </c>
      <c r="N1012">
        <v>0</v>
      </c>
      <c r="P1012">
        <v>65.7</v>
      </c>
      <c r="R1012" t="str">
        <f t="shared" si="90"/>
        <v>Unique</v>
      </c>
      <c r="S1012" t="str">
        <f t="shared" si="91"/>
        <v>Valid</v>
      </c>
      <c r="T1012" t="str">
        <f t="shared" si="92"/>
        <v>Valid</v>
      </c>
      <c r="U1012" t="str">
        <f t="shared" si="93"/>
        <v>Valid</v>
      </c>
      <c r="V1012" t="str">
        <f t="shared" si="94"/>
        <v>Valid</v>
      </c>
      <c r="W1012" t="str">
        <f t="shared" si="95"/>
        <v>Valid</v>
      </c>
    </row>
    <row r="1013" spans="1:23">
      <c r="A1013" t="s">
        <v>1044</v>
      </c>
      <c r="B1013" s="2">
        <v>45664</v>
      </c>
      <c r="C1013" t="s">
        <v>723</v>
      </c>
      <c r="D1013" t="s">
        <v>18</v>
      </c>
      <c r="E1013" t="s">
        <v>19</v>
      </c>
      <c r="F1013" t="s">
        <v>25</v>
      </c>
      <c r="G1013" t="s">
        <v>30</v>
      </c>
      <c r="H1013">
        <v>1</v>
      </c>
      <c r="I1013">
        <v>1</v>
      </c>
      <c r="J1013">
        <v>1</v>
      </c>
      <c r="K1013">
        <v>1</v>
      </c>
      <c r="L1013">
        <v>1938.31</v>
      </c>
      <c r="M1013">
        <v>1</v>
      </c>
      <c r="N1013">
        <v>0</v>
      </c>
      <c r="O1013">
        <v>9</v>
      </c>
      <c r="P1013">
        <v>60.9</v>
      </c>
      <c r="R1013" t="str">
        <f t="shared" si="90"/>
        <v>Unique</v>
      </c>
      <c r="S1013" t="str">
        <f t="shared" si="91"/>
        <v>Valid</v>
      </c>
      <c r="T1013" t="str">
        <f t="shared" si="92"/>
        <v>Valid</v>
      </c>
      <c r="U1013" t="str">
        <f t="shared" si="93"/>
        <v>Valid</v>
      </c>
      <c r="V1013" t="str">
        <f t="shared" si="94"/>
        <v>Valid</v>
      </c>
      <c r="W1013" t="str">
        <f t="shared" si="95"/>
        <v>Valid</v>
      </c>
    </row>
    <row r="1014" spans="1:23">
      <c r="A1014" t="s">
        <v>1045</v>
      </c>
      <c r="B1014" s="2">
        <v>45691</v>
      </c>
      <c r="C1014" t="s">
        <v>723</v>
      </c>
      <c r="D1014" t="s">
        <v>32</v>
      </c>
      <c r="E1014" t="s">
        <v>19</v>
      </c>
      <c r="F1014" t="s">
        <v>41</v>
      </c>
      <c r="G1014" t="s">
        <v>26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P1014">
        <v>45.5</v>
      </c>
      <c r="R1014" t="str">
        <f t="shared" si="90"/>
        <v>Unique</v>
      </c>
      <c r="S1014" t="str">
        <f t="shared" si="91"/>
        <v>Valid</v>
      </c>
      <c r="T1014" t="str">
        <f t="shared" si="92"/>
        <v>Valid</v>
      </c>
      <c r="U1014" t="str">
        <f t="shared" si="93"/>
        <v>Valid</v>
      </c>
      <c r="V1014" t="str">
        <f t="shared" si="94"/>
        <v>Valid</v>
      </c>
      <c r="W1014" t="str">
        <f t="shared" si="95"/>
        <v>Valid</v>
      </c>
    </row>
    <row r="1015" spans="1:23">
      <c r="A1015" t="s">
        <v>1046</v>
      </c>
      <c r="B1015" s="2">
        <v>45795</v>
      </c>
      <c r="C1015" t="s">
        <v>723</v>
      </c>
      <c r="D1015" t="s">
        <v>18</v>
      </c>
      <c r="E1015" t="s">
        <v>24</v>
      </c>
      <c r="F1015" t="s">
        <v>29</v>
      </c>
      <c r="G1015" t="s">
        <v>26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P1015">
        <v>50</v>
      </c>
      <c r="R1015" t="str">
        <f t="shared" si="90"/>
        <v>Unique</v>
      </c>
      <c r="S1015" t="str">
        <f t="shared" si="91"/>
        <v>Valid</v>
      </c>
      <c r="T1015" t="str">
        <f t="shared" si="92"/>
        <v>Valid</v>
      </c>
      <c r="U1015" t="str">
        <f t="shared" si="93"/>
        <v>Valid</v>
      </c>
      <c r="V1015" t="str">
        <f t="shared" si="94"/>
        <v>Valid</v>
      </c>
      <c r="W1015" t="str">
        <f t="shared" si="95"/>
        <v>Valid</v>
      </c>
    </row>
    <row r="1016" spans="1:23">
      <c r="A1016" t="s">
        <v>1047</v>
      </c>
      <c r="B1016" s="2">
        <v>45688</v>
      </c>
      <c r="C1016" t="s">
        <v>723</v>
      </c>
      <c r="D1016" t="s">
        <v>18</v>
      </c>
      <c r="E1016" t="s">
        <v>24</v>
      </c>
      <c r="F1016" t="s">
        <v>39</v>
      </c>
      <c r="G1016" t="s">
        <v>26</v>
      </c>
      <c r="H1016">
        <v>1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P1016">
        <v>72.099999999999994</v>
      </c>
      <c r="R1016" t="str">
        <f t="shared" si="90"/>
        <v>Unique</v>
      </c>
      <c r="S1016" t="str">
        <f t="shared" si="91"/>
        <v>Valid</v>
      </c>
      <c r="T1016" t="str">
        <f t="shared" si="92"/>
        <v>Valid</v>
      </c>
      <c r="U1016" t="str">
        <f t="shared" si="93"/>
        <v>Valid</v>
      </c>
      <c r="V1016" t="str">
        <f t="shared" si="94"/>
        <v>Valid</v>
      </c>
      <c r="W1016" t="str">
        <f t="shared" si="95"/>
        <v>Valid</v>
      </c>
    </row>
    <row r="1017" spans="1:23">
      <c r="A1017" t="s">
        <v>1048</v>
      </c>
      <c r="B1017" s="2">
        <v>45673</v>
      </c>
      <c r="C1017" t="s">
        <v>723</v>
      </c>
      <c r="D1017" t="s">
        <v>32</v>
      </c>
      <c r="E1017" t="s">
        <v>19</v>
      </c>
      <c r="F1017" t="s">
        <v>25</v>
      </c>
      <c r="G1017" t="s">
        <v>21</v>
      </c>
      <c r="H1017">
        <v>1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P1017">
        <v>76.3</v>
      </c>
      <c r="R1017" t="str">
        <f t="shared" si="90"/>
        <v>Unique</v>
      </c>
      <c r="S1017" t="str">
        <f t="shared" si="91"/>
        <v>Valid</v>
      </c>
      <c r="T1017" t="str">
        <f t="shared" si="92"/>
        <v>Valid</v>
      </c>
      <c r="U1017" t="str">
        <f t="shared" si="93"/>
        <v>Valid</v>
      </c>
      <c r="V1017" t="str">
        <f t="shared" si="94"/>
        <v>Valid</v>
      </c>
      <c r="W1017" t="str">
        <f t="shared" si="95"/>
        <v>Valid</v>
      </c>
    </row>
    <row r="1018" spans="1:23">
      <c r="A1018" t="s">
        <v>1049</v>
      </c>
      <c r="B1018" s="2">
        <v>45791</v>
      </c>
      <c r="C1018" t="s">
        <v>723</v>
      </c>
      <c r="D1018" t="s">
        <v>28</v>
      </c>
      <c r="E1018" t="s">
        <v>24</v>
      </c>
      <c r="F1018" t="s">
        <v>29</v>
      </c>
      <c r="G1018" t="s">
        <v>21</v>
      </c>
      <c r="H1018">
        <v>1</v>
      </c>
      <c r="I1018">
        <v>1</v>
      </c>
      <c r="J1018">
        <v>0</v>
      </c>
      <c r="K1018">
        <v>0</v>
      </c>
      <c r="L1018">
        <v>0</v>
      </c>
      <c r="M1018">
        <v>1</v>
      </c>
      <c r="N1018">
        <v>0</v>
      </c>
      <c r="P1018">
        <v>54.8</v>
      </c>
      <c r="R1018" t="str">
        <f t="shared" si="90"/>
        <v>Unique</v>
      </c>
      <c r="S1018" t="str">
        <f t="shared" si="91"/>
        <v>Valid</v>
      </c>
      <c r="T1018" t="str">
        <f t="shared" si="92"/>
        <v>Valid</v>
      </c>
      <c r="U1018" t="str">
        <f t="shared" si="93"/>
        <v>Valid</v>
      </c>
      <c r="V1018" t="str">
        <f t="shared" si="94"/>
        <v>Valid</v>
      </c>
      <c r="W1018" t="str">
        <f t="shared" si="95"/>
        <v>Valid</v>
      </c>
    </row>
    <row r="1019" spans="1:23">
      <c r="A1019" t="s">
        <v>1050</v>
      </c>
      <c r="B1019" s="2">
        <v>45748</v>
      </c>
      <c r="C1019" t="s">
        <v>723</v>
      </c>
      <c r="D1019" t="s">
        <v>32</v>
      </c>
      <c r="E1019" t="s">
        <v>24</v>
      </c>
      <c r="F1019" t="s">
        <v>1451</v>
      </c>
      <c r="G1019" t="s">
        <v>21</v>
      </c>
      <c r="H1019">
        <v>1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P1019">
        <v>63.6</v>
      </c>
      <c r="R1019" t="str">
        <f t="shared" si="90"/>
        <v>Unique</v>
      </c>
      <c r="S1019" t="str">
        <f t="shared" si="91"/>
        <v>Valid</v>
      </c>
      <c r="T1019" t="str">
        <f t="shared" si="92"/>
        <v>Valid</v>
      </c>
      <c r="U1019" t="str">
        <f t="shared" si="93"/>
        <v>Valid</v>
      </c>
      <c r="V1019" t="str">
        <f t="shared" si="94"/>
        <v>Valid</v>
      </c>
      <c r="W1019" t="str">
        <f t="shared" si="95"/>
        <v>Valid</v>
      </c>
    </row>
    <row r="1020" spans="1:23">
      <c r="A1020" t="s">
        <v>1051</v>
      </c>
      <c r="B1020" s="2">
        <v>45770</v>
      </c>
      <c r="C1020" t="s">
        <v>723</v>
      </c>
      <c r="D1020" t="s">
        <v>32</v>
      </c>
      <c r="E1020" t="s">
        <v>24</v>
      </c>
      <c r="F1020" t="s">
        <v>25</v>
      </c>
      <c r="G1020" t="s">
        <v>26</v>
      </c>
      <c r="H1020">
        <v>1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P1020">
        <v>68.8</v>
      </c>
      <c r="R1020" t="str">
        <f t="shared" si="90"/>
        <v>Unique</v>
      </c>
      <c r="S1020" t="str">
        <f t="shared" si="91"/>
        <v>Valid</v>
      </c>
      <c r="T1020" t="str">
        <f t="shared" si="92"/>
        <v>Valid</v>
      </c>
      <c r="U1020" t="str">
        <f t="shared" si="93"/>
        <v>Valid</v>
      </c>
      <c r="V1020" t="str">
        <f t="shared" si="94"/>
        <v>Valid</v>
      </c>
      <c r="W1020" t="str">
        <f t="shared" si="95"/>
        <v>Valid</v>
      </c>
    </row>
    <row r="1021" spans="1:23">
      <c r="A1021" t="s">
        <v>1052</v>
      </c>
      <c r="B1021" s="2">
        <v>45718</v>
      </c>
      <c r="C1021" t="s">
        <v>723</v>
      </c>
      <c r="D1021" t="s">
        <v>32</v>
      </c>
      <c r="E1021" t="s">
        <v>19</v>
      </c>
      <c r="F1021" t="s">
        <v>29</v>
      </c>
      <c r="G1021" t="s">
        <v>21</v>
      </c>
      <c r="H1021">
        <v>1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P1021">
        <v>63.2</v>
      </c>
      <c r="R1021" t="str">
        <f t="shared" si="90"/>
        <v>Unique</v>
      </c>
      <c r="S1021" t="str">
        <f t="shared" si="91"/>
        <v>Valid</v>
      </c>
      <c r="T1021" t="str">
        <f t="shared" si="92"/>
        <v>Valid</v>
      </c>
      <c r="U1021" t="str">
        <f t="shared" si="93"/>
        <v>Valid</v>
      </c>
      <c r="V1021" t="str">
        <f t="shared" si="94"/>
        <v>Valid</v>
      </c>
      <c r="W1021" t="str">
        <f t="shared" si="95"/>
        <v>Valid</v>
      </c>
    </row>
    <row r="1022" spans="1:23">
      <c r="A1022" t="s">
        <v>1053</v>
      </c>
      <c r="B1022" s="2">
        <v>45659</v>
      </c>
      <c r="C1022" t="s">
        <v>723</v>
      </c>
      <c r="D1022" t="s">
        <v>28</v>
      </c>
      <c r="E1022" t="s">
        <v>24</v>
      </c>
      <c r="F1022" t="s">
        <v>29</v>
      </c>
      <c r="G1022" t="s">
        <v>21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P1022">
        <v>45</v>
      </c>
      <c r="R1022" t="str">
        <f t="shared" si="90"/>
        <v>Unique</v>
      </c>
      <c r="S1022" t="str">
        <f t="shared" si="91"/>
        <v>Valid</v>
      </c>
      <c r="T1022" t="str">
        <f t="shared" si="92"/>
        <v>Valid</v>
      </c>
      <c r="U1022" t="str">
        <f t="shared" si="93"/>
        <v>Valid</v>
      </c>
      <c r="V1022" t="str">
        <f t="shared" si="94"/>
        <v>Valid</v>
      </c>
      <c r="W1022" t="str">
        <f t="shared" si="95"/>
        <v>Valid</v>
      </c>
    </row>
    <row r="1023" spans="1:23">
      <c r="A1023" t="s">
        <v>1054</v>
      </c>
      <c r="B1023" s="2">
        <v>45781</v>
      </c>
      <c r="C1023" t="s">
        <v>723</v>
      </c>
      <c r="D1023" t="s">
        <v>32</v>
      </c>
      <c r="E1023" t="s">
        <v>24</v>
      </c>
      <c r="F1023" t="s">
        <v>25</v>
      </c>
      <c r="G1023" t="s">
        <v>26</v>
      </c>
      <c r="H1023">
        <v>1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P1023">
        <v>77.400000000000006</v>
      </c>
      <c r="R1023" t="str">
        <f t="shared" si="90"/>
        <v>Unique</v>
      </c>
      <c r="S1023" t="str">
        <f t="shared" si="91"/>
        <v>Valid</v>
      </c>
      <c r="T1023" t="str">
        <f t="shared" si="92"/>
        <v>Valid</v>
      </c>
      <c r="U1023" t="str">
        <f t="shared" si="93"/>
        <v>Valid</v>
      </c>
      <c r="V1023" t="str">
        <f t="shared" si="94"/>
        <v>Valid</v>
      </c>
      <c r="W1023" t="str">
        <f t="shared" si="95"/>
        <v>Valid</v>
      </c>
    </row>
    <row r="1024" spans="1:23">
      <c r="A1024" t="s">
        <v>1055</v>
      </c>
      <c r="B1024" s="2">
        <v>45673</v>
      </c>
      <c r="C1024" t="s">
        <v>723</v>
      </c>
      <c r="D1024" t="s">
        <v>28</v>
      </c>
      <c r="E1024" t="s">
        <v>19</v>
      </c>
      <c r="F1024" t="s">
        <v>29</v>
      </c>
      <c r="G1024" t="s">
        <v>21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P1024">
        <v>53.1</v>
      </c>
      <c r="R1024" t="str">
        <f t="shared" si="90"/>
        <v>Unique</v>
      </c>
      <c r="S1024" t="str">
        <f t="shared" si="91"/>
        <v>Valid</v>
      </c>
      <c r="T1024" t="str">
        <f t="shared" si="92"/>
        <v>Valid</v>
      </c>
      <c r="U1024" t="str">
        <f t="shared" si="93"/>
        <v>Valid</v>
      </c>
      <c r="V1024" t="str">
        <f t="shared" si="94"/>
        <v>Valid</v>
      </c>
      <c r="W1024" t="str">
        <f t="shared" si="95"/>
        <v>Valid</v>
      </c>
    </row>
    <row r="1025" spans="1:23">
      <c r="A1025" t="s">
        <v>1056</v>
      </c>
      <c r="B1025" s="2">
        <v>45699</v>
      </c>
      <c r="C1025" t="s">
        <v>723</v>
      </c>
      <c r="D1025" t="s">
        <v>23</v>
      </c>
      <c r="E1025" t="s">
        <v>34</v>
      </c>
      <c r="F1025" t="s">
        <v>29</v>
      </c>
      <c r="G1025" t="s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P1025">
        <v>74</v>
      </c>
      <c r="R1025" t="str">
        <f t="shared" si="90"/>
        <v>Unique</v>
      </c>
      <c r="S1025" t="str">
        <f t="shared" si="91"/>
        <v>Valid</v>
      </c>
      <c r="T1025" t="str">
        <f t="shared" si="92"/>
        <v>Valid</v>
      </c>
      <c r="U1025" t="str">
        <f t="shared" si="93"/>
        <v>Valid</v>
      </c>
      <c r="V1025" t="str">
        <f t="shared" si="94"/>
        <v>Valid</v>
      </c>
      <c r="W1025" t="str">
        <f t="shared" si="95"/>
        <v>Valid</v>
      </c>
    </row>
    <row r="1026" spans="1:23">
      <c r="A1026" t="s">
        <v>1057</v>
      </c>
      <c r="B1026" s="2">
        <v>45750</v>
      </c>
      <c r="C1026" t="s">
        <v>723</v>
      </c>
      <c r="D1026" t="s">
        <v>18</v>
      </c>
      <c r="E1026" t="s">
        <v>24</v>
      </c>
      <c r="F1026" t="s">
        <v>41</v>
      </c>
      <c r="G1026" t="s">
        <v>30</v>
      </c>
      <c r="H1026">
        <v>1</v>
      </c>
      <c r="I1026">
        <v>1</v>
      </c>
      <c r="J1026">
        <v>1</v>
      </c>
      <c r="K1026">
        <v>1</v>
      </c>
      <c r="L1026">
        <v>1906.23</v>
      </c>
      <c r="M1026">
        <v>0</v>
      </c>
      <c r="N1026">
        <v>0</v>
      </c>
      <c r="O1026">
        <v>4</v>
      </c>
      <c r="P1026">
        <v>84.6</v>
      </c>
      <c r="R1026" t="str">
        <f t="shared" si="90"/>
        <v>Unique</v>
      </c>
      <c r="S1026" t="str">
        <f t="shared" si="91"/>
        <v>Valid</v>
      </c>
      <c r="T1026" t="str">
        <f t="shared" si="92"/>
        <v>Valid</v>
      </c>
      <c r="U1026" t="str">
        <f t="shared" si="93"/>
        <v>Valid</v>
      </c>
      <c r="V1026" t="str">
        <f t="shared" si="94"/>
        <v>Valid</v>
      </c>
      <c r="W1026" t="str">
        <f t="shared" si="95"/>
        <v>Valid</v>
      </c>
    </row>
    <row r="1027" spans="1:23">
      <c r="A1027" t="s">
        <v>1058</v>
      </c>
      <c r="B1027" s="2">
        <v>45742</v>
      </c>
      <c r="C1027" t="s">
        <v>723</v>
      </c>
      <c r="D1027" t="s">
        <v>28</v>
      </c>
      <c r="E1027" t="s">
        <v>24</v>
      </c>
      <c r="F1027" t="s">
        <v>39</v>
      </c>
      <c r="G1027" t="s">
        <v>26</v>
      </c>
      <c r="H1027">
        <v>1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P1027">
        <v>57</v>
      </c>
      <c r="R1027" t="str">
        <f t="shared" ref="R1027:R1090" si="96">IF(COUNTIF($A:$A,A1027)&gt;1,"Duplicate","Unique")</f>
        <v>Unique</v>
      </c>
      <c r="S1027" t="str">
        <f t="shared" ref="S1027:S1090" si="97">IF(OR(H1027=0,H1027=1),"Valid","Invalid")</f>
        <v>Valid</v>
      </c>
      <c r="T1027" t="str">
        <f t="shared" ref="T1027:T1090" si="98">IF(OR(I1027=0,I1027=1),"Valid","Invalid")</f>
        <v>Valid</v>
      </c>
      <c r="U1027" t="str">
        <f t="shared" ref="U1027:U1090" si="99">IF(OR(J1027=0,J1027=1),"Valid","Invalid")</f>
        <v>Valid</v>
      </c>
      <c r="V1027" t="str">
        <f t="shared" ref="V1027:V1090" si="100">IF(OR(K1027=0,K1027=1),"Valid","Invalid")</f>
        <v>Valid</v>
      </c>
      <c r="W1027" t="str">
        <f t="shared" ref="W1027:W1090" si="101">IF(OR(N1027=0,N1027=1),"Valid","Invalid")</f>
        <v>Valid</v>
      </c>
    </row>
    <row r="1028" spans="1:23">
      <c r="A1028" t="s">
        <v>1059</v>
      </c>
      <c r="B1028" s="2">
        <v>45793</v>
      </c>
      <c r="C1028" t="s">
        <v>723</v>
      </c>
      <c r="D1028" t="s">
        <v>32</v>
      </c>
      <c r="E1028" t="s">
        <v>24</v>
      </c>
      <c r="F1028" t="s">
        <v>20</v>
      </c>
      <c r="G1028" t="s">
        <v>30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P1028">
        <v>46.3</v>
      </c>
      <c r="R1028" t="str">
        <f t="shared" si="96"/>
        <v>Unique</v>
      </c>
      <c r="S1028" t="str">
        <f t="shared" si="97"/>
        <v>Valid</v>
      </c>
      <c r="T1028" t="str">
        <f t="shared" si="98"/>
        <v>Valid</v>
      </c>
      <c r="U1028" t="str">
        <f t="shared" si="99"/>
        <v>Valid</v>
      </c>
      <c r="V1028" t="str">
        <f t="shared" si="100"/>
        <v>Valid</v>
      </c>
      <c r="W1028" t="str">
        <f t="shared" si="101"/>
        <v>Valid</v>
      </c>
    </row>
    <row r="1029" spans="1:23">
      <c r="A1029" t="s">
        <v>1060</v>
      </c>
      <c r="B1029" s="2">
        <v>45767</v>
      </c>
      <c r="C1029" t="s">
        <v>723</v>
      </c>
      <c r="D1029" t="s">
        <v>23</v>
      </c>
      <c r="E1029" t="s">
        <v>24</v>
      </c>
      <c r="F1029" t="s">
        <v>41</v>
      </c>
      <c r="G1029" t="s">
        <v>26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1</v>
      </c>
      <c r="N1029">
        <v>0</v>
      </c>
      <c r="P1029">
        <v>64.400000000000006</v>
      </c>
      <c r="R1029" t="str">
        <f t="shared" si="96"/>
        <v>Unique</v>
      </c>
      <c r="S1029" t="str">
        <f t="shared" si="97"/>
        <v>Valid</v>
      </c>
      <c r="T1029" t="str">
        <f t="shared" si="98"/>
        <v>Valid</v>
      </c>
      <c r="U1029" t="str">
        <f t="shared" si="99"/>
        <v>Valid</v>
      </c>
      <c r="V1029" t="str">
        <f t="shared" si="100"/>
        <v>Valid</v>
      </c>
      <c r="W1029" t="str">
        <f t="shared" si="101"/>
        <v>Valid</v>
      </c>
    </row>
    <row r="1030" spans="1:23">
      <c r="A1030" t="s">
        <v>1061</v>
      </c>
      <c r="B1030" s="2">
        <v>45762</v>
      </c>
      <c r="C1030" t="s">
        <v>723</v>
      </c>
      <c r="D1030" t="s">
        <v>23</v>
      </c>
      <c r="E1030" t="s">
        <v>24</v>
      </c>
      <c r="F1030" t="s">
        <v>29</v>
      </c>
      <c r="G1030" t="s">
        <v>26</v>
      </c>
      <c r="H1030">
        <v>1</v>
      </c>
      <c r="I1030">
        <v>0</v>
      </c>
      <c r="J1030">
        <v>0</v>
      </c>
      <c r="K1030">
        <v>0</v>
      </c>
      <c r="L1030">
        <v>0</v>
      </c>
      <c r="M1030">
        <v>2</v>
      </c>
      <c r="N1030">
        <v>0</v>
      </c>
      <c r="P1030">
        <v>61.9</v>
      </c>
      <c r="R1030" t="str">
        <f t="shared" si="96"/>
        <v>Unique</v>
      </c>
      <c r="S1030" t="str">
        <f t="shared" si="97"/>
        <v>Valid</v>
      </c>
      <c r="T1030" t="str">
        <f t="shared" si="98"/>
        <v>Valid</v>
      </c>
      <c r="U1030" t="str">
        <f t="shared" si="99"/>
        <v>Valid</v>
      </c>
      <c r="V1030" t="str">
        <f t="shared" si="100"/>
        <v>Valid</v>
      </c>
      <c r="W1030" t="str">
        <f t="shared" si="101"/>
        <v>Valid</v>
      </c>
    </row>
    <row r="1031" spans="1:23">
      <c r="A1031" t="s">
        <v>1062</v>
      </c>
      <c r="B1031" s="2">
        <v>45681</v>
      </c>
      <c r="C1031" t="s">
        <v>723</v>
      </c>
      <c r="D1031" t="s">
        <v>18</v>
      </c>
      <c r="E1031" t="s">
        <v>24</v>
      </c>
      <c r="F1031" t="s">
        <v>25</v>
      </c>
      <c r="G1031" t="s">
        <v>30</v>
      </c>
      <c r="H1031">
        <v>1</v>
      </c>
      <c r="I1031">
        <v>1</v>
      </c>
      <c r="J1031">
        <v>1</v>
      </c>
      <c r="K1031">
        <v>0</v>
      </c>
      <c r="L1031">
        <v>0</v>
      </c>
      <c r="M1031">
        <v>0</v>
      </c>
      <c r="N1031">
        <v>0</v>
      </c>
      <c r="P1031">
        <v>93.7</v>
      </c>
      <c r="R1031" t="str">
        <f t="shared" si="96"/>
        <v>Unique</v>
      </c>
      <c r="S1031" t="str">
        <f t="shared" si="97"/>
        <v>Valid</v>
      </c>
      <c r="T1031" t="str">
        <f t="shared" si="98"/>
        <v>Valid</v>
      </c>
      <c r="U1031" t="str">
        <f t="shared" si="99"/>
        <v>Valid</v>
      </c>
      <c r="V1031" t="str">
        <f t="shared" si="100"/>
        <v>Valid</v>
      </c>
      <c r="W1031" t="str">
        <f t="shared" si="101"/>
        <v>Valid</v>
      </c>
    </row>
    <row r="1032" spans="1:23">
      <c r="A1032" t="s">
        <v>1063</v>
      </c>
      <c r="B1032" s="2">
        <v>45758</v>
      </c>
      <c r="C1032" t="s">
        <v>723</v>
      </c>
      <c r="D1032" t="s">
        <v>32</v>
      </c>
      <c r="E1032" t="s">
        <v>24</v>
      </c>
      <c r="F1032" t="s">
        <v>39</v>
      </c>
      <c r="G1032" t="s">
        <v>21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P1032">
        <v>61.6</v>
      </c>
      <c r="R1032" t="str">
        <f t="shared" si="96"/>
        <v>Unique</v>
      </c>
      <c r="S1032" t="str">
        <f t="shared" si="97"/>
        <v>Valid</v>
      </c>
      <c r="T1032" t="str">
        <f t="shared" si="98"/>
        <v>Valid</v>
      </c>
      <c r="U1032" t="str">
        <f t="shared" si="99"/>
        <v>Valid</v>
      </c>
      <c r="V1032" t="str">
        <f t="shared" si="100"/>
        <v>Valid</v>
      </c>
      <c r="W1032" t="str">
        <f t="shared" si="101"/>
        <v>Valid</v>
      </c>
    </row>
    <row r="1033" spans="1:23">
      <c r="A1033" t="s">
        <v>1064</v>
      </c>
      <c r="B1033" s="2">
        <v>45796</v>
      </c>
      <c r="C1033" t="s">
        <v>723</v>
      </c>
      <c r="D1033" t="s">
        <v>18</v>
      </c>
      <c r="E1033" t="s">
        <v>24</v>
      </c>
      <c r="F1033" t="s">
        <v>29</v>
      </c>
      <c r="G1033" t="s">
        <v>26</v>
      </c>
      <c r="H1033">
        <v>1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P1033">
        <v>72.2</v>
      </c>
      <c r="R1033" t="str">
        <f t="shared" si="96"/>
        <v>Unique</v>
      </c>
      <c r="S1033" t="str">
        <f t="shared" si="97"/>
        <v>Valid</v>
      </c>
      <c r="T1033" t="str">
        <f t="shared" si="98"/>
        <v>Valid</v>
      </c>
      <c r="U1033" t="str">
        <f t="shared" si="99"/>
        <v>Valid</v>
      </c>
      <c r="V1033" t="str">
        <f t="shared" si="100"/>
        <v>Valid</v>
      </c>
      <c r="W1033" t="str">
        <f t="shared" si="101"/>
        <v>Valid</v>
      </c>
    </row>
    <row r="1034" spans="1:23">
      <c r="A1034" t="s">
        <v>1065</v>
      </c>
      <c r="B1034" s="2">
        <v>45671</v>
      </c>
      <c r="C1034" t="s">
        <v>723</v>
      </c>
      <c r="D1034" t="s">
        <v>18</v>
      </c>
      <c r="E1034" t="s">
        <v>24</v>
      </c>
      <c r="F1034" t="s">
        <v>25</v>
      </c>
      <c r="G1034" t="s">
        <v>21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P1034">
        <v>69.5</v>
      </c>
      <c r="R1034" t="str">
        <f t="shared" si="96"/>
        <v>Unique</v>
      </c>
      <c r="S1034" t="str">
        <f t="shared" si="97"/>
        <v>Valid</v>
      </c>
      <c r="T1034" t="str">
        <f t="shared" si="98"/>
        <v>Valid</v>
      </c>
      <c r="U1034" t="str">
        <f t="shared" si="99"/>
        <v>Valid</v>
      </c>
      <c r="V1034" t="str">
        <f t="shared" si="100"/>
        <v>Valid</v>
      </c>
      <c r="W1034" t="str">
        <f t="shared" si="101"/>
        <v>Valid</v>
      </c>
    </row>
    <row r="1035" spans="1:23">
      <c r="A1035" t="s">
        <v>1066</v>
      </c>
      <c r="B1035" s="2">
        <v>45716</v>
      </c>
      <c r="C1035" t="s">
        <v>723</v>
      </c>
      <c r="D1035" t="s">
        <v>28</v>
      </c>
      <c r="E1035" t="s">
        <v>19</v>
      </c>
      <c r="F1035" t="s">
        <v>25</v>
      </c>
      <c r="G1035" t="s">
        <v>21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P1035">
        <v>59.7</v>
      </c>
      <c r="R1035" t="str">
        <f t="shared" si="96"/>
        <v>Unique</v>
      </c>
      <c r="S1035" t="str">
        <f t="shared" si="97"/>
        <v>Valid</v>
      </c>
      <c r="T1035" t="str">
        <f t="shared" si="98"/>
        <v>Valid</v>
      </c>
      <c r="U1035" t="str">
        <f t="shared" si="99"/>
        <v>Valid</v>
      </c>
      <c r="V1035" t="str">
        <f t="shared" si="100"/>
        <v>Valid</v>
      </c>
      <c r="W1035" t="str">
        <f t="shared" si="101"/>
        <v>Valid</v>
      </c>
    </row>
    <row r="1036" spans="1:23">
      <c r="A1036" t="s">
        <v>1067</v>
      </c>
      <c r="B1036" s="2">
        <v>45795</v>
      </c>
      <c r="C1036" t="s">
        <v>723</v>
      </c>
      <c r="D1036" t="s">
        <v>28</v>
      </c>
      <c r="E1036" t="s">
        <v>34</v>
      </c>
      <c r="F1036" t="s">
        <v>29</v>
      </c>
      <c r="G1036" t="s">
        <v>21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P1036">
        <v>73.900000000000006</v>
      </c>
      <c r="R1036" t="str">
        <f t="shared" si="96"/>
        <v>Unique</v>
      </c>
      <c r="S1036" t="str">
        <f t="shared" si="97"/>
        <v>Valid</v>
      </c>
      <c r="T1036" t="str">
        <f t="shared" si="98"/>
        <v>Valid</v>
      </c>
      <c r="U1036" t="str">
        <f t="shared" si="99"/>
        <v>Valid</v>
      </c>
      <c r="V1036" t="str">
        <f t="shared" si="100"/>
        <v>Valid</v>
      </c>
      <c r="W1036" t="str">
        <f t="shared" si="101"/>
        <v>Valid</v>
      </c>
    </row>
    <row r="1037" spans="1:23">
      <c r="A1037" t="s">
        <v>1068</v>
      </c>
      <c r="B1037" s="2">
        <v>45661</v>
      </c>
      <c r="C1037" t="s">
        <v>723</v>
      </c>
      <c r="D1037" t="s">
        <v>18</v>
      </c>
      <c r="E1037" t="s">
        <v>24</v>
      </c>
      <c r="F1037" t="s">
        <v>41</v>
      </c>
      <c r="G1037" t="s">
        <v>26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P1037">
        <v>41.5</v>
      </c>
      <c r="R1037" t="str">
        <f t="shared" si="96"/>
        <v>Unique</v>
      </c>
      <c r="S1037" t="str">
        <f t="shared" si="97"/>
        <v>Valid</v>
      </c>
      <c r="T1037" t="str">
        <f t="shared" si="98"/>
        <v>Valid</v>
      </c>
      <c r="U1037" t="str">
        <f t="shared" si="99"/>
        <v>Valid</v>
      </c>
      <c r="V1037" t="str">
        <f t="shared" si="100"/>
        <v>Valid</v>
      </c>
      <c r="W1037" t="str">
        <f t="shared" si="101"/>
        <v>Valid</v>
      </c>
    </row>
    <row r="1038" spans="1:23">
      <c r="A1038" t="s">
        <v>1069</v>
      </c>
      <c r="B1038" s="2">
        <v>45673</v>
      </c>
      <c r="C1038" t="s">
        <v>723</v>
      </c>
      <c r="D1038" t="s">
        <v>23</v>
      </c>
      <c r="E1038" t="s">
        <v>24</v>
      </c>
      <c r="F1038" t="s">
        <v>41</v>
      </c>
      <c r="G1038" t="s">
        <v>30</v>
      </c>
      <c r="H1038">
        <v>1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P1038">
        <v>82.8</v>
      </c>
      <c r="R1038" t="str">
        <f t="shared" si="96"/>
        <v>Unique</v>
      </c>
      <c r="S1038" t="str">
        <f t="shared" si="97"/>
        <v>Valid</v>
      </c>
      <c r="T1038" t="str">
        <f t="shared" si="98"/>
        <v>Valid</v>
      </c>
      <c r="U1038" t="str">
        <f t="shared" si="99"/>
        <v>Valid</v>
      </c>
      <c r="V1038" t="str">
        <f t="shared" si="100"/>
        <v>Valid</v>
      </c>
      <c r="W1038" t="str">
        <f t="shared" si="101"/>
        <v>Valid</v>
      </c>
    </row>
    <row r="1039" spans="1:23">
      <c r="A1039" t="s">
        <v>1070</v>
      </c>
      <c r="B1039" s="2">
        <v>45730</v>
      </c>
      <c r="C1039" t="s">
        <v>723</v>
      </c>
      <c r="D1039" t="s">
        <v>23</v>
      </c>
      <c r="E1039" t="s">
        <v>24</v>
      </c>
      <c r="F1039" t="s">
        <v>41</v>
      </c>
      <c r="G1039" t="s">
        <v>30</v>
      </c>
      <c r="H1039">
        <v>1</v>
      </c>
      <c r="I1039">
        <v>0</v>
      </c>
      <c r="J1039">
        <v>0</v>
      </c>
      <c r="K1039">
        <v>0</v>
      </c>
      <c r="L1039">
        <v>0</v>
      </c>
      <c r="M1039">
        <v>3</v>
      </c>
      <c r="N1039">
        <v>0</v>
      </c>
      <c r="P1039">
        <v>70.2</v>
      </c>
      <c r="R1039" t="str">
        <f t="shared" si="96"/>
        <v>Unique</v>
      </c>
      <c r="S1039" t="str">
        <f t="shared" si="97"/>
        <v>Valid</v>
      </c>
      <c r="T1039" t="str">
        <f t="shared" si="98"/>
        <v>Valid</v>
      </c>
      <c r="U1039" t="str">
        <f t="shared" si="99"/>
        <v>Valid</v>
      </c>
      <c r="V1039" t="str">
        <f t="shared" si="100"/>
        <v>Valid</v>
      </c>
      <c r="W1039" t="str">
        <f t="shared" si="101"/>
        <v>Valid</v>
      </c>
    </row>
    <row r="1040" spans="1:23">
      <c r="A1040" t="s">
        <v>1071</v>
      </c>
      <c r="B1040" s="2">
        <v>45680</v>
      </c>
      <c r="C1040" t="s">
        <v>723</v>
      </c>
      <c r="D1040" t="s">
        <v>28</v>
      </c>
      <c r="E1040" t="s">
        <v>24</v>
      </c>
      <c r="F1040" t="s">
        <v>29</v>
      </c>
      <c r="G1040" t="s">
        <v>21</v>
      </c>
      <c r="H1040">
        <v>1</v>
      </c>
      <c r="I1040">
        <v>0</v>
      </c>
      <c r="J1040">
        <v>0</v>
      </c>
      <c r="K1040">
        <v>0</v>
      </c>
      <c r="L1040">
        <v>0</v>
      </c>
      <c r="M1040">
        <v>1</v>
      </c>
      <c r="N1040">
        <v>0</v>
      </c>
      <c r="P1040">
        <v>69.400000000000006</v>
      </c>
      <c r="R1040" t="str">
        <f t="shared" si="96"/>
        <v>Unique</v>
      </c>
      <c r="S1040" t="str">
        <f t="shared" si="97"/>
        <v>Valid</v>
      </c>
      <c r="T1040" t="str">
        <f t="shared" si="98"/>
        <v>Valid</v>
      </c>
      <c r="U1040" t="str">
        <f t="shared" si="99"/>
        <v>Valid</v>
      </c>
      <c r="V1040" t="str">
        <f t="shared" si="100"/>
        <v>Valid</v>
      </c>
      <c r="W1040" t="str">
        <f t="shared" si="101"/>
        <v>Valid</v>
      </c>
    </row>
    <row r="1041" spans="1:23">
      <c r="A1041" t="s">
        <v>1072</v>
      </c>
      <c r="B1041" s="2">
        <v>45691</v>
      </c>
      <c r="C1041" t="s">
        <v>723</v>
      </c>
      <c r="D1041" t="s">
        <v>18</v>
      </c>
      <c r="E1041" t="s">
        <v>19</v>
      </c>
      <c r="F1041" t="s">
        <v>25</v>
      </c>
      <c r="G1041" t="s">
        <v>21</v>
      </c>
      <c r="H1041">
        <v>1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P1041">
        <v>60.4</v>
      </c>
      <c r="R1041" t="str">
        <f t="shared" si="96"/>
        <v>Unique</v>
      </c>
      <c r="S1041" t="str">
        <f t="shared" si="97"/>
        <v>Valid</v>
      </c>
      <c r="T1041" t="str">
        <f t="shared" si="98"/>
        <v>Valid</v>
      </c>
      <c r="U1041" t="str">
        <f t="shared" si="99"/>
        <v>Valid</v>
      </c>
      <c r="V1041" t="str">
        <f t="shared" si="100"/>
        <v>Valid</v>
      </c>
      <c r="W1041" t="str">
        <f t="shared" si="101"/>
        <v>Valid</v>
      </c>
    </row>
    <row r="1042" spans="1:23">
      <c r="A1042" t="s">
        <v>1073</v>
      </c>
      <c r="B1042" s="2">
        <v>45793</v>
      </c>
      <c r="C1042" t="s">
        <v>723</v>
      </c>
      <c r="D1042" t="s">
        <v>28</v>
      </c>
      <c r="E1042" t="s">
        <v>24</v>
      </c>
      <c r="F1042" t="s">
        <v>39</v>
      </c>
      <c r="G1042" t="s">
        <v>26</v>
      </c>
      <c r="H1042">
        <v>1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P1042">
        <v>45.7</v>
      </c>
      <c r="R1042" t="str">
        <f t="shared" si="96"/>
        <v>Unique</v>
      </c>
      <c r="S1042" t="str">
        <f t="shared" si="97"/>
        <v>Valid</v>
      </c>
      <c r="T1042" t="str">
        <f t="shared" si="98"/>
        <v>Valid</v>
      </c>
      <c r="U1042" t="str">
        <f t="shared" si="99"/>
        <v>Valid</v>
      </c>
      <c r="V1042" t="str">
        <f t="shared" si="100"/>
        <v>Valid</v>
      </c>
      <c r="W1042" t="str">
        <f t="shared" si="101"/>
        <v>Valid</v>
      </c>
    </row>
    <row r="1043" spans="1:23">
      <c r="A1043" t="s">
        <v>1074</v>
      </c>
      <c r="B1043" s="2">
        <v>45668</v>
      </c>
      <c r="C1043" t="s">
        <v>723</v>
      </c>
      <c r="D1043" t="s">
        <v>23</v>
      </c>
      <c r="E1043" t="s">
        <v>24</v>
      </c>
      <c r="F1043" t="s">
        <v>25</v>
      </c>
      <c r="G1043" t="s">
        <v>21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1</v>
      </c>
      <c r="N1043">
        <v>0</v>
      </c>
      <c r="P1043">
        <v>42.2</v>
      </c>
      <c r="R1043" t="str">
        <f t="shared" si="96"/>
        <v>Unique</v>
      </c>
      <c r="S1043" t="str">
        <f t="shared" si="97"/>
        <v>Valid</v>
      </c>
      <c r="T1043" t="str">
        <f t="shared" si="98"/>
        <v>Valid</v>
      </c>
      <c r="U1043" t="str">
        <f t="shared" si="99"/>
        <v>Valid</v>
      </c>
      <c r="V1043" t="str">
        <f t="shared" si="100"/>
        <v>Valid</v>
      </c>
      <c r="W1043" t="str">
        <f t="shared" si="101"/>
        <v>Valid</v>
      </c>
    </row>
    <row r="1044" spans="1:23">
      <c r="A1044" t="s">
        <v>1075</v>
      </c>
      <c r="B1044" s="2">
        <v>45802</v>
      </c>
      <c r="C1044" t="s">
        <v>723</v>
      </c>
      <c r="D1044" t="s">
        <v>18</v>
      </c>
      <c r="E1044" t="s">
        <v>19</v>
      </c>
      <c r="F1044" t="s">
        <v>25</v>
      </c>
      <c r="G1044" t="s">
        <v>26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2</v>
      </c>
      <c r="N1044">
        <v>0</v>
      </c>
      <c r="P1044">
        <v>61.9</v>
      </c>
      <c r="R1044" t="str">
        <f t="shared" si="96"/>
        <v>Unique</v>
      </c>
      <c r="S1044" t="str">
        <f t="shared" si="97"/>
        <v>Valid</v>
      </c>
      <c r="T1044" t="str">
        <f t="shared" si="98"/>
        <v>Valid</v>
      </c>
      <c r="U1044" t="str">
        <f t="shared" si="99"/>
        <v>Valid</v>
      </c>
      <c r="V1044" t="str">
        <f t="shared" si="100"/>
        <v>Valid</v>
      </c>
      <c r="W1044" t="str">
        <f t="shared" si="101"/>
        <v>Valid</v>
      </c>
    </row>
    <row r="1045" spans="1:23">
      <c r="A1045" t="s">
        <v>1076</v>
      </c>
      <c r="B1045" s="2">
        <v>45785</v>
      </c>
      <c r="C1045" t="s">
        <v>723</v>
      </c>
      <c r="D1045" t="s">
        <v>28</v>
      </c>
      <c r="E1045" t="s">
        <v>24</v>
      </c>
      <c r="F1045" t="s">
        <v>29</v>
      </c>
      <c r="G1045" t="s">
        <v>30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P1045">
        <v>44.9</v>
      </c>
      <c r="R1045" t="str">
        <f t="shared" si="96"/>
        <v>Unique</v>
      </c>
      <c r="S1045" t="str">
        <f t="shared" si="97"/>
        <v>Valid</v>
      </c>
      <c r="T1045" t="str">
        <f t="shared" si="98"/>
        <v>Valid</v>
      </c>
      <c r="U1045" t="str">
        <f t="shared" si="99"/>
        <v>Valid</v>
      </c>
      <c r="V1045" t="str">
        <f t="shared" si="100"/>
        <v>Valid</v>
      </c>
      <c r="W1045" t="str">
        <f t="shared" si="101"/>
        <v>Valid</v>
      </c>
    </row>
    <row r="1046" spans="1:23">
      <c r="A1046" t="s">
        <v>1077</v>
      </c>
      <c r="B1046" s="2">
        <v>45714</v>
      </c>
      <c r="C1046" t="s">
        <v>723</v>
      </c>
      <c r="D1046" t="s">
        <v>28</v>
      </c>
      <c r="E1046" t="s">
        <v>19</v>
      </c>
      <c r="F1046" t="s">
        <v>1451</v>
      </c>
      <c r="G1046" t="s">
        <v>21</v>
      </c>
      <c r="H1046">
        <v>1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P1046">
        <v>68</v>
      </c>
      <c r="R1046" t="str">
        <f t="shared" si="96"/>
        <v>Unique</v>
      </c>
      <c r="S1046" t="str">
        <f t="shared" si="97"/>
        <v>Valid</v>
      </c>
      <c r="T1046" t="str">
        <f t="shared" si="98"/>
        <v>Valid</v>
      </c>
      <c r="U1046" t="str">
        <f t="shared" si="99"/>
        <v>Valid</v>
      </c>
      <c r="V1046" t="str">
        <f t="shared" si="100"/>
        <v>Valid</v>
      </c>
      <c r="W1046" t="str">
        <f t="shared" si="101"/>
        <v>Valid</v>
      </c>
    </row>
    <row r="1047" spans="1:23">
      <c r="A1047" t="s">
        <v>1078</v>
      </c>
      <c r="B1047" s="2">
        <v>45746</v>
      </c>
      <c r="C1047" t="s">
        <v>723</v>
      </c>
      <c r="D1047" t="s">
        <v>18</v>
      </c>
      <c r="E1047" t="s">
        <v>24</v>
      </c>
      <c r="F1047" t="s">
        <v>29</v>
      </c>
      <c r="G1047" t="s">
        <v>26</v>
      </c>
      <c r="H1047">
        <v>1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P1047">
        <v>61</v>
      </c>
      <c r="R1047" t="str">
        <f t="shared" si="96"/>
        <v>Unique</v>
      </c>
      <c r="S1047" t="str">
        <f t="shared" si="97"/>
        <v>Valid</v>
      </c>
      <c r="T1047" t="str">
        <f t="shared" si="98"/>
        <v>Valid</v>
      </c>
      <c r="U1047" t="str">
        <f t="shared" si="99"/>
        <v>Valid</v>
      </c>
      <c r="V1047" t="str">
        <f t="shared" si="100"/>
        <v>Valid</v>
      </c>
      <c r="W1047" t="str">
        <f t="shared" si="101"/>
        <v>Valid</v>
      </c>
    </row>
    <row r="1048" spans="1:23">
      <c r="A1048" t="s">
        <v>1079</v>
      </c>
      <c r="B1048" s="2">
        <v>45760</v>
      </c>
      <c r="C1048" t="s">
        <v>723</v>
      </c>
      <c r="D1048" t="s">
        <v>23</v>
      </c>
      <c r="E1048" t="s">
        <v>24</v>
      </c>
      <c r="F1048" t="s">
        <v>25</v>
      </c>
      <c r="G1048" t="s">
        <v>21</v>
      </c>
      <c r="H1048">
        <v>1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P1048">
        <v>55</v>
      </c>
      <c r="R1048" t="str">
        <f t="shared" si="96"/>
        <v>Unique</v>
      </c>
      <c r="S1048" t="str">
        <f t="shared" si="97"/>
        <v>Valid</v>
      </c>
      <c r="T1048" t="str">
        <f t="shared" si="98"/>
        <v>Valid</v>
      </c>
      <c r="U1048" t="str">
        <f t="shared" si="99"/>
        <v>Valid</v>
      </c>
      <c r="V1048" t="str">
        <f t="shared" si="100"/>
        <v>Valid</v>
      </c>
      <c r="W1048" t="str">
        <f t="shared" si="101"/>
        <v>Valid</v>
      </c>
    </row>
    <row r="1049" spans="1:23">
      <c r="A1049" t="s">
        <v>1080</v>
      </c>
      <c r="B1049" s="2">
        <v>45708</v>
      </c>
      <c r="C1049" t="s">
        <v>723</v>
      </c>
      <c r="D1049" t="s">
        <v>28</v>
      </c>
      <c r="E1049" t="s">
        <v>1451</v>
      </c>
      <c r="F1049" t="s">
        <v>29</v>
      </c>
      <c r="G1049" t="s">
        <v>21</v>
      </c>
      <c r="H1049">
        <v>1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P1049">
        <v>63.1</v>
      </c>
      <c r="R1049" t="str">
        <f t="shared" si="96"/>
        <v>Unique</v>
      </c>
      <c r="S1049" t="str">
        <f t="shared" si="97"/>
        <v>Valid</v>
      </c>
      <c r="T1049" t="str">
        <f t="shared" si="98"/>
        <v>Valid</v>
      </c>
      <c r="U1049" t="str">
        <f t="shared" si="99"/>
        <v>Valid</v>
      </c>
      <c r="V1049" t="str">
        <f t="shared" si="100"/>
        <v>Valid</v>
      </c>
      <c r="W1049" t="str">
        <f t="shared" si="101"/>
        <v>Valid</v>
      </c>
    </row>
    <row r="1050" spans="1:23">
      <c r="A1050" t="s">
        <v>1081</v>
      </c>
      <c r="B1050" s="2">
        <v>45766</v>
      </c>
      <c r="C1050" t="s">
        <v>723</v>
      </c>
      <c r="D1050" t="s">
        <v>23</v>
      </c>
      <c r="E1050" t="s">
        <v>19</v>
      </c>
      <c r="F1050" t="s">
        <v>41</v>
      </c>
      <c r="G1050" t="s">
        <v>26</v>
      </c>
      <c r="H1050">
        <v>1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P1050">
        <v>75.8</v>
      </c>
      <c r="R1050" t="str">
        <f t="shared" si="96"/>
        <v>Unique</v>
      </c>
      <c r="S1050" t="str">
        <f t="shared" si="97"/>
        <v>Valid</v>
      </c>
      <c r="T1050" t="str">
        <f t="shared" si="98"/>
        <v>Valid</v>
      </c>
      <c r="U1050" t="str">
        <f t="shared" si="99"/>
        <v>Valid</v>
      </c>
      <c r="V1050" t="str">
        <f t="shared" si="100"/>
        <v>Valid</v>
      </c>
      <c r="W1050" t="str">
        <f t="shared" si="101"/>
        <v>Valid</v>
      </c>
    </row>
    <row r="1051" spans="1:23">
      <c r="A1051" t="s">
        <v>1082</v>
      </c>
      <c r="B1051" s="2">
        <v>45738</v>
      </c>
      <c r="C1051" t="s">
        <v>723</v>
      </c>
      <c r="D1051" t="s">
        <v>32</v>
      </c>
      <c r="E1051" t="s">
        <v>24</v>
      </c>
      <c r="F1051" t="s">
        <v>29</v>
      </c>
      <c r="G1051" t="s">
        <v>26</v>
      </c>
      <c r="H1051">
        <v>1</v>
      </c>
      <c r="I1051">
        <v>1</v>
      </c>
      <c r="J1051">
        <v>0</v>
      </c>
      <c r="K1051">
        <v>0</v>
      </c>
      <c r="L1051">
        <v>0</v>
      </c>
      <c r="M1051">
        <v>1</v>
      </c>
      <c r="N1051">
        <v>0</v>
      </c>
      <c r="P1051">
        <v>43.8</v>
      </c>
      <c r="R1051" t="str">
        <f t="shared" si="96"/>
        <v>Unique</v>
      </c>
      <c r="S1051" t="str">
        <f t="shared" si="97"/>
        <v>Valid</v>
      </c>
      <c r="T1051" t="str">
        <f t="shared" si="98"/>
        <v>Valid</v>
      </c>
      <c r="U1051" t="str">
        <f t="shared" si="99"/>
        <v>Valid</v>
      </c>
      <c r="V1051" t="str">
        <f t="shared" si="100"/>
        <v>Valid</v>
      </c>
      <c r="W1051" t="str">
        <f t="shared" si="101"/>
        <v>Valid</v>
      </c>
    </row>
    <row r="1052" spans="1:23">
      <c r="A1052" t="s">
        <v>1083</v>
      </c>
      <c r="B1052" s="2">
        <v>45716</v>
      </c>
      <c r="C1052" t="s">
        <v>723</v>
      </c>
      <c r="D1052" t="s">
        <v>18</v>
      </c>
      <c r="E1052" t="s">
        <v>24</v>
      </c>
      <c r="F1052" t="s">
        <v>20</v>
      </c>
      <c r="G1052" t="s">
        <v>21</v>
      </c>
      <c r="H1052">
        <v>1</v>
      </c>
      <c r="I1052">
        <v>1</v>
      </c>
      <c r="J1052">
        <v>0</v>
      </c>
      <c r="K1052">
        <v>0</v>
      </c>
      <c r="L1052">
        <v>0</v>
      </c>
      <c r="M1052">
        <v>0</v>
      </c>
      <c r="N1052">
        <v>0</v>
      </c>
      <c r="P1052">
        <v>46.8</v>
      </c>
      <c r="R1052" t="str">
        <f t="shared" si="96"/>
        <v>Unique</v>
      </c>
      <c r="S1052" t="str">
        <f t="shared" si="97"/>
        <v>Valid</v>
      </c>
      <c r="T1052" t="str">
        <f t="shared" si="98"/>
        <v>Valid</v>
      </c>
      <c r="U1052" t="str">
        <f t="shared" si="99"/>
        <v>Valid</v>
      </c>
      <c r="V1052" t="str">
        <f t="shared" si="100"/>
        <v>Valid</v>
      </c>
      <c r="W1052" t="str">
        <f t="shared" si="101"/>
        <v>Valid</v>
      </c>
    </row>
    <row r="1053" spans="1:23">
      <c r="A1053" t="s">
        <v>1084</v>
      </c>
      <c r="B1053" s="2">
        <v>45801</v>
      </c>
      <c r="C1053" t="s">
        <v>723</v>
      </c>
      <c r="D1053" t="s">
        <v>28</v>
      </c>
      <c r="E1053" t="s">
        <v>24</v>
      </c>
      <c r="F1053" t="s">
        <v>41</v>
      </c>
      <c r="G1053" t="s">
        <v>26</v>
      </c>
      <c r="H1053">
        <v>1</v>
      </c>
      <c r="I1053">
        <v>1</v>
      </c>
      <c r="J1053">
        <v>1</v>
      </c>
      <c r="K1053">
        <v>0</v>
      </c>
      <c r="L1053">
        <v>0</v>
      </c>
      <c r="M1053">
        <v>0</v>
      </c>
      <c r="N1053">
        <v>0</v>
      </c>
      <c r="P1053">
        <v>97.4</v>
      </c>
      <c r="R1053" t="str">
        <f t="shared" si="96"/>
        <v>Unique</v>
      </c>
      <c r="S1053" t="str">
        <f t="shared" si="97"/>
        <v>Valid</v>
      </c>
      <c r="T1053" t="str">
        <f t="shared" si="98"/>
        <v>Valid</v>
      </c>
      <c r="U1053" t="str">
        <f t="shared" si="99"/>
        <v>Valid</v>
      </c>
      <c r="V1053" t="str">
        <f t="shared" si="100"/>
        <v>Valid</v>
      </c>
      <c r="W1053" t="str">
        <f t="shared" si="101"/>
        <v>Valid</v>
      </c>
    </row>
    <row r="1054" spans="1:23">
      <c r="A1054" t="s">
        <v>1085</v>
      </c>
      <c r="B1054" s="2">
        <v>45691</v>
      </c>
      <c r="C1054" t="s">
        <v>723</v>
      </c>
      <c r="D1054" t="s">
        <v>18</v>
      </c>
      <c r="E1054" t="s">
        <v>19</v>
      </c>
      <c r="F1054" t="s">
        <v>20</v>
      </c>
      <c r="G1054" t="s">
        <v>26</v>
      </c>
      <c r="H1054">
        <v>1</v>
      </c>
      <c r="I1054">
        <v>1</v>
      </c>
      <c r="J1054">
        <v>1</v>
      </c>
      <c r="K1054">
        <v>1</v>
      </c>
      <c r="L1054">
        <v>268.95999999999998</v>
      </c>
      <c r="M1054">
        <v>0</v>
      </c>
      <c r="N1054">
        <v>0</v>
      </c>
      <c r="O1054">
        <v>14</v>
      </c>
      <c r="P1054">
        <v>81</v>
      </c>
      <c r="R1054" t="str">
        <f t="shared" si="96"/>
        <v>Unique</v>
      </c>
      <c r="S1054" t="str">
        <f t="shared" si="97"/>
        <v>Valid</v>
      </c>
      <c r="T1054" t="str">
        <f t="shared" si="98"/>
        <v>Valid</v>
      </c>
      <c r="U1054" t="str">
        <f t="shared" si="99"/>
        <v>Valid</v>
      </c>
      <c r="V1054" t="str">
        <f t="shared" si="100"/>
        <v>Valid</v>
      </c>
      <c r="W1054" t="str">
        <f t="shared" si="101"/>
        <v>Valid</v>
      </c>
    </row>
    <row r="1055" spans="1:23">
      <c r="A1055" t="s">
        <v>1086</v>
      </c>
      <c r="B1055" s="2">
        <v>45684</v>
      </c>
      <c r="C1055" t="s">
        <v>723</v>
      </c>
      <c r="D1055" t="s">
        <v>32</v>
      </c>
      <c r="E1055" t="s">
        <v>24</v>
      </c>
      <c r="F1055" t="s">
        <v>25</v>
      </c>
      <c r="G1055" t="s">
        <v>26</v>
      </c>
      <c r="H1055">
        <v>1</v>
      </c>
      <c r="I1055">
        <v>0</v>
      </c>
      <c r="J1055">
        <v>0</v>
      </c>
      <c r="K1055">
        <v>0</v>
      </c>
      <c r="L1055">
        <v>0</v>
      </c>
      <c r="M1055">
        <v>1</v>
      </c>
      <c r="N1055">
        <v>0</v>
      </c>
      <c r="P1055">
        <v>58.9</v>
      </c>
      <c r="R1055" t="str">
        <f t="shared" si="96"/>
        <v>Unique</v>
      </c>
      <c r="S1055" t="str">
        <f t="shared" si="97"/>
        <v>Valid</v>
      </c>
      <c r="T1055" t="str">
        <f t="shared" si="98"/>
        <v>Valid</v>
      </c>
      <c r="U1055" t="str">
        <f t="shared" si="99"/>
        <v>Valid</v>
      </c>
      <c r="V1055" t="str">
        <f t="shared" si="100"/>
        <v>Valid</v>
      </c>
      <c r="W1055" t="str">
        <f t="shared" si="101"/>
        <v>Valid</v>
      </c>
    </row>
    <row r="1056" spans="1:23">
      <c r="A1056" t="s">
        <v>1087</v>
      </c>
      <c r="B1056" s="2">
        <v>45764</v>
      </c>
      <c r="C1056" t="s">
        <v>723</v>
      </c>
      <c r="D1056" t="s">
        <v>28</v>
      </c>
      <c r="E1056" t="s">
        <v>24</v>
      </c>
      <c r="F1056" t="s">
        <v>25</v>
      </c>
      <c r="G1056" t="s">
        <v>26</v>
      </c>
      <c r="H1056">
        <v>1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P1056">
        <v>51.9</v>
      </c>
      <c r="R1056" t="str">
        <f t="shared" si="96"/>
        <v>Unique</v>
      </c>
      <c r="S1056" t="str">
        <f t="shared" si="97"/>
        <v>Valid</v>
      </c>
      <c r="T1056" t="str">
        <f t="shared" si="98"/>
        <v>Valid</v>
      </c>
      <c r="U1056" t="str">
        <f t="shared" si="99"/>
        <v>Valid</v>
      </c>
      <c r="V1056" t="str">
        <f t="shared" si="100"/>
        <v>Valid</v>
      </c>
      <c r="W1056" t="str">
        <f t="shared" si="101"/>
        <v>Valid</v>
      </c>
    </row>
    <row r="1057" spans="1:23">
      <c r="A1057" t="s">
        <v>1088</v>
      </c>
      <c r="B1057" s="2">
        <v>45694</v>
      </c>
      <c r="C1057" t="s">
        <v>723</v>
      </c>
      <c r="D1057" t="s">
        <v>23</v>
      </c>
      <c r="E1057" t="s">
        <v>24</v>
      </c>
      <c r="F1057" t="s">
        <v>41</v>
      </c>
      <c r="G1057" t="s">
        <v>26</v>
      </c>
      <c r="H1057">
        <v>1</v>
      </c>
      <c r="I1057">
        <v>1</v>
      </c>
      <c r="J1057">
        <v>0</v>
      </c>
      <c r="K1057">
        <v>0</v>
      </c>
      <c r="L1057">
        <v>0</v>
      </c>
      <c r="M1057">
        <v>0</v>
      </c>
      <c r="N1057">
        <v>0</v>
      </c>
      <c r="P1057">
        <v>61.7</v>
      </c>
      <c r="R1057" t="str">
        <f t="shared" si="96"/>
        <v>Unique</v>
      </c>
      <c r="S1057" t="str">
        <f t="shared" si="97"/>
        <v>Valid</v>
      </c>
      <c r="T1057" t="str">
        <f t="shared" si="98"/>
        <v>Valid</v>
      </c>
      <c r="U1057" t="str">
        <f t="shared" si="99"/>
        <v>Valid</v>
      </c>
      <c r="V1057" t="str">
        <f t="shared" si="100"/>
        <v>Valid</v>
      </c>
      <c r="W1057" t="str">
        <f t="shared" si="101"/>
        <v>Valid</v>
      </c>
    </row>
    <row r="1058" spans="1:23">
      <c r="A1058" t="s">
        <v>1089</v>
      </c>
      <c r="B1058" s="2">
        <v>45767</v>
      </c>
      <c r="C1058" t="s">
        <v>723</v>
      </c>
      <c r="D1058" t="s">
        <v>32</v>
      </c>
      <c r="E1058" t="s">
        <v>24</v>
      </c>
      <c r="F1058" t="s">
        <v>29</v>
      </c>
      <c r="G1058" t="s">
        <v>26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P1058">
        <v>44.7</v>
      </c>
      <c r="R1058" t="str">
        <f t="shared" si="96"/>
        <v>Unique</v>
      </c>
      <c r="S1058" t="str">
        <f t="shared" si="97"/>
        <v>Valid</v>
      </c>
      <c r="T1058" t="str">
        <f t="shared" si="98"/>
        <v>Valid</v>
      </c>
      <c r="U1058" t="str">
        <f t="shared" si="99"/>
        <v>Valid</v>
      </c>
      <c r="V1058" t="str">
        <f t="shared" si="100"/>
        <v>Valid</v>
      </c>
      <c r="W1058" t="str">
        <f t="shared" si="101"/>
        <v>Valid</v>
      </c>
    </row>
    <row r="1059" spans="1:23">
      <c r="A1059" t="s">
        <v>1090</v>
      </c>
      <c r="B1059" s="2">
        <v>45783</v>
      </c>
      <c r="C1059" t="s">
        <v>723</v>
      </c>
      <c r="D1059" t="s">
        <v>18</v>
      </c>
      <c r="E1059" t="s">
        <v>24</v>
      </c>
      <c r="F1059" t="s">
        <v>29</v>
      </c>
      <c r="G1059" t="s">
        <v>21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P1059">
        <v>63.2</v>
      </c>
      <c r="R1059" t="str">
        <f t="shared" si="96"/>
        <v>Unique</v>
      </c>
      <c r="S1059" t="str">
        <f t="shared" si="97"/>
        <v>Valid</v>
      </c>
      <c r="T1059" t="str">
        <f t="shared" si="98"/>
        <v>Valid</v>
      </c>
      <c r="U1059" t="str">
        <f t="shared" si="99"/>
        <v>Valid</v>
      </c>
      <c r="V1059" t="str">
        <f t="shared" si="100"/>
        <v>Valid</v>
      </c>
      <c r="W1059" t="str">
        <f t="shared" si="101"/>
        <v>Valid</v>
      </c>
    </row>
    <row r="1060" spans="1:23">
      <c r="A1060" t="s">
        <v>1091</v>
      </c>
      <c r="B1060" s="2">
        <v>45793</v>
      </c>
      <c r="C1060" t="s">
        <v>723</v>
      </c>
      <c r="D1060" t="s">
        <v>32</v>
      </c>
      <c r="E1060" t="s">
        <v>24</v>
      </c>
      <c r="F1060" t="s">
        <v>25</v>
      </c>
      <c r="G1060" t="s">
        <v>26</v>
      </c>
      <c r="H1060">
        <v>1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P1060">
        <v>70.3</v>
      </c>
      <c r="R1060" t="str">
        <f t="shared" si="96"/>
        <v>Duplicate</v>
      </c>
      <c r="S1060" t="str">
        <f t="shared" si="97"/>
        <v>Valid</v>
      </c>
      <c r="T1060" t="str">
        <f t="shared" si="98"/>
        <v>Valid</v>
      </c>
      <c r="U1060" t="str">
        <f t="shared" si="99"/>
        <v>Valid</v>
      </c>
      <c r="V1060" t="str">
        <f t="shared" si="100"/>
        <v>Valid</v>
      </c>
      <c r="W1060" t="str">
        <f t="shared" si="101"/>
        <v>Valid</v>
      </c>
    </row>
    <row r="1061" spans="1:23">
      <c r="A1061" t="s">
        <v>1092</v>
      </c>
      <c r="B1061" s="2">
        <v>45718</v>
      </c>
      <c r="C1061" t="s">
        <v>723</v>
      </c>
      <c r="D1061" t="s">
        <v>32</v>
      </c>
      <c r="E1061" t="s">
        <v>24</v>
      </c>
      <c r="F1061" t="s">
        <v>29</v>
      </c>
      <c r="G1061" t="s">
        <v>30</v>
      </c>
      <c r="H1061">
        <v>1</v>
      </c>
      <c r="I1061">
        <v>1</v>
      </c>
      <c r="J1061">
        <v>0</v>
      </c>
      <c r="K1061">
        <v>0</v>
      </c>
      <c r="L1061">
        <v>0</v>
      </c>
      <c r="M1061">
        <v>1</v>
      </c>
      <c r="N1061">
        <v>0</v>
      </c>
      <c r="P1061">
        <v>83.1</v>
      </c>
      <c r="R1061" t="str">
        <f t="shared" si="96"/>
        <v>Unique</v>
      </c>
      <c r="S1061" t="str">
        <f t="shared" si="97"/>
        <v>Valid</v>
      </c>
      <c r="T1061" t="str">
        <f t="shared" si="98"/>
        <v>Valid</v>
      </c>
      <c r="U1061" t="str">
        <f t="shared" si="99"/>
        <v>Valid</v>
      </c>
      <c r="V1061" t="str">
        <f t="shared" si="100"/>
        <v>Valid</v>
      </c>
      <c r="W1061" t="str">
        <f t="shared" si="101"/>
        <v>Valid</v>
      </c>
    </row>
    <row r="1062" spans="1:23">
      <c r="A1062" t="s">
        <v>1093</v>
      </c>
      <c r="B1062" s="2">
        <v>45756</v>
      </c>
      <c r="C1062" t="s">
        <v>723</v>
      </c>
      <c r="D1062" t="s">
        <v>23</v>
      </c>
      <c r="E1062" t="s">
        <v>24</v>
      </c>
      <c r="F1062" t="s">
        <v>41</v>
      </c>
      <c r="G1062" t="s">
        <v>26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P1062">
        <v>50.3</v>
      </c>
      <c r="R1062" t="str">
        <f t="shared" si="96"/>
        <v>Unique</v>
      </c>
      <c r="S1062" t="str">
        <f t="shared" si="97"/>
        <v>Valid</v>
      </c>
      <c r="T1062" t="str">
        <f t="shared" si="98"/>
        <v>Valid</v>
      </c>
      <c r="U1062" t="str">
        <f t="shared" si="99"/>
        <v>Valid</v>
      </c>
      <c r="V1062" t="str">
        <f t="shared" si="100"/>
        <v>Valid</v>
      </c>
      <c r="W1062" t="str">
        <f t="shared" si="101"/>
        <v>Valid</v>
      </c>
    </row>
    <row r="1063" spans="1:23">
      <c r="A1063" t="s">
        <v>1094</v>
      </c>
      <c r="B1063" s="2">
        <v>45683</v>
      </c>
      <c r="C1063" t="s">
        <v>723</v>
      </c>
      <c r="D1063" t="s">
        <v>28</v>
      </c>
      <c r="E1063" t="s">
        <v>24</v>
      </c>
      <c r="F1063" t="s">
        <v>29</v>
      </c>
      <c r="G1063" t="s">
        <v>26</v>
      </c>
      <c r="H1063">
        <v>1</v>
      </c>
      <c r="I1063">
        <v>1</v>
      </c>
      <c r="J1063">
        <v>1</v>
      </c>
      <c r="K1063">
        <v>1</v>
      </c>
      <c r="L1063">
        <v>437.09</v>
      </c>
      <c r="M1063">
        <v>2</v>
      </c>
      <c r="N1063">
        <v>1</v>
      </c>
      <c r="O1063">
        <v>1</v>
      </c>
      <c r="P1063">
        <v>58.2</v>
      </c>
      <c r="R1063" t="str">
        <f t="shared" si="96"/>
        <v>Unique</v>
      </c>
      <c r="S1063" t="str">
        <f t="shared" si="97"/>
        <v>Valid</v>
      </c>
      <c r="T1063" t="str">
        <f t="shared" si="98"/>
        <v>Valid</v>
      </c>
      <c r="U1063" t="str">
        <f t="shared" si="99"/>
        <v>Valid</v>
      </c>
      <c r="V1063" t="str">
        <f t="shared" si="100"/>
        <v>Valid</v>
      </c>
      <c r="W1063" t="str">
        <f t="shared" si="101"/>
        <v>Valid</v>
      </c>
    </row>
    <row r="1064" spans="1:23">
      <c r="A1064" t="s">
        <v>1095</v>
      </c>
      <c r="B1064" s="2">
        <v>45713</v>
      </c>
      <c r="C1064" t="s">
        <v>723</v>
      </c>
      <c r="D1064" t="s">
        <v>32</v>
      </c>
      <c r="E1064" t="s">
        <v>24</v>
      </c>
      <c r="F1064" t="s">
        <v>29</v>
      </c>
      <c r="G1064" t="s">
        <v>21</v>
      </c>
      <c r="H1064">
        <v>1</v>
      </c>
      <c r="I1064">
        <v>1</v>
      </c>
      <c r="J1064">
        <v>1</v>
      </c>
      <c r="K1064">
        <v>0</v>
      </c>
      <c r="L1064">
        <v>0</v>
      </c>
      <c r="M1064">
        <v>0</v>
      </c>
      <c r="N1064">
        <v>0</v>
      </c>
      <c r="P1064">
        <v>53.2</v>
      </c>
      <c r="R1064" t="str">
        <f t="shared" si="96"/>
        <v>Unique</v>
      </c>
      <c r="S1064" t="str">
        <f t="shared" si="97"/>
        <v>Valid</v>
      </c>
      <c r="T1064" t="str">
        <f t="shared" si="98"/>
        <v>Valid</v>
      </c>
      <c r="U1064" t="str">
        <f t="shared" si="99"/>
        <v>Valid</v>
      </c>
      <c r="V1064" t="str">
        <f t="shared" si="100"/>
        <v>Valid</v>
      </c>
      <c r="W1064" t="str">
        <f t="shared" si="101"/>
        <v>Valid</v>
      </c>
    </row>
    <row r="1065" spans="1:23">
      <c r="A1065" t="s">
        <v>1096</v>
      </c>
      <c r="B1065" s="2">
        <v>45664</v>
      </c>
      <c r="C1065" t="s">
        <v>723</v>
      </c>
      <c r="D1065" t="s">
        <v>28</v>
      </c>
      <c r="E1065" t="s">
        <v>24</v>
      </c>
      <c r="F1065" t="s">
        <v>25</v>
      </c>
      <c r="G1065" t="s">
        <v>30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P1065">
        <v>36.4</v>
      </c>
      <c r="R1065" t="str">
        <f t="shared" si="96"/>
        <v>Unique</v>
      </c>
      <c r="S1065" t="str">
        <f t="shared" si="97"/>
        <v>Valid</v>
      </c>
      <c r="T1065" t="str">
        <f t="shared" si="98"/>
        <v>Valid</v>
      </c>
      <c r="U1065" t="str">
        <f t="shared" si="99"/>
        <v>Valid</v>
      </c>
      <c r="V1065" t="str">
        <f t="shared" si="100"/>
        <v>Valid</v>
      </c>
      <c r="W1065" t="str">
        <f t="shared" si="101"/>
        <v>Valid</v>
      </c>
    </row>
    <row r="1066" spans="1:23">
      <c r="A1066" t="s">
        <v>1097</v>
      </c>
      <c r="B1066" s="2">
        <v>45724</v>
      </c>
      <c r="C1066" t="s">
        <v>723</v>
      </c>
      <c r="D1066" t="s">
        <v>32</v>
      </c>
      <c r="E1066" t="s">
        <v>24</v>
      </c>
      <c r="F1066" t="s">
        <v>41</v>
      </c>
      <c r="G1066" t="s">
        <v>21</v>
      </c>
      <c r="H1066">
        <v>1</v>
      </c>
      <c r="I1066">
        <v>1</v>
      </c>
      <c r="J1066">
        <v>1</v>
      </c>
      <c r="K1066">
        <v>0</v>
      </c>
      <c r="L1066">
        <v>0</v>
      </c>
      <c r="M1066">
        <v>0</v>
      </c>
      <c r="N1066">
        <v>0</v>
      </c>
      <c r="P1066">
        <v>72.7</v>
      </c>
      <c r="R1066" t="str">
        <f t="shared" si="96"/>
        <v>Unique</v>
      </c>
      <c r="S1066" t="str">
        <f t="shared" si="97"/>
        <v>Valid</v>
      </c>
      <c r="T1066" t="str">
        <f t="shared" si="98"/>
        <v>Valid</v>
      </c>
      <c r="U1066" t="str">
        <f t="shared" si="99"/>
        <v>Valid</v>
      </c>
      <c r="V1066" t="str">
        <f t="shared" si="100"/>
        <v>Valid</v>
      </c>
      <c r="W1066" t="str">
        <f t="shared" si="101"/>
        <v>Valid</v>
      </c>
    </row>
    <row r="1067" spans="1:23">
      <c r="A1067" t="s">
        <v>1098</v>
      </c>
      <c r="B1067" s="2">
        <v>45799</v>
      </c>
      <c r="C1067" t="s">
        <v>723</v>
      </c>
      <c r="D1067" t="s">
        <v>28</v>
      </c>
      <c r="E1067" t="s">
        <v>24</v>
      </c>
      <c r="F1067" t="s">
        <v>39</v>
      </c>
      <c r="G1067" t="s">
        <v>26</v>
      </c>
      <c r="H1067">
        <v>1</v>
      </c>
      <c r="I1067">
        <v>0</v>
      </c>
      <c r="J1067">
        <v>0</v>
      </c>
      <c r="K1067">
        <v>0</v>
      </c>
      <c r="L1067">
        <v>0</v>
      </c>
      <c r="M1067">
        <v>1</v>
      </c>
      <c r="N1067">
        <v>0</v>
      </c>
      <c r="P1067">
        <v>86.7</v>
      </c>
      <c r="R1067" t="str">
        <f t="shared" si="96"/>
        <v>Unique</v>
      </c>
      <c r="S1067" t="str">
        <f t="shared" si="97"/>
        <v>Valid</v>
      </c>
      <c r="T1067" t="str">
        <f t="shared" si="98"/>
        <v>Valid</v>
      </c>
      <c r="U1067" t="str">
        <f t="shared" si="99"/>
        <v>Valid</v>
      </c>
      <c r="V1067" t="str">
        <f t="shared" si="100"/>
        <v>Valid</v>
      </c>
      <c r="W1067" t="str">
        <f t="shared" si="101"/>
        <v>Valid</v>
      </c>
    </row>
    <row r="1068" spans="1:23">
      <c r="A1068" t="s">
        <v>1099</v>
      </c>
      <c r="B1068" s="2">
        <v>45765</v>
      </c>
      <c r="C1068" t="s">
        <v>723</v>
      </c>
      <c r="D1068" t="s">
        <v>28</v>
      </c>
      <c r="E1068" t="s">
        <v>24</v>
      </c>
      <c r="F1068" t="s">
        <v>29</v>
      </c>
      <c r="G1068" t="s">
        <v>30</v>
      </c>
      <c r="H1068">
        <v>1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P1068">
        <v>48.2</v>
      </c>
      <c r="R1068" t="str">
        <f t="shared" si="96"/>
        <v>Unique</v>
      </c>
      <c r="S1068" t="str">
        <f t="shared" si="97"/>
        <v>Valid</v>
      </c>
      <c r="T1068" t="str">
        <f t="shared" si="98"/>
        <v>Valid</v>
      </c>
      <c r="U1068" t="str">
        <f t="shared" si="99"/>
        <v>Valid</v>
      </c>
      <c r="V1068" t="str">
        <f t="shared" si="100"/>
        <v>Valid</v>
      </c>
      <c r="W1068" t="str">
        <f t="shared" si="101"/>
        <v>Valid</v>
      </c>
    </row>
    <row r="1069" spans="1:23">
      <c r="A1069" t="s">
        <v>1100</v>
      </c>
      <c r="B1069" s="2">
        <v>45712</v>
      </c>
      <c r="C1069" t="s">
        <v>723</v>
      </c>
      <c r="D1069" t="s">
        <v>23</v>
      </c>
      <c r="E1069" t="s">
        <v>24</v>
      </c>
      <c r="F1069" t="s">
        <v>39</v>
      </c>
      <c r="G1069" t="s">
        <v>21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1</v>
      </c>
      <c r="N1069">
        <v>0</v>
      </c>
      <c r="P1069">
        <v>57.6</v>
      </c>
      <c r="R1069" t="str">
        <f t="shared" si="96"/>
        <v>Unique</v>
      </c>
      <c r="S1069" t="str">
        <f t="shared" si="97"/>
        <v>Valid</v>
      </c>
      <c r="T1069" t="str">
        <f t="shared" si="98"/>
        <v>Valid</v>
      </c>
      <c r="U1069" t="str">
        <f t="shared" si="99"/>
        <v>Valid</v>
      </c>
      <c r="V1069" t="str">
        <f t="shared" si="100"/>
        <v>Valid</v>
      </c>
      <c r="W1069" t="str">
        <f t="shared" si="101"/>
        <v>Valid</v>
      </c>
    </row>
    <row r="1070" spans="1:23">
      <c r="A1070" t="s">
        <v>1101</v>
      </c>
      <c r="B1070" s="2">
        <v>45699</v>
      </c>
      <c r="C1070" t="s">
        <v>723</v>
      </c>
      <c r="D1070" t="s">
        <v>18</v>
      </c>
      <c r="E1070" t="s">
        <v>24</v>
      </c>
      <c r="F1070" t="s">
        <v>25</v>
      </c>
      <c r="G1070" t="s">
        <v>26</v>
      </c>
      <c r="H1070">
        <v>1</v>
      </c>
      <c r="I1070">
        <v>1</v>
      </c>
      <c r="J1070">
        <v>1</v>
      </c>
      <c r="K1070">
        <v>0</v>
      </c>
      <c r="L1070">
        <v>0</v>
      </c>
      <c r="M1070">
        <v>0</v>
      </c>
      <c r="N1070">
        <v>0</v>
      </c>
      <c r="P1070">
        <v>75.7</v>
      </c>
      <c r="R1070" t="str">
        <f t="shared" si="96"/>
        <v>Unique</v>
      </c>
      <c r="S1070" t="str">
        <f t="shared" si="97"/>
        <v>Valid</v>
      </c>
      <c r="T1070" t="str">
        <f t="shared" si="98"/>
        <v>Valid</v>
      </c>
      <c r="U1070" t="str">
        <f t="shared" si="99"/>
        <v>Valid</v>
      </c>
      <c r="V1070" t="str">
        <f t="shared" si="100"/>
        <v>Valid</v>
      </c>
      <c r="W1070" t="str">
        <f t="shared" si="101"/>
        <v>Valid</v>
      </c>
    </row>
    <row r="1071" spans="1:23">
      <c r="A1071" t="s">
        <v>1102</v>
      </c>
      <c r="B1071" s="2">
        <v>45727</v>
      </c>
      <c r="C1071" t="s">
        <v>723</v>
      </c>
      <c r="D1071" t="s">
        <v>23</v>
      </c>
      <c r="E1071" t="s">
        <v>19</v>
      </c>
      <c r="F1071" t="s">
        <v>29</v>
      </c>
      <c r="G1071" t="s">
        <v>26</v>
      </c>
      <c r="H1071">
        <v>1</v>
      </c>
      <c r="I1071">
        <v>0</v>
      </c>
      <c r="J1071">
        <v>0</v>
      </c>
      <c r="K1071">
        <v>0</v>
      </c>
      <c r="L1071">
        <v>0</v>
      </c>
      <c r="M1071">
        <v>2</v>
      </c>
      <c r="N1071">
        <v>0</v>
      </c>
      <c r="P1071">
        <v>48.6</v>
      </c>
      <c r="R1071" t="str">
        <f t="shared" si="96"/>
        <v>Unique</v>
      </c>
      <c r="S1071" t="str">
        <f t="shared" si="97"/>
        <v>Valid</v>
      </c>
      <c r="T1071" t="str">
        <f t="shared" si="98"/>
        <v>Valid</v>
      </c>
      <c r="U1071" t="str">
        <f t="shared" si="99"/>
        <v>Valid</v>
      </c>
      <c r="V1071" t="str">
        <f t="shared" si="100"/>
        <v>Valid</v>
      </c>
      <c r="W1071" t="str">
        <f t="shared" si="101"/>
        <v>Valid</v>
      </c>
    </row>
    <row r="1072" spans="1:23">
      <c r="A1072" t="s">
        <v>1103</v>
      </c>
      <c r="B1072" s="2">
        <v>45758</v>
      </c>
      <c r="C1072" t="s">
        <v>723</v>
      </c>
      <c r="D1072" t="s">
        <v>28</v>
      </c>
      <c r="E1072" t="s">
        <v>34</v>
      </c>
      <c r="F1072" t="s">
        <v>39</v>
      </c>
      <c r="G1072" t="s">
        <v>26</v>
      </c>
      <c r="H1072">
        <v>1</v>
      </c>
      <c r="I1072">
        <v>1</v>
      </c>
      <c r="J1072">
        <v>1</v>
      </c>
      <c r="K1072">
        <v>0</v>
      </c>
      <c r="L1072">
        <v>0</v>
      </c>
      <c r="M1072">
        <v>0</v>
      </c>
      <c r="N1072">
        <v>0</v>
      </c>
      <c r="P1072">
        <v>72</v>
      </c>
      <c r="R1072" t="str">
        <f t="shared" si="96"/>
        <v>Unique</v>
      </c>
      <c r="S1072" t="str">
        <f t="shared" si="97"/>
        <v>Valid</v>
      </c>
      <c r="T1072" t="str">
        <f t="shared" si="98"/>
        <v>Valid</v>
      </c>
      <c r="U1072" t="str">
        <f t="shared" si="99"/>
        <v>Valid</v>
      </c>
      <c r="V1072" t="str">
        <f t="shared" si="100"/>
        <v>Valid</v>
      </c>
      <c r="W1072" t="str">
        <f t="shared" si="101"/>
        <v>Valid</v>
      </c>
    </row>
    <row r="1073" spans="1:23">
      <c r="A1073" t="s">
        <v>1104</v>
      </c>
      <c r="B1073" s="2">
        <v>45727</v>
      </c>
      <c r="C1073" t="s">
        <v>723</v>
      </c>
      <c r="D1073" t="s">
        <v>18</v>
      </c>
      <c r="E1073" t="s">
        <v>24</v>
      </c>
      <c r="F1073" t="s">
        <v>25</v>
      </c>
      <c r="G1073" t="s">
        <v>26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P1073">
        <v>72.2</v>
      </c>
      <c r="R1073" t="str">
        <f t="shared" si="96"/>
        <v>Unique</v>
      </c>
      <c r="S1073" t="str">
        <f t="shared" si="97"/>
        <v>Valid</v>
      </c>
      <c r="T1073" t="str">
        <f t="shared" si="98"/>
        <v>Valid</v>
      </c>
      <c r="U1073" t="str">
        <f t="shared" si="99"/>
        <v>Valid</v>
      </c>
      <c r="V1073" t="str">
        <f t="shared" si="100"/>
        <v>Valid</v>
      </c>
      <c r="W1073" t="str">
        <f t="shared" si="101"/>
        <v>Valid</v>
      </c>
    </row>
    <row r="1074" spans="1:23">
      <c r="A1074" t="s">
        <v>1105</v>
      </c>
      <c r="B1074" s="2">
        <v>45799</v>
      </c>
      <c r="C1074" t="s">
        <v>723</v>
      </c>
      <c r="D1074" t="s">
        <v>28</v>
      </c>
      <c r="E1074" t="s">
        <v>24</v>
      </c>
      <c r="F1074" t="s">
        <v>39</v>
      </c>
      <c r="G1074" t="s">
        <v>26</v>
      </c>
      <c r="H1074">
        <v>1</v>
      </c>
      <c r="I1074">
        <v>0</v>
      </c>
      <c r="J1074">
        <v>0</v>
      </c>
      <c r="K1074">
        <v>0</v>
      </c>
      <c r="L1074">
        <v>0</v>
      </c>
      <c r="M1074">
        <v>1</v>
      </c>
      <c r="N1074">
        <v>0</v>
      </c>
      <c r="P1074">
        <v>60.02</v>
      </c>
      <c r="R1074" t="str">
        <f t="shared" si="96"/>
        <v>Unique</v>
      </c>
      <c r="S1074" t="str">
        <f t="shared" si="97"/>
        <v>Valid</v>
      </c>
      <c r="T1074" t="str">
        <f t="shared" si="98"/>
        <v>Valid</v>
      </c>
      <c r="U1074" t="str">
        <f t="shared" si="99"/>
        <v>Valid</v>
      </c>
      <c r="V1074" t="str">
        <f t="shared" si="100"/>
        <v>Valid</v>
      </c>
      <c r="W1074" t="str">
        <f t="shared" si="101"/>
        <v>Valid</v>
      </c>
    </row>
    <row r="1075" spans="1:23">
      <c r="A1075" t="s">
        <v>1106</v>
      </c>
      <c r="B1075" s="2">
        <v>45710</v>
      </c>
      <c r="C1075" t="s">
        <v>723</v>
      </c>
      <c r="D1075" t="s">
        <v>32</v>
      </c>
      <c r="E1075" t="s">
        <v>19</v>
      </c>
      <c r="F1075" t="s">
        <v>25</v>
      </c>
      <c r="G1075" t="s">
        <v>26</v>
      </c>
      <c r="H1075">
        <v>1</v>
      </c>
      <c r="I1075">
        <v>1</v>
      </c>
      <c r="J1075">
        <v>1</v>
      </c>
      <c r="K1075">
        <v>1</v>
      </c>
      <c r="L1075">
        <v>331.53</v>
      </c>
      <c r="M1075">
        <v>2</v>
      </c>
      <c r="N1075">
        <v>0</v>
      </c>
      <c r="O1075">
        <v>4</v>
      </c>
      <c r="P1075">
        <v>56.8</v>
      </c>
      <c r="R1075" t="str">
        <f t="shared" si="96"/>
        <v>Unique</v>
      </c>
      <c r="S1075" t="str">
        <f t="shared" si="97"/>
        <v>Valid</v>
      </c>
      <c r="T1075" t="str">
        <f t="shared" si="98"/>
        <v>Valid</v>
      </c>
      <c r="U1075" t="str">
        <f t="shared" si="99"/>
        <v>Valid</v>
      </c>
      <c r="V1075" t="str">
        <f t="shared" si="100"/>
        <v>Valid</v>
      </c>
      <c r="W1075" t="str">
        <f t="shared" si="101"/>
        <v>Valid</v>
      </c>
    </row>
    <row r="1076" spans="1:23">
      <c r="A1076" t="s">
        <v>1107</v>
      </c>
      <c r="B1076" s="2">
        <v>45670</v>
      </c>
      <c r="C1076" t="s">
        <v>723</v>
      </c>
      <c r="D1076" t="s">
        <v>28</v>
      </c>
      <c r="E1076" t="s">
        <v>24</v>
      </c>
      <c r="F1076" t="s">
        <v>29</v>
      </c>
      <c r="G1076" t="s">
        <v>21</v>
      </c>
      <c r="H1076">
        <v>1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P1076">
        <v>62.5</v>
      </c>
      <c r="R1076" t="str">
        <f t="shared" si="96"/>
        <v>Unique</v>
      </c>
      <c r="S1076" t="str">
        <f t="shared" si="97"/>
        <v>Valid</v>
      </c>
      <c r="T1076" t="str">
        <f t="shared" si="98"/>
        <v>Valid</v>
      </c>
      <c r="U1076" t="str">
        <f t="shared" si="99"/>
        <v>Valid</v>
      </c>
      <c r="V1076" t="str">
        <f t="shared" si="100"/>
        <v>Valid</v>
      </c>
      <c r="W1076" t="str">
        <f t="shared" si="101"/>
        <v>Valid</v>
      </c>
    </row>
    <row r="1077" spans="1:23">
      <c r="A1077" t="s">
        <v>1108</v>
      </c>
      <c r="B1077" s="2">
        <v>45796</v>
      </c>
      <c r="C1077" t="s">
        <v>723</v>
      </c>
      <c r="D1077" t="s">
        <v>32</v>
      </c>
      <c r="E1077" t="s">
        <v>24</v>
      </c>
      <c r="F1077" t="s">
        <v>25</v>
      </c>
      <c r="G1077" t="s">
        <v>26</v>
      </c>
      <c r="H1077">
        <v>1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P1077">
        <v>63.4</v>
      </c>
      <c r="R1077" t="str">
        <f t="shared" si="96"/>
        <v>Unique</v>
      </c>
      <c r="S1077" t="str">
        <f t="shared" si="97"/>
        <v>Valid</v>
      </c>
      <c r="T1077" t="str">
        <f t="shared" si="98"/>
        <v>Valid</v>
      </c>
      <c r="U1077" t="str">
        <f t="shared" si="99"/>
        <v>Valid</v>
      </c>
      <c r="V1077" t="str">
        <f t="shared" si="100"/>
        <v>Valid</v>
      </c>
      <c r="W1077" t="str">
        <f t="shared" si="101"/>
        <v>Valid</v>
      </c>
    </row>
    <row r="1078" spans="1:23">
      <c r="A1078" t="s">
        <v>1109</v>
      </c>
      <c r="B1078" s="2">
        <v>45724</v>
      </c>
      <c r="C1078" t="s">
        <v>723</v>
      </c>
      <c r="D1078" t="s">
        <v>18</v>
      </c>
      <c r="E1078" t="s">
        <v>34</v>
      </c>
      <c r="F1078" t="s">
        <v>25</v>
      </c>
      <c r="G1078" t="s">
        <v>21</v>
      </c>
      <c r="H1078">
        <v>1</v>
      </c>
      <c r="I1078">
        <v>1</v>
      </c>
      <c r="J1078">
        <v>1</v>
      </c>
      <c r="K1078">
        <v>1</v>
      </c>
      <c r="L1078">
        <v>774.78</v>
      </c>
      <c r="M1078">
        <v>0</v>
      </c>
      <c r="N1078">
        <v>0</v>
      </c>
      <c r="O1078">
        <v>3</v>
      </c>
      <c r="P1078">
        <v>46.8</v>
      </c>
      <c r="R1078" t="str">
        <f t="shared" si="96"/>
        <v>Unique</v>
      </c>
      <c r="S1078" t="str">
        <f t="shared" si="97"/>
        <v>Valid</v>
      </c>
      <c r="T1078" t="str">
        <f t="shared" si="98"/>
        <v>Valid</v>
      </c>
      <c r="U1078" t="str">
        <f t="shared" si="99"/>
        <v>Valid</v>
      </c>
      <c r="V1078" t="str">
        <f t="shared" si="100"/>
        <v>Valid</v>
      </c>
      <c r="W1078" t="str">
        <f t="shared" si="101"/>
        <v>Valid</v>
      </c>
    </row>
    <row r="1079" spans="1:23">
      <c r="A1079" t="s">
        <v>1110</v>
      </c>
      <c r="B1079" s="2">
        <v>45767</v>
      </c>
      <c r="C1079" t="s">
        <v>723</v>
      </c>
      <c r="D1079" t="s">
        <v>32</v>
      </c>
      <c r="E1079" t="s">
        <v>24</v>
      </c>
      <c r="F1079" t="s">
        <v>25</v>
      </c>
      <c r="G1079" t="s">
        <v>26</v>
      </c>
      <c r="H1079">
        <v>1</v>
      </c>
      <c r="I1079">
        <v>1</v>
      </c>
      <c r="J1079">
        <v>1</v>
      </c>
      <c r="K1079">
        <v>1</v>
      </c>
      <c r="L1079">
        <v>422.02</v>
      </c>
      <c r="M1079">
        <v>0</v>
      </c>
      <c r="N1079">
        <v>0</v>
      </c>
      <c r="O1079">
        <v>8</v>
      </c>
      <c r="P1079">
        <v>86.5</v>
      </c>
      <c r="R1079" t="str">
        <f t="shared" si="96"/>
        <v>Unique</v>
      </c>
      <c r="S1079" t="str">
        <f t="shared" si="97"/>
        <v>Valid</v>
      </c>
      <c r="T1079" t="str">
        <f t="shared" si="98"/>
        <v>Valid</v>
      </c>
      <c r="U1079" t="str">
        <f t="shared" si="99"/>
        <v>Valid</v>
      </c>
      <c r="V1079" t="str">
        <f t="shared" si="100"/>
        <v>Valid</v>
      </c>
      <c r="W1079" t="str">
        <f t="shared" si="101"/>
        <v>Valid</v>
      </c>
    </row>
    <row r="1080" spans="1:23">
      <c r="A1080" t="s">
        <v>1111</v>
      </c>
      <c r="B1080" s="2">
        <v>45785</v>
      </c>
      <c r="C1080" t="s">
        <v>723</v>
      </c>
      <c r="D1080" t="s">
        <v>23</v>
      </c>
      <c r="E1080" t="s">
        <v>24</v>
      </c>
      <c r="F1080" t="s">
        <v>20</v>
      </c>
      <c r="G1080" t="s">
        <v>21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1</v>
      </c>
      <c r="N1080">
        <v>0</v>
      </c>
      <c r="P1080">
        <v>75.099999999999994</v>
      </c>
      <c r="R1080" t="str">
        <f t="shared" si="96"/>
        <v>Unique</v>
      </c>
      <c r="S1080" t="str">
        <f t="shared" si="97"/>
        <v>Valid</v>
      </c>
      <c r="T1080" t="str">
        <f t="shared" si="98"/>
        <v>Valid</v>
      </c>
      <c r="U1080" t="str">
        <f t="shared" si="99"/>
        <v>Valid</v>
      </c>
      <c r="V1080" t="str">
        <f t="shared" si="100"/>
        <v>Valid</v>
      </c>
      <c r="W1080" t="str">
        <f t="shared" si="101"/>
        <v>Valid</v>
      </c>
    </row>
    <row r="1081" spans="1:23">
      <c r="A1081" t="s">
        <v>1112</v>
      </c>
      <c r="B1081" s="2">
        <v>45787</v>
      </c>
      <c r="C1081" t="s">
        <v>723</v>
      </c>
      <c r="D1081" t="s">
        <v>32</v>
      </c>
      <c r="E1081" t="s">
        <v>24</v>
      </c>
      <c r="F1081" t="s">
        <v>25</v>
      </c>
      <c r="G1081" t="s">
        <v>21</v>
      </c>
      <c r="H1081">
        <v>1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P1081">
        <v>64.5</v>
      </c>
      <c r="R1081" t="str">
        <f t="shared" si="96"/>
        <v>Unique</v>
      </c>
      <c r="S1081" t="str">
        <f t="shared" si="97"/>
        <v>Valid</v>
      </c>
      <c r="T1081" t="str">
        <f t="shared" si="98"/>
        <v>Valid</v>
      </c>
      <c r="U1081" t="str">
        <f t="shared" si="99"/>
        <v>Valid</v>
      </c>
      <c r="V1081" t="str">
        <f t="shared" si="100"/>
        <v>Valid</v>
      </c>
      <c r="W1081" t="str">
        <f t="shared" si="101"/>
        <v>Valid</v>
      </c>
    </row>
    <row r="1082" spans="1:23">
      <c r="A1082" t="s">
        <v>1113</v>
      </c>
      <c r="B1082" s="2">
        <v>45744</v>
      </c>
      <c r="C1082" t="s">
        <v>723</v>
      </c>
      <c r="D1082" t="s">
        <v>28</v>
      </c>
      <c r="E1082" t="s">
        <v>24</v>
      </c>
      <c r="F1082" t="s">
        <v>25</v>
      </c>
      <c r="G1082" t="s">
        <v>26</v>
      </c>
      <c r="H1082">
        <v>1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P1082">
        <v>54.2</v>
      </c>
      <c r="R1082" t="str">
        <f t="shared" si="96"/>
        <v>Unique</v>
      </c>
      <c r="S1082" t="str">
        <f t="shared" si="97"/>
        <v>Valid</v>
      </c>
      <c r="T1082" t="str">
        <f t="shared" si="98"/>
        <v>Valid</v>
      </c>
      <c r="U1082" t="str">
        <f t="shared" si="99"/>
        <v>Valid</v>
      </c>
      <c r="V1082" t="str">
        <f t="shared" si="100"/>
        <v>Valid</v>
      </c>
      <c r="W1082" t="str">
        <f t="shared" si="101"/>
        <v>Valid</v>
      </c>
    </row>
    <row r="1083" spans="1:23">
      <c r="A1083" t="s">
        <v>1114</v>
      </c>
      <c r="B1083" s="2">
        <v>45777</v>
      </c>
      <c r="C1083" t="s">
        <v>723</v>
      </c>
      <c r="D1083" t="s">
        <v>28</v>
      </c>
      <c r="E1083" t="s">
        <v>24</v>
      </c>
      <c r="F1083" t="s">
        <v>29</v>
      </c>
      <c r="G1083" t="s">
        <v>30</v>
      </c>
      <c r="H1083">
        <v>1</v>
      </c>
      <c r="I1083">
        <v>1</v>
      </c>
      <c r="J1083">
        <v>1</v>
      </c>
      <c r="K1083">
        <v>0</v>
      </c>
      <c r="L1083">
        <v>0</v>
      </c>
      <c r="M1083">
        <v>0</v>
      </c>
      <c r="N1083">
        <v>0</v>
      </c>
      <c r="P1083">
        <v>84.1</v>
      </c>
      <c r="R1083" t="str">
        <f t="shared" si="96"/>
        <v>Unique</v>
      </c>
      <c r="S1083" t="str">
        <f t="shared" si="97"/>
        <v>Valid</v>
      </c>
      <c r="T1083" t="str">
        <f t="shared" si="98"/>
        <v>Valid</v>
      </c>
      <c r="U1083" t="str">
        <f t="shared" si="99"/>
        <v>Valid</v>
      </c>
      <c r="V1083" t="str">
        <f t="shared" si="100"/>
        <v>Valid</v>
      </c>
      <c r="W1083" t="str">
        <f t="shared" si="101"/>
        <v>Valid</v>
      </c>
    </row>
    <row r="1084" spans="1:23">
      <c r="A1084" t="s">
        <v>1115</v>
      </c>
      <c r="B1084" s="2">
        <v>45696</v>
      </c>
      <c r="C1084" t="s">
        <v>723</v>
      </c>
      <c r="D1084" t="s">
        <v>18</v>
      </c>
      <c r="E1084" t="s">
        <v>24</v>
      </c>
      <c r="F1084" t="s">
        <v>25</v>
      </c>
      <c r="G1084" t="s">
        <v>21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1</v>
      </c>
      <c r="N1084">
        <v>0</v>
      </c>
      <c r="P1084">
        <v>49.1</v>
      </c>
      <c r="R1084" t="str">
        <f t="shared" si="96"/>
        <v>Unique</v>
      </c>
      <c r="S1084" t="str">
        <f t="shared" si="97"/>
        <v>Valid</v>
      </c>
      <c r="T1084" t="str">
        <f t="shared" si="98"/>
        <v>Valid</v>
      </c>
      <c r="U1084" t="str">
        <f t="shared" si="99"/>
        <v>Valid</v>
      </c>
      <c r="V1084" t="str">
        <f t="shared" si="100"/>
        <v>Valid</v>
      </c>
      <c r="W1084" t="str">
        <f t="shared" si="101"/>
        <v>Valid</v>
      </c>
    </row>
    <row r="1085" spans="1:23">
      <c r="A1085" t="s">
        <v>1116</v>
      </c>
      <c r="B1085" s="2">
        <v>45723</v>
      </c>
      <c r="C1085" t="s">
        <v>723</v>
      </c>
      <c r="D1085" t="s">
        <v>32</v>
      </c>
      <c r="E1085" t="s">
        <v>24</v>
      </c>
      <c r="F1085" t="s">
        <v>39</v>
      </c>
      <c r="G1085" t="s">
        <v>30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P1085">
        <v>92.7</v>
      </c>
      <c r="R1085" t="str">
        <f t="shared" si="96"/>
        <v>Unique</v>
      </c>
      <c r="S1085" t="str">
        <f t="shared" si="97"/>
        <v>Valid</v>
      </c>
      <c r="T1085" t="str">
        <f t="shared" si="98"/>
        <v>Valid</v>
      </c>
      <c r="U1085" t="str">
        <f t="shared" si="99"/>
        <v>Valid</v>
      </c>
      <c r="V1085" t="str">
        <f t="shared" si="100"/>
        <v>Valid</v>
      </c>
      <c r="W1085" t="str">
        <f t="shared" si="101"/>
        <v>Valid</v>
      </c>
    </row>
    <row r="1086" spans="1:23">
      <c r="A1086" t="s">
        <v>1117</v>
      </c>
      <c r="B1086" s="2">
        <v>45798</v>
      </c>
      <c r="C1086" t="s">
        <v>723</v>
      </c>
      <c r="D1086" t="s">
        <v>32</v>
      </c>
      <c r="E1086" t="s">
        <v>24</v>
      </c>
      <c r="F1086" t="s">
        <v>41</v>
      </c>
      <c r="G1086" t="s">
        <v>21</v>
      </c>
      <c r="H1086">
        <v>1</v>
      </c>
      <c r="I1086">
        <v>1</v>
      </c>
      <c r="J1086">
        <v>1</v>
      </c>
      <c r="K1086">
        <v>0</v>
      </c>
      <c r="L1086">
        <v>0</v>
      </c>
      <c r="M1086">
        <v>1</v>
      </c>
      <c r="N1086">
        <v>0</v>
      </c>
      <c r="P1086">
        <v>58.7</v>
      </c>
      <c r="R1086" t="str">
        <f t="shared" si="96"/>
        <v>Unique</v>
      </c>
      <c r="S1086" t="str">
        <f t="shared" si="97"/>
        <v>Valid</v>
      </c>
      <c r="T1086" t="str">
        <f t="shared" si="98"/>
        <v>Valid</v>
      </c>
      <c r="U1086" t="str">
        <f t="shared" si="99"/>
        <v>Valid</v>
      </c>
      <c r="V1086" t="str">
        <f t="shared" si="100"/>
        <v>Valid</v>
      </c>
      <c r="W1086" t="str">
        <f t="shared" si="101"/>
        <v>Valid</v>
      </c>
    </row>
    <row r="1087" spans="1:23">
      <c r="A1087" t="s">
        <v>1118</v>
      </c>
      <c r="B1087" s="2">
        <v>45759</v>
      </c>
      <c r="C1087" t="s">
        <v>723</v>
      </c>
      <c r="D1087" t="s">
        <v>32</v>
      </c>
      <c r="E1087" t="s">
        <v>24</v>
      </c>
      <c r="F1087" t="s">
        <v>41</v>
      </c>
      <c r="G1087" t="s">
        <v>26</v>
      </c>
      <c r="H1087">
        <v>1</v>
      </c>
      <c r="I1087">
        <v>1</v>
      </c>
      <c r="J1087">
        <v>1</v>
      </c>
      <c r="K1087">
        <v>0</v>
      </c>
      <c r="L1087">
        <v>0</v>
      </c>
      <c r="M1087">
        <v>0</v>
      </c>
      <c r="N1087">
        <v>0</v>
      </c>
      <c r="P1087">
        <v>59.3</v>
      </c>
      <c r="R1087" t="str">
        <f t="shared" si="96"/>
        <v>Unique</v>
      </c>
      <c r="S1087" t="str">
        <f t="shared" si="97"/>
        <v>Valid</v>
      </c>
      <c r="T1087" t="str">
        <f t="shared" si="98"/>
        <v>Valid</v>
      </c>
      <c r="U1087" t="str">
        <f t="shared" si="99"/>
        <v>Valid</v>
      </c>
      <c r="V1087" t="str">
        <f t="shared" si="100"/>
        <v>Valid</v>
      </c>
      <c r="W1087" t="str">
        <f t="shared" si="101"/>
        <v>Valid</v>
      </c>
    </row>
    <row r="1088" spans="1:23">
      <c r="A1088" t="s">
        <v>1119</v>
      </c>
      <c r="B1088" s="2">
        <v>45690</v>
      </c>
      <c r="C1088" t="s">
        <v>723</v>
      </c>
      <c r="D1088" t="s">
        <v>32</v>
      </c>
      <c r="E1088" t="s">
        <v>24</v>
      </c>
      <c r="F1088" t="s">
        <v>29</v>
      </c>
      <c r="G1088" t="s">
        <v>26</v>
      </c>
      <c r="H1088">
        <v>1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P1088">
        <v>62</v>
      </c>
      <c r="R1088" t="str">
        <f t="shared" si="96"/>
        <v>Unique</v>
      </c>
      <c r="S1088" t="str">
        <f t="shared" si="97"/>
        <v>Valid</v>
      </c>
      <c r="T1088" t="str">
        <f t="shared" si="98"/>
        <v>Valid</v>
      </c>
      <c r="U1088" t="str">
        <f t="shared" si="99"/>
        <v>Valid</v>
      </c>
      <c r="V1088" t="str">
        <f t="shared" si="100"/>
        <v>Valid</v>
      </c>
      <c r="W1088" t="str">
        <f t="shared" si="101"/>
        <v>Valid</v>
      </c>
    </row>
    <row r="1089" spans="1:23">
      <c r="A1089" t="s">
        <v>1120</v>
      </c>
      <c r="B1089" s="2">
        <v>45769</v>
      </c>
      <c r="C1089" t="s">
        <v>723</v>
      </c>
      <c r="D1089" t="s">
        <v>18</v>
      </c>
      <c r="E1089" t="s">
        <v>34</v>
      </c>
      <c r="F1089" t="s">
        <v>39</v>
      </c>
      <c r="G1089" t="s">
        <v>26</v>
      </c>
      <c r="H1089">
        <v>1</v>
      </c>
      <c r="I1089">
        <v>1</v>
      </c>
      <c r="J1089">
        <v>1</v>
      </c>
      <c r="K1089">
        <v>0</v>
      </c>
      <c r="L1089">
        <v>0</v>
      </c>
      <c r="M1089">
        <v>1</v>
      </c>
      <c r="N1089">
        <v>0</v>
      </c>
      <c r="P1089">
        <v>60.3</v>
      </c>
      <c r="R1089" t="str">
        <f t="shared" si="96"/>
        <v>Unique</v>
      </c>
      <c r="S1089" t="str">
        <f t="shared" si="97"/>
        <v>Valid</v>
      </c>
      <c r="T1089" t="str">
        <f t="shared" si="98"/>
        <v>Valid</v>
      </c>
      <c r="U1089" t="str">
        <f t="shared" si="99"/>
        <v>Valid</v>
      </c>
      <c r="V1089" t="str">
        <f t="shared" si="100"/>
        <v>Valid</v>
      </c>
      <c r="W1089" t="str">
        <f t="shared" si="101"/>
        <v>Valid</v>
      </c>
    </row>
    <row r="1090" spans="1:23">
      <c r="A1090" t="s">
        <v>1121</v>
      </c>
      <c r="B1090" s="2">
        <v>45696</v>
      </c>
      <c r="C1090" t="s">
        <v>723</v>
      </c>
      <c r="D1090" t="s">
        <v>18</v>
      </c>
      <c r="E1090" t="s">
        <v>24</v>
      </c>
      <c r="F1090" t="s">
        <v>41</v>
      </c>
      <c r="G1090" t="s">
        <v>21</v>
      </c>
      <c r="H1090">
        <v>1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P1090">
        <v>70.5</v>
      </c>
      <c r="R1090" t="str">
        <f t="shared" si="96"/>
        <v>Unique</v>
      </c>
      <c r="S1090" t="str">
        <f t="shared" si="97"/>
        <v>Valid</v>
      </c>
      <c r="T1090" t="str">
        <f t="shared" si="98"/>
        <v>Valid</v>
      </c>
      <c r="U1090" t="str">
        <f t="shared" si="99"/>
        <v>Valid</v>
      </c>
      <c r="V1090" t="str">
        <f t="shared" si="100"/>
        <v>Valid</v>
      </c>
      <c r="W1090" t="str">
        <f t="shared" si="101"/>
        <v>Valid</v>
      </c>
    </row>
    <row r="1091" spans="1:23">
      <c r="A1091" t="s">
        <v>1122</v>
      </c>
      <c r="B1091" s="2">
        <v>45681</v>
      </c>
      <c r="C1091" t="s">
        <v>723</v>
      </c>
      <c r="D1091" t="s">
        <v>32</v>
      </c>
      <c r="E1091" t="s">
        <v>19</v>
      </c>
      <c r="F1091" t="s">
        <v>20</v>
      </c>
      <c r="G1091" t="s">
        <v>26</v>
      </c>
      <c r="H1091">
        <v>1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P1091">
        <v>36.799999999999997</v>
      </c>
      <c r="R1091" t="str">
        <f t="shared" ref="R1091:R1154" si="102">IF(COUNTIF($A:$A,A1091)&gt;1,"Duplicate","Unique")</f>
        <v>Unique</v>
      </c>
      <c r="S1091" t="str">
        <f t="shared" ref="S1091:S1154" si="103">IF(OR(H1091=0,H1091=1),"Valid","Invalid")</f>
        <v>Valid</v>
      </c>
      <c r="T1091" t="str">
        <f t="shared" ref="T1091:T1154" si="104">IF(OR(I1091=0,I1091=1),"Valid","Invalid")</f>
        <v>Valid</v>
      </c>
      <c r="U1091" t="str">
        <f t="shared" ref="U1091:U1154" si="105">IF(OR(J1091=0,J1091=1),"Valid","Invalid")</f>
        <v>Valid</v>
      </c>
      <c r="V1091" t="str">
        <f t="shared" ref="V1091:V1154" si="106">IF(OR(K1091=0,K1091=1),"Valid","Invalid")</f>
        <v>Valid</v>
      </c>
      <c r="W1091" t="str">
        <f t="shared" ref="W1091:W1154" si="107">IF(OR(N1091=0,N1091=1),"Valid","Invalid")</f>
        <v>Valid</v>
      </c>
    </row>
    <row r="1092" spans="1:23">
      <c r="A1092" t="s">
        <v>1123</v>
      </c>
      <c r="B1092" s="2">
        <v>45789</v>
      </c>
      <c r="C1092" t="s">
        <v>723</v>
      </c>
      <c r="D1092" t="s">
        <v>32</v>
      </c>
      <c r="E1092" t="s">
        <v>24</v>
      </c>
      <c r="F1092" t="s">
        <v>29</v>
      </c>
      <c r="G1092" t="s">
        <v>21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1</v>
      </c>
      <c r="N1092">
        <v>0</v>
      </c>
      <c r="P1092">
        <v>73.2</v>
      </c>
      <c r="R1092" t="str">
        <f t="shared" si="102"/>
        <v>Unique</v>
      </c>
      <c r="S1092" t="str">
        <f t="shared" si="103"/>
        <v>Valid</v>
      </c>
      <c r="T1092" t="str">
        <f t="shared" si="104"/>
        <v>Valid</v>
      </c>
      <c r="U1092" t="str">
        <f t="shared" si="105"/>
        <v>Valid</v>
      </c>
      <c r="V1092" t="str">
        <f t="shared" si="106"/>
        <v>Valid</v>
      </c>
      <c r="W1092" t="str">
        <f t="shared" si="107"/>
        <v>Valid</v>
      </c>
    </row>
    <row r="1093" spans="1:23">
      <c r="A1093" t="s">
        <v>1124</v>
      </c>
      <c r="B1093" s="2">
        <v>45746</v>
      </c>
      <c r="C1093" t="s">
        <v>723</v>
      </c>
      <c r="D1093" t="s">
        <v>18</v>
      </c>
      <c r="E1093" t="s">
        <v>24</v>
      </c>
      <c r="F1093" t="s">
        <v>25</v>
      </c>
      <c r="G1093" t="s">
        <v>21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P1093">
        <v>70.099999999999994</v>
      </c>
      <c r="R1093" t="str">
        <f t="shared" si="102"/>
        <v>Unique</v>
      </c>
      <c r="S1093" t="str">
        <f t="shared" si="103"/>
        <v>Valid</v>
      </c>
      <c r="T1093" t="str">
        <f t="shared" si="104"/>
        <v>Valid</v>
      </c>
      <c r="U1093" t="str">
        <f t="shared" si="105"/>
        <v>Valid</v>
      </c>
      <c r="V1093" t="str">
        <f t="shared" si="106"/>
        <v>Valid</v>
      </c>
      <c r="W1093" t="str">
        <f t="shared" si="107"/>
        <v>Valid</v>
      </c>
    </row>
    <row r="1094" spans="1:23">
      <c r="A1094" t="s">
        <v>1125</v>
      </c>
      <c r="B1094" s="2">
        <v>45659</v>
      </c>
      <c r="C1094" t="s">
        <v>723</v>
      </c>
      <c r="D1094" t="s">
        <v>32</v>
      </c>
      <c r="E1094" t="s">
        <v>19</v>
      </c>
      <c r="F1094" t="s">
        <v>29</v>
      </c>
      <c r="G1094" t="s">
        <v>21</v>
      </c>
      <c r="H1094">
        <v>1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P1094">
        <v>76.400000000000006</v>
      </c>
      <c r="R1094" t="str">
        <f t="shared" si="102"/>
        <v>Unique</v>
      </c>
      <c r="S1094" t="str">
        <f t="shared" si="103"/>
        <v>Valid</v>
      </c>
      <c r="T1094" t="str">
        <f t="shared" si="104"/>
        <v>Valid</v>
      </c>
      <c r="U1094" t="str">
        <f t="shared" si="105"/>
        <v>Valid</v>
      </c>
      <c r="V1094" t="str">
        <f t="shared" si="106"/>
        <v>Valid</v>
      </c>
      <c r="W1094" t="str">
        <f t="shared" si="107"/>
        <v>Valid</v>
      </c>
    </row>
    <row r="1095" spans="1:23">
      <c r="A1095" t="s">
        <v>1126</v>
      </c>
      <c r="B1095" s="2">
        <v>45737</v>
      </c>
      <c r="C1095" t="s">
        <v>723</v>
      </c>
      <c r="D1095" t="s">
        <v>32</v>
      </c>
      <c r="E1095" t="s">
        <v>34</v>
      </c>
      <c r="F1095" t="s">
        <v>20</v>
      </c>
      <c r="G1095" t="s">
        <v>21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P1095">
        <v>46.4</v>
      </c>
      <c r="R1095" t="str">
        <f t="shared" si="102"/>
        <v>Unique</v>
      </c>
      <c r="S1095" t="str">
        <f t="shared" si="103"/>
        <v>Valid</v>
      </c>
      <c r="T1095" t="str">
        <f t="shared" si="104"/>
        <v>Valid</v>
      </c>
      <c r="U1095" t="str">
        <f t="shared" si="105"/>
        <v>Valid</v>
      </c>
      <c r="V1095" t="str">
        <f t="shared" si="106"/>
        <v>Valid</v>
      </c>
      <c r="W1095" t="str">
        <f t="shared" si="107"/>
        <v>Valid</v>
      </c>
    </row>
    <row r="1096" spans="1:23">
      <c r="A1096" t="s">
        <v>1127</v>
      </c>
      <c r="B1096" s="2">
        <v>45682</v>
      </c>
      <c r="C1096" t="s">
        <v>723</v>
      </c>
      <c r="D1096" t="s">
        <v>23</v>
      </c>
      <c r="E1096" t="s">
        <v>24</v>
      </c>
      <c r="F1096" t="s">
        <v>25</v>
      </c>
      <c r="G1096" t="s">
        <v>26</v>
      </c>
      <c r="H1096">
        <v>1</v>
      </c>
      <c r="I1096">
        <v>1</v>
      </c>
      <c r="J1096">
        <v>1</v>
      </c>
      <c r="K1096">
        <v>0</v>
      </c>
      <c r="L1096">
        <v>0</v>
      </c>
      <c r="M1096">
        <v>1</v>
      </c>
      <c r="N1096">
        <v>0</v>
      </c>
      <c r="P1096">
        <v>81.3</v>
      </c>
      <c r="R1096" t="str">
        <f t="shared" si="102"/>
        <v>Unique</v>
      </c>
      <c r="S1096" t="str">
        <f t="shared" si="103"/>
        <v>Valid</v>
      </c>
      <c r="T1096" t="str">
        <f t="shared" si="104"/>
        <v>Valid</v>
      </c>
      <c r="U1096" t="str">
        <f t="shared" si="105"/>
        <v>Valid</v>
      </c>
      <c r="V1096" t="str">
        <f t="shared" si="106"/>
        <v>Valid</v>
      </c>
      <c r="W1096" t="str">
        <f t="shared" si="107"/>
        <v>Valid</v>
      </c>
    </row>
    <row r="1097" spans="1:23">
      <c r="A1097" t="s">
        <v>1128</v>
      </c>
      <c r="B1097" s="2">
        <v>45669</v>
      </c>
      <c r="C1097" t="s">
        <v>723</v>
      </c>
      <c r="D1097" t="s">
        <v>32</v>
      </c>
      <c r="E1097" t="s">
        <v>34</v>
      </c>
      <c r="F1097" t="s">
        <v>41</v>
      </c>
      <c r="G1097" t="s">
        <v>26</v>
      </c>
      <c r="H1097">
        <v>1</v>
      </c>
      <c r="I1097">
        <v>1</v>
      </c>
      <c r="J1097">
        <v>1</v>
      </c>
      <c r="K1097">
        <v>0</v>
      </c>
      <c r="L1097">
        <v>0</v>
      </c>
      <c r="M1097">
        <v>0</v>
      </c>
      <c r="N1097">
        <v>0</v>
      </c>
      <c r="P1097">
        <v>55.3</v>
      </c>
      <c r="R1097" t="str">
        <f t="shared" si="102"/>
        <v>Unique</v>
      </c>
      <c r="S1097" t="str">
        <f t="shared" si="103"/>
        <v>Valid</v>
      </c>
      <c r="T1097" t="str">
        <f t="shared" si="104"/>
        <v>Valid</v>
      </c>
      <c r="U1097" t="str">
        <f t="shared" si="105"/>
        <v>Valid</v>
      </c>
      <c r="V1097" t="str">
        <f t="shared" si="106"/>
        <v>Valid</v>
      </c>
      <c r="W1097" t="str">
        <f t="shared" si="107"/>
        <v>Valid</v>
      </c>
    </row>
    <row r="1098" spans="1:23">
      <c r="A1098" t="s">
        <v>1129</v>
      </c>
      <c r="B1098" s="2">
        <v>45734</v>
      </c>
      <c r="C1098" t="s">
        <v>723</v>
      </c>
      <c r="D1098" t="s">
        <v>28</v>
      </c>
      <c r="E1098" t="s">
        <v>19</v>
      </c>
      <c r="F1098" t="s">
        <v>39</v>
      </c>
      <c r="G1098" t="s">
        <v>26</v>
      </c>
      <c r="H1098">
        <v>1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P1098">
        <v>44.7</v>
      </c>
      <c r="R1098" t="str">
        <f t="shared" si="102"/>
        <v>Unique</v>
      </c>
      <c r="S1098" t="str">
        <f t="shared" si="103"/>
        <v>Valid</v>
      </c>
      <c r="T1098" t="str">
        <f t="shared" si="104"/>
        <v>Valid</v>
      </c>
      <c r="U1098" t="str">
        <f t="shared" si="105"/>
        <v>Valid</v>
      </c>
      <c r="V1098" t="str">
        <f t="shared" si="106"/>
        <v>Valid</v>
      </c>
      <c r="W1098" t="str">
        <f t="shared" si="107"/>
        <v>Valid</v>
      </c>
    </row>
    <row r="1099" spans="1:23">
      <c r="A1099" t="s">
        <v>1130</v>
      </c>
      <c r="B1099" s="2">
        <v>45742</v>
      </c>
      <c r="C1099" t="s">
        <v>723</v>
      </c>
      <c r="D1099" t="s">
        <v>28</v>
      </c>
      <c r="E1099" t="s">
        <v>24</v>
      </c>
      <c r="F1099" t="s">
        <v>29</v>
      </c>
      <c r="G1099" t="s">
        <v>21</v>
      </c>
      <c r="H1099">
        <v>1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P1099">
        <v>67.2</v>
      </c>
      <c r="R1099" t="str">
        <f t="shared" si="102"/>
        <v>Unique</v>
      </c>
      <c r="S1099" t="str">
        <f t="shared" si="103"/>
        <v>Valid</v>
      </c>
      <c r="T1099" t="str">
        <f t="shared" si="104"/>
        <v>Valid</v>
      </c>
      <c r="U1099" t="str">
        <f t="shared" si="105"/>
        <v>Valid</v>
      </c>
      <c r="V1099" t="str">
        <f t="shared" si="106"/>
        <v>Valid</v>
      </c>
      <c r="W1099" t="str">
        <f t="shared" si="107"/>
        <v>Valid</v>
      </c>
    </row>
    <row r="1100" spans="1:23">
      <c r="A1100" t="s">
        <v>1131</v>
      </c>
      <c r="B1100" s="2">
        <v>45766</v>
      </c>
      <c r="C1100" t="s">
        <v>723</v>
      </c>
      <c r="D1100" t="s">
        <v>18</v>
      </c>
      <c r="E1100" t="s">
        <v>24</v>
      </c>
      <c r="F1100" t="s">
        <v>29</v>
      </c>
      <c r="G1100" t="s">
        <v>21</v>
      </c>
      <c r="H1100">
        <v>1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P1100">
        <v>60.02</v>
      </c>
      <c r="R1100" t="str">
        <f t="shared" si="102"/>
        <v>Unique</v>
      </c>
      <c r="S1100" t="str">
        <f t="shared" si="103"/>
        <v>Valid</v>
      </c>
      <c r="T1100" t="str">
        <f t="shared" si="104"/>
        <v>Valid</v>
      </c>
      <c r="U1100" t="str">
        <f t="shared" si="105"/>
        <v>Valid</v>
      </c>
      <c r="V1100" t="str">
        <f t="shared" si="106"/>
        <v>Valid</v>
      </c>
      <c r="W1100" t="str">
        <f t="shared" si="107"/>
        <v>Valid</v>
      </c>
    </row>
    <row r="1101" spans="1:23">
      <c r="A1101" t="s">
        <v>1132</v>
      </c>
      <c r="B1101" s="2">
        <v>45764</v>
      </c>
      <c r="C1101" t="s">
        <v>723</v>
      </c>
      <c r="D1101" t="s">
        <v>28</v>
      </c>
      <c r="E1101" t="s">
        <v>24</v>
      </c>
      <c r="F1101" t="s">
        <v>25</v>
      </c>
      <c r="G1101" t="s">
        <v>30</v>
      </c>
      <c r="H1101">
        <v>1</v>
      </c>
      <c r="I1101">
        <v>1</v>
      </c>
      <c r="J1101">
        <v>1</v>
      </c>
      <c r="K1101">
        <v>0</v>
      </c>
      <c r="L1101">
        <v>0</v>
      </c>
      <c r="M1101">
        <v>1</v>
      </c>
      <c r="N1101">
        <v>0</v>
      </c>
      <c r="P1101">
        <v>70.8</v>
      </c>
      <c r="R1101" t="str">
        <f t="shared" si="102"/>
        <v>Unique</v>
      </c>
      <c r="S1101" t="str">
        <f t="shared" si="103"/>
        <v>Valid</v>
      </c>
      <c r="T1101" t="str">
        <f t="shared" si="104"/>
        <v>Valid</v>
      </c>
      <c r="U1101" t="str">
        <f t="shared" si="105"/>
        <v>Valid</v>
      </c>
      <c r="V1101" t="str">
        <f t="shared" si="106"/>
        <v>Valid</v>
      </c>
      <c r="W1101" t="str">
        <f t="shared" si="107"/>
        <v>Valid</v>
      </c>
    </row>
    <row r="1102" spans="1:23">
      <c r="A1102" t="s">
        <v>1133</v>
      </c>
      <c r="B1102" s="2">
        <v>45803</v>
      </c>
      <c r="C1102" t="s">
        <v>723</v>
      </c>
      <c r="D1102" t="s">
        <v>32</v>
      </c>
      <c r="E1102" t="s">
        <v>24</v>
      </c>
      <c r="F1102" t="s">
        <v>29</v>
      </c>
      <c r="G1102" t="s">
        <v>26</v>
      </c>
      <c r="H1102">
        <v>1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P1102">
        <v>71.3</v>
      </c>
      <c r="R1102" t="str">
        <f t="shared" si="102"/>
        <v>Unique</v>
      </c>
      <c r="S1102" t="str">
        <f t="shared" si="103"/>
        <v>Valid</v>
      </c>
      <c r="T1102" t="str">
        <f t="shared" si="104"/>
        <v>Valid</v>
      </c>
      <c r="U1102" t="str">
        <f t="shared" si="105"/>
        <v>Valid</v>
      </c>
      <c r="V1102" t="str">
        <f t="shared" si="106"/>
        <v>Valid</v>
      </c>
      <c r="W1102" t="str">
        <f t="shared" si="107"/>
        <v>Valid</v>
      </c>
    </row>
    <row r="1103" spans="1:23">
      <c r="A1103" t="s">
        <v>1134</v>
      </c>
      <c r="B1103" s="2">
        <v>45761</v>
      </c>
      <c r="C1103" t="s">
        <v>723</v>
      </c>
      <c r="D1103" t="s">
        <v>18</v>
      </c>
      <c r="E1103" t="s">
        <v>24</v>
      </c>
      <c r="F1103" t="s">
        <v>41</v>
      </c>
      <c r="G1103" t="s">
        <v>30</v>
      </c>
      <c r="H1103">
        <v>1</v>
      </c>
      <c r="I1103">
        <v>1</v>
      </c>
      <c r="J1103">
        <v>1</v>
      </c>
      <c r="K1103">
        <v>0</v>
      </c>
      <c r="L1103">
        <v>0</v>
      </c>
      <c r="M1103">
        <v>0</v>
      </c>
      <c r="N1103">
        <v>0</v>
      </c>
      <c r="P1103">
        <v>69.400000000000006</v>
      </c>
      <c r="R1103" t="str">
        <f t="shared" si="102"/>
        <v>Unique</v>
      </c>
      <c r="S1103" t="str">
        <f t="shared" si="103"/>
        <v>Valid</v>
      </c>
      <c r="T1103" t="str">
        <f t="shared" si="104"/>
        <v>Valid</v>
      </c>
      <c r="U1103" t="str">
        <f t="shared" si="105"/>
        <v>Valid</v>
      </c>
      <c r="V1103" t="str">
        <f t="shared" si="106"/>
        <v>Valid</v>
      </c>
      <c r="W1103" t="str">
        <f t="shared" si="107"/>
        <v>Valid</v>
      </c>
    </row>
    <row r="1104" spans="1:23">
      <c r="A1104" t="s">
        <v>1135</v>
      </c>
      <c r="B1104" s="2">
        <v>45680</v>
      </c>
      <c r="C1104" t="s">
        <v>723</v>
      </c>
      <c r="D1104" t="s">
        <v>32</v>
      </c>
      <c r="E1104" t="s">
        <v>24</v>
      </c>
      <c r="F1104" t="s">
        <v>25</v>
      </c>
      <c r="G1104" t="s">
        <v>21</v>
      </c>
      <c r="H1104">
        <v>1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P1104">
        <v>58.9</v>
      </c>
      <c r="R1104" t="str">
        <f t="shared" si="102"/>
        <v>Unique</v>
      </c>
      <c r="S1104" t="str">
        <f t="shared" si="103"/>
        <v>Valid</v>
      </c>
      <c r="T1104" t="str">
        <f t="shared" si="104"/>
        <v>Valid</v>
      </c>
      <c r="U1104" t="str">
        <f t="shared" si="105"/>
        <v>Valid</v>
      </c>
      <c r="V1104" t="str">
        <f t="shared" si="106"/>
        <v>Valid</v>
      </c>
      <c r="W1104" t="str">
        <f t="shared" si="107"/>
        <v>Valid</v>
      </c>
    </row>
    <row r="1105" spans="1:23">
      <c r="A1105" t="s">
        <v>1136</v>
      </c>
      <c r="B1105" s="2">
        <v>45663</v>
      </c>
      <c r="C1105" t="s">
        <v>723</v>
      </c>
      <c r="D1105" t="s">
        <v>28</v>
      </c>
      <c r="E1105" t="s">
        <v>24</v>
      </c>
      <c r="F1105" t="s">
        <v>39</v>
      </c>
      <c r="G1105" t="s">
        <v>26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P1105">
        <v>70.7</v>
      </c>
      <c r="R1105" t="str">
        <f t="shared" si="102"/>
        <v>Unique</v>
      </c>
      <c r="S1105" t="str">
        <f t="shared" si="103"/>
        <v>Valid</v>
      </c>
      <c r="T1105" t="str">
        <f t="shared" si="104"/>
        <v>Valid</v>
      </c>
      <c r="U1105" t="str">
        <f t="shared" si="105"/>
        <v>Valid</v>
      </c>
      <c r="V1105" t="str">
        <f t="shared" si="106"/>
        <v>Valid</v>
      </c>
      <c r="W1105" t="str">
        <f t="shared" si="107"/>
        <v>Valid</v>
      </c>
    </row>
    <row r="1106" spans="1:23">
      <c r="A1106" t="s">
        <v>1137</v>
      </c>
      <c r="B1106" s="2">
        <v>45808</v>
      </c>
      <c r="C1106" t="s">
        <v>723</v>
      </c>
      <c r="D1106" t="s">
        <v>23</v>
      </c>
      <c r="E1106" t="s">
        <v>24</v>
      </c>
      <c r="F1106" t="s">
        <v>20</v>
      </c>
      <c r="G1106" t="s">
        <v>21</v>
      </c>
      <c r="H1106">
        <v>1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P1106">
        <v>60.5</v>
      </c>
      <c r="R1106" t="str">
        <f t="shared" si="102"/>
        <v>Unique</v>
      </c>
      <c r="S1106" t="str">
        <f t="shared" si="103"/>
        <v>Valid</v>
      </c>
      <c r="T1106" t="str">
        <f t="shared" si="104"/>
        <v>Valid</v>
      </c>
      <c r="U1106" t="str">
        <f t="shared" si="105"/>
        <v>Valid</v>
      </c>
      <c r="V1106" t="str">
        <f t="shared" si="106"/>
        <v>Valid</v>
      </c>
      <c r="W1106" t="str">
        <f t="shared" si="107"/>
        <v>Valid</v>
      </c>
    </row>
    <row r="1107" spans="1:23">
      <c r="A1107" t="s">
        <v>1138</v>
      </c>
      <c r="B1107" s="2">
        <v>45796</v>
      </c>
      <c r="C1107" t="s">
        <v>723</v>
      </c>
      <c r="D1107" t="s">
        <v>18</v>
      </c>
      <c r="E1107" t="s">
        <v>24</v>
      </c>
      <c r="F1107" t="s">
        <v>25</v>
      </c>
      <c r="G1107" t="s">
        <v>21</v>
      </c>
      <c r="H1107">
        <v>1</v>
      </c>
      <c r="I1107">
        <v>1</v>
      </c>
      <c r="J1107">
        <v>1</v>
      </c>
      <c r="K1107">
        <v>0</v>
      </c>
      <c r="L1107">
        <v>0</v>
      </c>
      <c r="M1107">
        <v>0</v>
      </c>
      <c r="N1107">
        <v>0</v>
      </c>
      <c r="P1107">
        <v>77.3</v>
      </c>
      <c r="R1107" t="str">
        <f t="shared" si="102"/>
        <v>Unique</v>
      </c>
      <c r="S1107" t="str">
        <f t="shared" si="103"/>
        <v>Valid</v>
      </c>
      <c r="T1107" t="str">
        <f t="shared" si="104"/>
        <v>Valid</v>
      </c>
      <c r="U1107" t="str">
        <f t="shared" si="105"/>
        <v>Valid</v>
      </c>
      <c r="V1107" t="str">
        <f t="shared" si="106"/>
        <v>Valid</v>
      </c>
      <c r="W1107" t="str">
        <f t="shared" si="107"/>
        <v>Valid</v>
      </c>
    </row>
    <row r="1108" spans="1:23">
      <c r="A1108" t="s">
        <v>1139</v>
      </c>
      <c r="B1108" s="2">
        <v>45713</v>
      </c>
      <c r="C1108" t="s">
        <v>723</v>
      </c>
      <c r="D1108" t="s">
        <v>18</v>
      </c>
      <c r="E1108" t="s">
        <v>24</v>
      </c>
      <c r="F1108" t="s">
        <v>25</v>
      </c>
      <c r="G1108" t="s">
        <v>26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1</v>
      </c>
      <c r="N1108">
        <v>0</v>
      </c>
      <c r="P1108">
        <v>39.5</v>
      </c>
      <c r="R1108" t="str">
        <f t="shared" si="102"/>
        <v>Unique</v>
      </c>
      <c r="S1108" t="str">
        <f t="shared" si="103"/>
        <v>Valid</v>
      </c>
      <c r="T1108" t="str">
        <f t="shared" si="104"/>
        <v>Valid</v>
      </c>
      <c r="U1108" t="str">
        <f t="shared" si="105"/>
        <v>Valid</v>
      </c>
      <c r="V1108" t="str">
        <f t="shared" si="106"/>
        <v>Valid</v>
      </c>
      <c r="W1108" t="str">
        <f t="shared" si="107"/>
        <v>Valid</v>
      </c>
    </row>
    <row r="1109" spans="1:23">
      <c r="A1109" t="s">
        <v>1140</v>
      </c>
      <c r="B1109" s="2">
        <v>45667</v>
      </c>
      <c r="C1109" t="s">
        <v>723</v>
      </c>
      <c r="D1109" t="s">
        <v>32</v>
      </c>
      <c r="E1109" t="s">
        <v>34</v>
      </c>
      <c r="F1109" t="s">
        <v>25</v>
      </c>
      <c r="G1109" t="s">
        <v>21</v>
      </c>
      <c r="H1109">
        <v>1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P1109">
        <v>68.099999999999994</v>
      </c>
      <c r="R1109" t="str">
        <f t="shared" si="102"/>
        <v>Unique</v>
      </c>
      <c r="S1109" t="str">
        <f t="shared" si="103"/>
        <v>Valid</v>
      </c>
      <c r="T1109" t="str">
        <f t="shared" si="104"/>
        <v>Valid</v>
      </c>
      <c r="U1109" t="str">
        <f t="shared" si="105"/>
        <v>Valid</v>
      </c>
      <c r="V1109" t="str">
        <f t="shared" si="106"/>
        <v>Valid</v>
      </c>
      <c r="W1109" t="str">
        <f t="shared" si="107"/>
        <v>Valid</v>
      </c>
    </row>
    <row r="1110" spans="1:23">
      <c r="A1110" t="s">
        <v>1141</v>
      </c>
      <c r="B1110" s="2">
        <v>45790</v>
      </c>
      <c r="C1110" t="s">
        <v>723</v>
      </c>
      <c r="D1110" t="s">
        <v>18</v>
      </c>
      <c r="E1110" t="s">
        <v>34</v>
      </c>
      <c r="F1110" t="s">
        <v>29</v>
      </c>
      <c r="G1110" t="s">
        <v>26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P1110">
        <v>80.3</v>
      </c>
      <c r="R1110" t="str">
        <f t="shared" si="102"/>
        <v>Unique</v>
      </c>
      <c r="S1110" t="str">
        <f t="shared" si="103"/>
        <v>Valid</v>
      </c>
      <c r="T1110" t="str">
        <f t="shared" si="104"/>
        <v>Valid</v>
      </c>
      <c r="U1110" t="str">
        <f t="shared" si="105"/>
        <v>Valid</v>
      </c>
      <c r="V1110" t="str">
        <f t="shared" si="106"/>
        <v>Valid</v>
      </c>
      <c r="W1110" t="str">
        <f t="shared" si="107"/>
        <v>Valid</v>
      </c>
    </row>
    <row r="1111" spans="1:23">
      <c r="A1111" t="s">
        <v>1142</v>
      </c>
      <c r="B1111" s="2">
        <v>45774</v>
      </c>
      <c r="C1111" t="s">
        <v>723</v>
      </c>
      <c r="D1111" t="s">
        <v>23</v>
      </c>
      <c r="E1111" t="s">
        <v>19</v>
      </c>
      <c r="F1111" t="s">
        <v>25</v>
      </c>
      <c r="G1111" t="s">
        <v>30</v>
      </c>
      <c r="H1111">
        <v>1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P1111">
        <v>77.7</v>
      </c>
      <c r="R1111" t="str">
        <f t="shared" si="102"/>
        <v>Unique</v>
      </c>
      <c r="S1111" t="str">
        <f t="shared" si="103"/>
        <v>Valid</v>
      </c>
      <c r="T1111" t="str">
        <f t="shared" si="104"/>
        <v>Valid</v>
      </c>
      <c r="U1111" t="str">
        <f t="shared" si="105"/>
        <v>Valid</v>
      </c>
      <c r="V1111" t="str">
        <f t="shared" si="106"/>
        <v>Valid</v>
      </c>
      <c r="W1111" t="str">
        <f t="shared" si="107"/>
        <v>Valid</v>
      </c>
    </row>
    <row r="1112" spans="1:23">
      <c r="A1112" t="s">
        <v>1143</v>
      </c>
      <c r="B1112" s="2">
        <v>45750</v>
      </c>
      <c r="C1112" t="s">
        <v>723</v>
      </c>
      <c r="D1112" t="s">
        <v>32</v>
      </c>
      <c r="E1112" t="s">
        <v>24</v>
      </c>
      <c r="F1112" t="s">
        <v>25</v>
      </c>
      <c r="G1112" t="s">
        <v>26</v>
      </c>
      <c r="H1112">
        <v>1</v>
      </c>
      <c r="I1112">
        <v>0</v>
      </c>
      <c r="J1112">
        <v>0</v>
      </c>
      <c r="K1112">
        <v>0</v>
      </c>
      <c r="L1112">
        <v>0</v>
      </c>
      <c r="M1112">
        <v>1</v>
      </c>
      <c r="N1112">
        <v>0</v>
      </c>
      <c r="P1112">
        <v>66.2</v>
      </c>
      <c r="R1112" t="str">
        <f t="shared" si="102"/>
        <v>Unique</v>
      </c>
      <c r="S1112" t="str">
        <f t="shared" si="103"/>
        <v>Valid</v>
      </c>
      <c r="T1112" t="str">
        <f t="shared" si="104"/>
        <v>Valid</v>
      </c>
      <c r="U1112" t="str">
        <f t="shared" si="105"/>
        <v>Valid</v>
      </c>
      <c r="V1112" t="str">
        <f t="shared" si="106"/>
        <v>Valid</v>
      </c>
      <c r="W1112" t="str">
        <f t="shared" si="107"/>
        <v>Valid</v>
      </c>
    </row>
    <row r="1113" spans="1:23">
      <c r="A1113" t="s">
        <v>1144</v>
      </c>
      <c r="B1113" s="2">
        <v>45742</v>
      </c>
      <c r="C1113" t="s">
        <v>723</v>
      </c>
      <c r="D1113" t="s">
        <v>32</v>
      </c>
      <c r="E1113" t="s">
        <v>24</v>
      </c>
      <c r="F1113" t="s">
        <v>25</v>
      </c>
      <c r="G1113" t="s">
        <v>26</v>
      </c>
      <c r="H1113">
        <v>1</v>
      </c>
      <c r="I1113">
        <v>1</v>
      </c>
      <c r="J1113">
        <v>1</v>
      </c>
      <c r="K1113">
        <v>0</v>
      </c>
      <c r="L1113">
        <v>0</v>
      </c>
      <c r="M1113">
        <v>1</v>
      </c>
      <c r="N1113">
        <v>0</v>
      </c>
      <c r="P1113">
        <v>43.9</v>
      </c>
      <c r="R1113" t="str">
        <f t="shared" si="102"/>
        <v>Unique</v>
      </c>
      <c r="S1113" t="str">
        <f t="shared" si="103"/>
        <v>Valid</v>
      </c>
      <c r="T1113" t="str">
        <f t="shared" si="104"/>
        <v>Valid</v>
      </c>
      <c r="U1113" t="str">
        <f t="shared" si="105"/>
        <v>Valid</v>
      </c>
      <c r="V1113" t="str">
        <f t="shared" si="106"/>
        <v>Valid</v>
      </c>
      <c r="W1113" t="str">
        <f t="shared" si="107"/>
        <v>Valid</v>
      </c>
    </row>
    <row r="1114" spans="1:23">
      <c r="A1114" t="s">
        <v>1145</v>
      </c>
      <c r="B1114" s="2">
        <v>45688</v>
      </c>
      <c r="C1114" t="s">
        <v>723</v>
      </c>
      <c r="D1114" t="s">
        <v>32</v>
      </c>
      <c r="E1114" t="s">
        <v>24</v>
      </c>
      <c r="F1114" t="s">
        <v>25</v>
      </c>
      <c r="G1114" t="s">
        <v>21</v>
      </c>
      <c r="H1114">
        <v>1</v>
      </c>
      <c r="I1114">
        <v>1</v>
      </c>
      <c r="J1114">
        <v>1</v>
      </c>
      <c r="K1114">
        <v>0</v>
      </c>
      <c r="L1114">
        <v>0</v>
      </c>
      <c r="M1114">
        <v>2</v>
      </c>
      <c r="N1114">
        <v>0</v>
      </c>
      <c r="P1114">
        <v>59.1</v>
      </c>
      <c r="R1114" t="str">
        <f t="shared" si="102"/>
        <v>Unique</v>
      </c>
      <c r="S1114" t="str">
        <f t="shared" si="103"/>
        <v>Valid</v>
      </c>
      <c r="T1114" t="str">
        <f t="shared" si="104"/>
        <v>Valid</v>
      </c>
      <c r="U1114" t="str">
        <f t="shared" si="105"/>
        <v>Valid</v>
      </c>
      <c r="V1114" t="str">
        <f t="shared" si="106"/>
        <v>Valid</v>
      </c>
      <c r="W1114" t="str">
        <f t="shared" si="107"/>
        <v>Valid</v>
      </c>
    </row>
    <row r="1115" spans="1:23">
      <c r="A1115" t="s">
        <v>1146</v>
      </c>
      <c r="B1115" s="2">
        <v>45682</v>
      </c>
      <c r="C1115" t="s">
        <v>723</v>
      </c>
      <c r="D1115" t="s">
        <v>32</v>
      </c>
      <c r="E1115" t="s">
        <v>24</v>
      </c>
      <c r="F1115" t="s">
        <v>41</v>
      </c>
      <c r="G1115" t="s">
        <v>26</v>
      </c>
      <c r="H1115">
        <v>1</v>
      </c>
      <c r="I1115">
        <v>1</v>
      </c>
      <c r="J1115">
        <v>1</v>
      </c>
      <c r="K1115">
        <v>1</v>
      </c>
      <c r="L1115">
        <v>416.94</v>
      </c>
      <c r="M1115">
        <v>1</v>
      </c>
      <c r="N1115">
        <v>0</v>
      </c>
      <c r="O1115">
        <v>11</v>
      </c>
      <c r="P1115">
        <v>67</v>
      </c>
      <c r="R1115" t="str">
        <f t="shared" si="102"/>
        <v>Unique</v>
      </c>
      <c r="S1115" t="str">
        <f t="shared" si="103"/>
        <v>Valid</v>
      </c>
      <c r="T1115" t="str">
        <f t="shared" si="104"/>
        <v>Valid</v>
      </c>
      <c r="U1115" t="str">
        <f t="shared" si="105"/>
        <v>Valid</v>
      </c>
      <c r="V1115" t="str">
        <f t="shared" si="106"/>
        <v>Valid</v>
      </c>
      <c r="W1115" t="str">
        <f t="shared" si="107"/>
        <v>Valid</v>
      </c>
    </row>
    <row r="1116" spans="1:23">
      <c r="A1116" t="s">
        <v>1147</v>
      </c>
      <c r="B1116" s="2">
        <v>45694</v>
      </c>
      <c r="C1116" t="s">
        <v>723</v>
      </c>
      <c r="D1116" t="s">
        <v>23</v>
      </c>
      <c r="E1116" t="s">
        <v>24</v>
      </c>
      <c r="F1116" t="s">
        <v>39</v>
      </c>
      <c r="G1116" t="s">
        <v>21</v>
      </c>
      <c r="H1116">
        <v>1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P1116">
        <v>47.9</v>
      </c>
      <c r="R1116" t="str">
        <f t="shared" si="102"/>
        <v>Unique</v>
      </c>
      <c r="S1116" t="str">
        <f t="shared" si="103"/>
        <v>Valid</v>
      </c>
      <c r="T1116" t="str">
        <f t="shared" si="104"/>
        <v>Valid</v>
      </c>
      <c r="U1116" t="str">
        <f t="shared" si="105"/>
        <v>Valid</v>
      </c>
      <c r="V1116" t="str">
        <f t="shared" si="106"/>
        <v>Valid</v>
      </c>
      <c r="W1116" t="str">
        <f t="shared" si="107"/>
        <v>Valid</v>
      </c>
    </row>
    <row r="1117" spans="1:23">
      <c r="A1117" t="s">
        <v>1148</v>
      </c>
      <c r="B1117" s="2">
        <v>45726</v>
      </c>
      <c r="C1117" t="s">
        <v>723</v>
      </c>
      <c r="D1117" t="s">
        <v>28</v>
      </c>
      <c r="E1117" t="s">
        <v>24</v>
      </c>
      <c r="F1117" t="s">
        <v>29</v>
      </c>
      <c r="G1117" t="s">
        <v>26</v>
      </c>
      <c r="H1117">
        <v>1</v>
      </c>
      <c r="I1117">
        <v>1</v>
      </c>
      <c r="J1117">
        <v>0</v>
      </c>
      <c r="K1117">
        <v>0</v>
      </c>
      <c r="L1117">
        <v>0</v>
      </c>
      <c r="M1117">
        <v>0</v>
      </c>
      <c r="N1117">
        <v>0</v>
      </c>
      <c r="P1117">
        <v>41.5</v>
      </c>
      <c r="R1117" t="str">
        <f t="shared" si="102"/>
        <v>Unique</v>
      </c>
      <c r="S1117" t="str">
        <f t="shared" si="103"/>
        <v>Valid</v>
      </c>
      <c r="T1117" t="str">
        <f t="shared" si="104"/>
        <v>Valid</v>
      </c>
      <c r="U1117" t="str">
        <f t="shared" si="105"/>
        <v>Valid</v>
      </c>
      <c r="V1117" t="str">
        <f t="shared" si="106"/>
        <v>Valid</v>
      </c>
      <c r="W1117" t="str">
        <f t="shared" si="107"/>
        <v>Valid</v>
      </c>
    </row>
    <row r="1118" spans="1:23">
      <c r="A1118" t="s">
        <v>1149</v>
      </c>
      <c r="B1118" s="2">
        <v>45683</v>
      </c>
      <c r="C1118" t="s">
        <v>723</v>
      </c>
      <c r="D1118" t="s">
        <v>23</v>
      </c>
      <c r="E1118" t="s">
        <v>24</v>
      </c>
      <c r="F1118" t="s">
        <v>25</v>
      </c>
      <c r="G1118" t="s">
        <v>21</v>
      </c>
      <c r="H1118">
        <v>1</v>
      </c>
      <c r="I1118">
        <v>1</v>
      </c>
      <c r="J1118">
        <v>1</v>
      </c>
      <c r="K1118">
        <v>0</v>
      </c>
      <c r="L1118">
        <v>0</v>
      </c>
      <c r="M1118">
        <v>3</v>
      </c>
      <c r="N1118">
        <v>0</v>
      </c>
      <c r="P1118">
        <v>30.6</v>
      </c>
      <c r="R1118" t="str">
        <f t="shared" si="102"/>
        <v>Unique</v>
      </c>
      <c r="S1118" t="str">
        <f t="shared" si="103"/>
        <v>Valid</v>
      </c>
      <c r="T1118" t="str">
        <f t="shared" si="104"/>
        <v>Valid</v>
      </c>
      <c r="U1118" t="str">
        <f t="shared" si="105"/>
        <v>Valid</v>
      </c>
      <c r="V1118" t="str">
        <f t="shared" si="106"/>
        <v>Valid</v>
      </c>
      <c r="W1118" t="str">
        <f t="shared" si="107"/>
        <v>Valid</v>
      </c>
    </row>
    <row r="1119" spans="1:23">
      <c r="A1119" t="s">
        <v>1150</v>
      </c>
      <c r="B1119" s="2">
        <v>45658</v>
      </c>
      <c r="C1119" t="s">
        <v>723</v>
      </c>
      <c r="D1119" t="s">
        <v>28</v>
      </c>
      <c r="E1119" t="s">
        <v>24</v>
      </c>
      <c r="F1119" t="s">
        <v>29</v>
      </c>
      <c r="G1119" t="s">
        <v>26</v>
      </c>
      <c r="H1119">
        <v>1</v>
      </c>
      <c r="I1119">
        <v>1</v>
      </c>
      <c r="J1119">
        <v>0</v>
      </c>
      <c r="K1119">
        <v>0</v>
      </c>
      <c r="L1119">
        <v>0</v>
      </c>
      <c r="M1119">
        <v>0</v>
      </c>
      <c r="N1119">
        <v>0</v>
      </c>
      <c r="P1119">
        <v>91.5</v>
      </c>
      <c r="R1119" t="str">
        <f t="shared" si="102"/>
        <v>Unique</v>
      </c>
      <c r="S1119" t="str">
        <f t="shared" si="103"/>
        <v>Valid</v>
      </c>
      <c r="T1119" t="str">
        <f t="shared" si="104"/>
        <v>Valid</v>
      </c>
      <c r="U1119" t="str">
        <f t="shared" si="105"/>
        <v>Valid</v>
      </c>
      <c r="V1119" t="str">
        <f t="shared" si="106"/>
        <v>Valid</v>
      </c>
      <c r="W1119" t="str">
        <f t="shared" si="107"/>
        <v>Valid</v>
      </c>
    </row>
    <row r="1120" spans="1:23">
      <c r="A1120" t="s">
        <v>1151</v>
      </c>
      <c r="B1120" s="2">
        <v>45775</v>
      </c>
      <c r="C1120" t="s">
        <v>723</v>
      </c>
      <c r="D1120" t="s">
        <v>18</v>
      </c>
      <c r="E1120" t="s">
        <v>19</v>
      </c>
      <c r="F1120" t="s">
        <v>41</v>
      </c>
      <c r="G1120" t="s">
        <v>21</v>
      </c>
      <c r="H1120">
        <v>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P1120">
        <v>80.8</v>
      </c>
      <c r="R1120" t="str">
        <f t="shared" si="102"/>
        <v>Unique</v>
      </c>
      <c r="S1120" t="str">
        <f t="shared" si="103"/>
        <v>Valid</v>
      </c>
      <c r="T1120" t="str">
        <f t="shared" si="104"/>
        <v>Valid</v>
      </c>
      <c r="U1120" t="str">
        <f t="shared" si="105"/>
        <v>Valid</v>
      </c>
      <c r="V1120" t="str">
        <f t="shared" si="106"/>
        <v>Valid</v>
      </c>
      <c r="W1120" t="str">
        <f t="shared" si="107"/>
        <v>Valid</v>
      </c>
    </row>
    <row r="1121" spans="1:23">
      <c r="A1121" t="s">
        <v>1152</v>
      </c>
      <c r="B1121" s="2">
        <v>45751</v>
      </c>
      <c r="C1121" t="s">
        <v>723</v>
      </c>
      <c r="D1121" t="s">
        <v>18</v>
      </c>
      <c r="E1121" t="s">
        <v>24</v>
      </c>
      <c r="F1121" t="s">
        <v>25</v>
      </c>
      <c r="G1121" t="s">
        <v>30</v>
      </c>
      <c r="H1121">
        <v>1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P1121">
        <v>68.099999999999994</v>
      </c>
      <c r="R1121" t="str">
        <f t="shared" si="102"/>
        <v>Unique</v>
      </c>
      <c r="S1121" t="str">
        <f t="shared" si="103"/>
        <v>Valid</v>
      </c>
      <c r="T1121" t="str">
        <f t="shared" si="104"/>
        <v>Valid</v>
      </c>
      <c r="U1121" t="str">
        <f t="shared" si="105"/>
        <v>Valid</v>
      </c>
      <c r="V1121" t="str">
        <f t="shared" si="106"/>
        <v>Valid</v>
      </c>
      <c r="W1121" t="str">
        <f t="shared" si="107"/>
        <v>Valid</v>
      </c>
    </row>
    <row r="1122" spans="1:23">
      <c r="A1122" t="s">
        <v>1153</v>
      </c>
      <c r="B1122" s="2">
        <v>45718</v>
      </c>
      <c r="C1122" t="s">
        <v>723</v>
      </c>
      <c r="D1122" t="s">
        <v>28</v>
      </c>
      <c r="E1122" t="s">
        <v>24</v>
      </c>
      <c r="F1122" t="s">
        <v>29</v>
      </c>
      <c r="G1122" t="s">
        <v>26</v>
      </c>
      <c r="H1122">
        <v>1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P1122">
        <v>80.3</v>
      </c>
      <c r="R1122" t="str">
        <f t="shared" si="102"/>
        <v>Unique</v>
      </c>
      <c r="S1122" t="str">
        <f t="shared" si="103"/>
        <v>Valid</v>
      </c>
      <c r="T1122" t="str">
        <f t="shared" si="104"/>
        <v>Valid</v>
      </c>
      <c r="U1122" t="str">
        <f t="shared" si="105"/>
        <v>Valid</v>
      </c>
      <c r="V1122" t="str">
        <f t="shared" si="106"/>
        <v>Valid</v>
      </c>
      <c r="W1122" t="str">
        <f t="shared" si="107"/>
        <v>Valid</v>
      </c>
    </row>
    <row r="1123" spans="1:23">
      <c r="A1123" t="s">
        <v>1154</v>
      </c>
      <c r="B1123" s="2">
        <v>45735</v>
      </c>
      <c r="C1123" t="s">
        <v>723</v>
      </c>
      <c r="D1123" t="s">
        <v>32</v>
      </c>
      <c r="E1123" t="s">
        <v>34</v>
      </c>
      <c r="F1123" t="s">
        <v>25</v>
      </c>
      <c r="G1123" t="s">
        <v>21</v>
      </c>
      <c r="H1123">
        <v>1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P1123">
        <v>44.4</v>
      </c>
      <c r="R1123" t="str">
        <f t="shared" si="102"/>
        <v>Unique</v>
      </c>
      <c r="S1123" t="str">
        <f t="shared" si="103"/>
        <v>Valid</v>
      </c>
      <c r="T1123" t="str">
        <f t="shared" si="104"/>
        <v>Valid</v>
      </c>
      <c r="U1123" t="str">
        <f t="shared" si="105"/>
        <v>Valid</v>
      </c>
      <c r="V1123" t="str">
        <f t="shared" si="106"/>
        <v>Valid</v>
      </c>
      <c r="W1123" t="str">
        <f t="shared" si="107"/>
        <v>Valid</v>
      </c>
    </row>
    <row r="1124" spans="1:23">
      <c r="A1124" t="s">
        <v>1155</v>
      </c>
      <c r="B1124" s="2">
        <v>45677</v>
      </c>
      <c r="C1124" t="s">
        <v>723</v>
      </c>
      <c r="D1124" t="s">
        <v>32</v>
      </c>
      <c r="E1124" t="s">
        <v>19</v>
      </c>
      <c r="F1124" t="s">
        <v>25</v>
      </c>
      <c r="G1124" t="s">
        <v>21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P1124">
        <v>51.9</v>
      </c>
      <c r="R1124" t="str">
        <f t="shared" si="102"/>
        <v>Unique</v>
      </c>
      <c r="S1124" t="str">
        <f t="shared" si="103"/>
        <v>Valid</v>
      </c>
      <c r="T1124" t="str">
        <f t="shared" si="104"/>
        <v>Valid</v>
      </c>
      <c r="U1124" t="str">
        <f t="shared" si="105"/>
        <v>Valid</v>
      </c>
      <c r="V1124" t="str">
        <f t="shared" si="106"/>
        <v>Valid</v>
      </c>
      <c r="W1124" t="str">
        <f t="shared" si="107"/>
        <v>Valid</v>
      </c>
    </row>
    <row r="1125" spans="1:23">
      <c r="A1125" t="s">
        <v>1156</v>
      </c>
      <c r="B1125" s="2">
        <v>45750</v>
      </c>
      <c r="C1125" t="s">
        <v>723</v>
      </c>
      <c r="D1125" t="s">
        <v>28</v>
      </c>
      <c r="E1125" t="s">
        <v>24</v>
      </c>
      <c r="F1125" t="s">
        <v>29</v>
      </c>
      <c r="G1125" t="s">
        <v>26</v>
      </c>
      <c r="H1125">
        <v>1</v>
      </c>
      <c r="I1125">
        <v>1</v>
      </c>
      <c r="J1125">
        <v>0</v>
      </c>
      <c r="K1125">
        <v>0</v>
      </c>
      <c r="L1125">
        <v>0</v>
      </c>
      <c r="M1125">
        <v>0</v>
      </c>
      <c r="N1125">
        <v>0</v>
      </c>
      <c r="P1125">
        <v>49.8</v>
      </c>
      <c r="R1125" t="str">
        <f t="shared" si="102"/>
        <v>Unique</v>
      </c>
      <c r="S1125" t="str">
        <f t="shared" si="103"/>
        <v>Valid</v>
      </c>
      <c r="T1125" t="str">
        <f t="shared" si="104"/>
        <v>Valid</v>
      </c>
      <c r="U1125" t="str">
        <f t="shared" si="105"/>
        <v>Valid</v>
      </c>
      <c r="V1125" t="str">
        <f t="shared" si="106"/>
        <v>Valid</v>
      </c>
      <c r="W1125" t="str">
        <f t="shared" si="107"/>
        <v>Valid</v>
      </c>
    </row>
    <row r="1126" spans="1:23">
      <c r="A1126" t="s">
        <v>1157</v>
      </c>
      <c r="B1126" s="2">
        <v>45668</v>
      </c>
      <c r="C1126" t="s">
        <v>723</v>
      </c>
      <c r="D1126" t="s">
        <v>28</v>
      </c>
      <c r="E1126" t="s">
        <v>19</v>
      </c>
      <c r="F1126" t="s">
        <v>41</v>
      </c>
      <c r="G1126" t="s">
        <v>26</v>
      </c>
      <c r="H1126">
        <v>1</v>
      </c>
      <c r="I1126">
        <v>1</v>
      </c>
      <c r="J1126">
        <v>1</v>
      </c>
      <c r="K1126">
        <v>0</v>
      </c>
      <c r="L1126">
        <v>0</v>
      </c>
      <c r="M1126">
        <v>3</v>
      </c>
      <c r="N1126">
        <v>0</v>
      </c>
      <c r="P1126">
        <v>62.1</v>
      </c>
      <c r="R1126" t="str">
        <f t="shared" si="102"/>
        <v>Unique</v>
      </c>
      <c r="S1126" t="str">
        <f t="shared" si="103"/>
        <v>Valid</v>
      </c>
      <c r="T1126" t="str">
        <f t="shared" si="104"/>
        <v>Valid</v>
      </c>
      <c r="U1126" t="str">
        <f t="shared" si="105"/>
        <v>Valid</v>
      </c>
      <c r="V1126" t="str">
        <f t="shared" si="106"/>
        <v>Valid</v>
      </c>
      <c r="W1126" t="str">
        <f t="shared" si="107"/>
        <v>Valid</v>
      </c>
    </row>
    <row r="1127" spans="1:23">
      <c r="A1127" t="s">
        <v>1158</v>
      </c>
      <c r="B1127" s="2">
        <v>45690</v>
      </c>
      <c r="C1127" t="s">
        <v>723</v>
      </c>
      <c r="D1127" t="s">
        <v>23</v>
      </c>
      <c r="E1127" t="s">
        <v>19</v>
      </c>
      <c r="F1127" t="s">
        <v>41</v>
      </c>
      <c r="G1127" t="s">
        <v>21</v>
      </c>
      <c r="H1127">
        <v>1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P1127">
        <v>91.3</v>
      </c>
      <c r="R1127" t="str">
        <f t="shared" si="102"/>
        <v>Unique</v>
      </c>
      <c r="S1127" t="str">
        <f t="shared" si="103"/>
        <v>Valid</v>
      </c>
      <c r="T1127" t="str">
        <f t="shared" si="104"/>
        <v>Valid</v>
      </c>
      <c r="U1127" t="str">
        <f t="shared" si="105"/>
        <v>Valid</v>
      </c>
      <c r="V1127" t="str">
        <f t="shared" si="106"/>
        <v>Valid</v>
      </c>
      <c r="W1127" t="str">
        <f t="shared" si="107"/>
        <v>Valid</v>
      </c>
    </row>
    <row r="1128" spans="1:23">
      <c r="A1128" t="s">
        <v>1159</v>
      </c>
      <c r="B1128" s="2">
        <v>45748</v>
      </c>
      <c r="C1128" t="s">
        <v>723</v>
      </c>
      <c r="D1128" t="s">
        <v>32</v>
      </c>
      <c r="E1128" t="s">
        <v>24</v>
      </c>
      <c r="F1128" t="s">
        <v>25</v>
      </c>
      <c r="G1128" t="s">
        <v>21</v>
      </c>
      <c r="H1128">
        <v>1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P1128">
        <v>66.400000000000006</v>
      </c>
      <c r="R1128" t="str">
        <f t="shared" si="102"/>
        <v>Unique</v>
      </c>
      <c r="S1128" t="str">
        <f t="shared" si="103"/>
        <v>Valid</v>
      </c>
      <c r="T1128" t="str">
        <f t="shared" si="104"/>
        <v>Valid</v>
      </c>
      <c r="U1128" t="str">
        <f t="shared" si="105"/>
        <v>Valid</v>
      </c>
      <c r="V1128" t="str">
        <f t="shared" si="106"/>
        <v>Valid</v>
      </c>
      <c r="W1128" t="str">
        <f t="shared" si="107"/>
        <v>Valid</v>
      </c>
    </row>
    <row r="1129" spans="1:23">
      <c r="A1129" t="s">
        <v>1160</v>
      </c>
      <c r="B1129" s="2">
        <v>45799</v>
      </c>
      <c r="C1129" t="s">
        <v>723</v>
      </c>
      <c r="D1129" t="s">
        <v>28</v>
      </c>
      <c r="E1129" t="s">
        <v>24</v>
      </c>
      <c r="F1129" t="s">
        <v>25</v>
      </c>
      <c r="G1129" t="s">
        <v>21</v>
      </c>
      <c r="H1129">
        <v>1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P1129">
        <v>41.5</v>
      </c>
      <c r="R1129" t="str">
        <f t="shared" si="102"/>
        <v>Unique</v>
      </c>
      <c r="S1129" t="str">
        <f t="shared" si="103"/>
        <v>Valid</v>
      </c>
      <c r="T1129" t="str">
        <f t="shared" si="104"/>
        <v>Valid</v>
      </c>
      <c r="U1129" t="str">
        <f t="shared" si="105"/>
        <v>Valid</v>
      </c>
      <c r="V1129" t="str">
        <f t="shared" si="106"/>
        <v>Valid</v>
      </c>
      <c r="W1129" t="str">
        <f t="shared" si="107"/>
        <v>Valid</v>
      </c>
    </row>
    <row r="1130" spans="1:23">
      <c r="A1130" t="s">
        <v>1161</v>
      </c>
      <c r="B1130" s="2">
        <v>45708</v>
      </c>
      <c r="C1130" t="s">
        <v>723</v>
      </c>
      <c r="D1130" t="s">
        <v>23</v>
      </c>
      <c r="E1130" t="s">
        <v>24</v>
      </c>
      <c r="F1130" t="s">
        <v>25</v>
      </c>
      <c r="G1130" t="s">
        <v>21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P1130">
        <v>77.099999999999994</v>
      </c>
      <c r="R1130" t="str">
        <f t="shared" si="102"/>
        <v>Unique</v>
      </c>
      <c r="S1130" t="str">
        <f t="shared" si="103"/>
        <v>Valid</v>
      </c>
      <c r="T1130" t="str">
        <f t="shared" si="104"/>
        <v>Valid</v>
      </c>
      <c r="U1130" t="str">
        <f t="shared" si="105"/>
        <v>Valid</v>
      </c>
      <c r="V1130" t="str">
        <f t="shared" si="106"/>
        <v>Valid</v>
      </c>
      <c r="W1130" t="str">
        <f t="shared" si="107"/>
        <v>Valid</v>
      </c>
    </row>
    <row r="1131" spans="1:23">
      <c r="A1131" t="s">
        <v>1162</v>
      </c>
      <c r="B1131" s="2">
        <v>45737</v>
      </c>
      <c r="C1131" t="s">
        <v>723</v>
      </c>
      <c r="D1131" t="s">
        <v>23</v>
      </c>
      <c r="E1131" t="s">
        <v>24</v>
      </c>
      <c r="F1131" t="s">
        <v>25</v>
      </c>
      <c r="G1131" t="s">
        <v>26</v>
      </c>
      <c r="H1131">
        <v>1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P1131">
        <v>63.2</v>
      </c>
      <c r="R1131" t="str">
        <f t="shared" si="102"/>
        <v>Unique</v>
      </c>
      <c r="S1131" t="str">
        <f t="shared" si="103"/>
        <v>Valid</v>
      </c>
      <c r="T1131" t="str">
        <f t="shared" si="104"/>
        <v>Valid</v>
      </c>
      <c r="U1131" t="str">
        <f t="shared" si="105"/>
        <v>Valid</v>
      </c>
      <c r="V1131" t="str">
        <f t="shared" si="106"/>
        <v>Valid</v>
      </c>
      <c r="W1131" t="str">
        <f t="shared" si="107"/>
        <v>Valid</v>
      </c>
    </row>
    <row r="1132" spans="1:23">
      <c r="A1132" t="s">
        <v>1163</v>
      </c>
      <c r="B1132" s="2">
        <v>45778</v>
      </c>
      <c r="C1132" t="s">
        <v>723</v>
      </c>
      <c r="D1132" t="s">
        <v>23</v>
      </c>
      <c r="E1132" t="s">
        <v>19</v>
      </c>
      <c r="F1132" t="s">
        <v>39</v>
      </c>
      <c r="G1132" t="s">
        <v>26</v>
      </c>
      <c r="H1132">
        <v>1</v>
      </c>
      <c r="I1132">
        <v>1</v>
      </c>
      <c r="J1132">
        <v>1</v>
      </c>
      <c r="K1132">
        <v>0</v>
      </c>
      <c r="L1132">
        <v>0</v>
      </c>
      <c r="M1132">
        <v>3</v>
      </c>
      <c r="N1132">
        <v>0</v>
      </c>
      <c r="P1132">
        <v>75.7</v>
      </c>
      <c r="R1132" t="str">
        <f t="shared" si="102"/>
        <v>Unique</v>
      </c>
      <c r="S1132" t="str">
        <f t="shared" si="103"/>
        <v>Valid</v>
      </c>
      <c r="T1132" t="str">
        <f t="shared" si="104"/>
        <v>Valid</v>
      </c>
      <c r="U1132" t="str">
        <f t="shared" si="105"/>
        <v>Valid</v>
      </c>
      <c r="V1132" t="str">
        <f t="shared" si="106"/>
        <v>Valid</v>
      </c>
      <c r="W1132" t="str">
        <f t="shared" si="107"/>
        <v>Valid</v>
      </c>
    </row>
    <row r="1133" spans="1:23">
      <c r="A1133" t="s">
        <v>1164</v>
      </c>
      <c r="B1133" s="2">
        <v>45663</v>
      </c>
      <c r="C1133" t="s">
        <v>723</v>
      </c>
      <c r="D1133" t="s">
        <v>23</v>
      </c>
      <c r="E1133" t="s">
        <v>24</v>
      </c>
      <c r="F1133" t="s">
        <v>29</v>
      </c>
      <c r="G1133" t="s">
        <v>21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P1133">
        <v>62.9</v>
      </c>
      <c r="R1133" t="str">
        <f t="shared" si="102"/>
        <v>Unique</v>
      </c>
      <c r="S1133" t="str">
        <f t="shared" si="103"/>
        <v>Valid</v>
      </c>
      <c r="T1133" t="str">
        <f t="shared" si="104"/>
        <v>Valid</v>
      </c>
      <c r="U1133" t="str">
        <f t="shared" si="105"/>
        <v>Valid</v>
      </c>
      <c r="V1133" t="str">
        <f t="shared" si="106"/>
        <v>Valid</v>
      </c>
      <c r="W1133" t="str">
        <f t="shared" si="107"/>
        <v>Valid</v>
      </c>
    </row>
    <row r="1134" spans="1:23">
      <c r="A1134" t="s">
        <v>1165</v>
      </c>
      <c r="B1134" s="2">
        <v>45759</v>
      </c>
      <c r="C1134" t="s">
        <v>723</v>
      </c>
      <c r="D1134" t="s">
        <v>18</v>
      </c>
      <c r="E1134" t="s">
        <v>19</v>
      </c>
      <c r="F1134" t="s">
        <v>29</v>
      </c>
      <c r="G1134" t="s">
        <v>30</v>
      </c>
      <c r="H1134">
        <v>1</v>
      </c>
      <c r="I1134">
        <v>0</v>
      </c>
      <c r="J1134">
        <v>0</v>
      </c>
      <c r="K1134">
        <v>0</v>
      </c>
      <c r="L1134">
        <v>0</v>
      </c>
      <c r="M1134">
        <v>3</v>
      </c>
      <c r="N1134">
        <v>0</v>
      </c>
      <c r="P1134">
        <v>64.599999999999994</v>
      </c>
      <c r="R1134" t="str">
        <f t="shared" si="102"/>
        <v>Unique</v>
      </c>
      <c r="S1134" t="str">
        <f t="shared" si="103"/>
        <v>Valid</v>
      </c>
      <c r="T1134" t="str">
        <f t="shared" si="104"/>
        <v>Valid</v>
      </c>
      <c r="U1134" t="str">
        <f t="shared" si="105"/>
        <v>Valid</v>
      </c>
      <c r="V1134" t="str">
        <f t="shared" si="106"/>
        <v>Valid</v>
      </c>
      <c r="W1134" t="str">
        <f t="shared" si="107"/>
        <v>Valid</v>
      </c>
    </row>
    <row r="1135" spans="1:23">
      <c r="A1135" t="s">
        <v>1166</v>
      </c>
      <c r="B1135" s="2">
        <v>45765</v>
      </c>
      <c r="C1135" t="s">
        <v>723</v>
      </c>
      <c r="D1135" t="s">
        <v>18</v>
      </c>
      <c r="E1135" t="s">
        <v>24</v>
      </c>
      <c r="F1135" t="s">
        <v>1451</v>
      </c>
      <c r="G1135" t="s">
        <v>21</v>
      </c>
      <c r="H1135">
        <v>1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P1135">
        <v>76.599999999999994</v>
      </c>
      <c r="R1135" t="str">
        <f t="shared" si="102"/>
        <v>Unique</v>
      </c>
      <c r="S1135" t="str">
        <f t="shared" si="103"/>
        <v>Valid</v>
      </c>
      <c r="T1135" t="str">
        <f t="shared" si="104"/>
        <v>Valid</v>
      </c>
      <c r="U1135" t="str">
        <f t="shared" si="105"/>
        <v>Valid</v>
      </c>
      <c r="V1135" t="str">
        <f t="shared" si="106"/>
        <v>Valid</v>
      </c>
      <c r="W1135" t="str">
        <f t="shared" si="107"/>
        <v>Valid</v>
      </c>
    </row>
    <row r="1136" spans="1:23">
      <c r="A1136" t="s">
        <v>1167</v>
      </c>
      <c r="B1136" s="2">
        <v>45740</v>
      </c>
      <c r="C1136" t="s">
        <v>723</v>
      </c>
      <c r="D1136" t="s">
        <v>28</v>
      </c>
      <c r="E1136" t="s">
        <v>24</v>
      </c>
      <c r="F1136" t="s">
        <v>41</v>
      </c>
      <c r="G1136" t="s">
        <v>21</v>
      </c>
      <c r="H1136">
        <v>1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P1136">
        <v>74.8</v>
      </c>
      <c r="R1136" t="str">
        <f t="shared" si="102"/>
        <v>Unique</v>
      </c>
      <c r="S1136" t="str">
        <f t="shared" si="103"/>
        <v>Valid</v>
      </c>
      <c r="T1136" t="str">
        <f t="shared" si="104"/>
        <v>Valid</v>
      </c>
      <c r="U1136" t="str">
        <f t="shared" si="105"/>
        <v>Valid</v>
      </c>
      <c r="V1136" t="str">
        <f t="shared" si="106"/>
        <v>Valid</v>
      </c>
      <c r="W1136" t="str">
        <f t="shared" si="107"/>
        <v>Valid</v>
      </c>
    </row>
    <row r="1137" spans="1:23">
      <c r="A1137" t="s">
        <v>1168</v>
      </c>
      <c r="B1137" s="2">
        <v>45734</v>
      </c>
      <c r="C1137" t="s">
        <v>723</v>
      </c>
      <c r="D1137" t="s">
        <v>28</v>
      </c>
      <c r="E1137" t="s">
        <v>19</v>
      </c>
      <c r="F1137" t="s">
        <v>20</v>
      </c>
      <c r="G1137" t="s">
        <v>30</v>
      </c>
      <c r="H1137">
        <v>1</v>
      </c>
      <c r="I1137">
        <v>0</v>
      </c>
      <c r="J1137">
        <v>0</v>
      </c>
      <c r="K1137">
        <v>0</v>
      </c>
      <c r="L1137">
        <v>0</v>
      </c>
      <c r="M1137">
        <v>2</v>
      </c>
      <c r="N1137">
        <v>0</v>
      </c>
      <c r="P1137">
        <v>38.1</v>
      </c>
      <c r="R1137" t="str">
        <f t="shared" si="102"/>
        <v>Unique</v>
      </c>
      <c r="S1137" t="str">
        <f t="shared" si="103"/>
        <v>Valid</v>
      </c>
      <c r="T1137" t="str">
        <f t="shared" si="104"/>
        <v>Valid</v>
      </c>
      <c r="U1137" t="str">
        <f t="shared" si="105"/>
        <v>Valid</v>
      </c>
      <c r="V1137" t="str">
        <f t="shared" si="106"/>
        <v>Valid</v>
      </c>
      <c r="W1137" t="str">
        <f t="shared" si="107"/>
        <v>Valid</v>
      </c>
    </row>
    <row r="1138" spans="1:23">
      <c r="A1138" t="s">
        <v>1169</v>
      </c>
      <c r="B1138" s="2">
        <v>45777</v>
      </c>
      <c r="C1138" t="s">
        <v>723</v>
      </c>
      <c r="D1138" t="s">
        <v>32</v>
      </c>
      <c r="E1138" t="s">
        <v>34</v>
      </c>
      <c r="F1138" t="s">
        <v>29</v>
      </c>
      <c r="G1138" t="s">
        <v>21</v>
      </c>
      <c r="H1138">
        <v>1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P1138">
        <v>60.2</v>
      </c>
      <c r="R1138" t="str">
        <f t="shared" si="102"/>
        <v>Unique</v>
      </c>
      <c r="S1138" t="str">
        <f t="shared" si="103"/>
        <v>Valid</v>
      </c>
      <c r="T1138" t="str">
        <f t="shared" si="104"/>
        <v>Valid</v>
      </c>
      <c r="U1138" t="str">
        <f t="shared" si="105"/>
        <v>Valid</v>
      </c>
      <c r="V1138" t="str">
        <f t="shared" si="106"/>
        <v>Valid</v>
      </c>
      <c r="W1138" t="str">
        <f t="shared" si="107"/>
        <v>Valid</v>
      </c>
    </row>
    <row r="1139" spans="1:23">
      <c r="A1139" t="s">
        <v>1170</v>
      </c>
      <c r="B1139" s="2">
        <v>45682</v>
      </c>
      <c r="C1139" t="s">
        <v>723</v>
      </c>
      <c r="D1139" t="s">
        <v>23</v>
      </c>
      <c r="E1139" t="s">
        <v>24</v>
      </c>
      <c r="F1139" t="s">
        <v>20</v>
      </c>
      <c r="G1139" t="s">
        <v>26</v>
      </c>
      <c r="H1139">
        <v>1</v>
      </c>
      <c r="I1139">
        <v>1</v>
      </c>
      <c r="J1139">
        <v>0</v>
      </c>
      <c r="K1139">
        <v>0</v>
      </c>
      <c r="L1139">
        <v>0</v>
      </c>
      <c r="M1139">
        <v>0</v>
      </c>
      <c r="N1139">
        <v>0</v>
      </c>
      <c r="P1139">
        <v>73.5</v>
      </c>
      <c r="R1139" t="str">
        <f t="shared" si="102"/>
        <v>Unique</v>
      </c>
      <c r="S1139" t="str">
        <f t="shared" si="103"/>
        <v>Valid</v>
      </c>
      <c r="T1139" t="str">
        <f t="shared" si="104"/>
        <v>Valid</v>
      </c>
      <c r="U1139" t="str">
        <f t="shared" si="105"/>
        <v>Valid</v>
      </c>
      <c r="V1139" t="str">
        <f t="shared" si="106"/>
        <v>Valid</v>
      </c>
      <c r="W1139" t="str">
        <f t="shared" si="107"/>
        <v>Valid</v>
      </c>
    </row>
    <row r="1140" spans="1:23">
      <c r="A1140" t="s">
        <v>1171</v>
      </c>
      <c r="B1140" s="2">
        <v>45757</v>
      </c>
      <c r="C1140" t="s">
        <v>723</v>
      </c>
      <c r="D1140" t="s">
        <v>32</v>
      </c>
      <c r="E1140" t="s">
        <v>24</v>
      </c>
      <c r="F1140" t="s">
        <v>25</v>
      </c>
      <c r="G1140" t="s">
        <v>26</v>
      </c>
      <c r="H1140">
        <v>1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P1140">
        <v>70.900000000000006</v>
      </c>
      <c r="R1140" t="str">
        <f t="shared" si="102"/>
        <v>Unique</v>
      </c>
      <c r="S1140" t="str">
        <f t="shared" si="103"/>
        <v>Valid</v>
      </c>
      <c r="T1140" t="str">
        <f t="shared" si="104"/>
        <v>Valid</v>
      </c>
      <c r="U1140" t="str">
        <f t="shared" si="105"/>
        <v>Valid</v>
      </c>
      <c r="V1140" t="str">
        <f t="shared" si="106"/>
        <v>Valid</v>
      </c>
      <c r="W1140" t="str">
        <f t="shared" si="107"/>
        <v>Valid</v>
      </c>
    </row>
    <row r="1141" spans="1:23">
      <c r="A1141" t="s">
        <v>1172</v>
      </c>
      <c r="B1141" s="2">
        <v>45667</v>
      </c>
      <c r="C1141" t="s">
        <v>723</v>
      </c>
      <c r="D1141" t="s">
        <v>23</v>
      </c>
      <c r="E1141" t="s">
        <v>24</v>
      </c>
      <c r="F1141" t="s">
        <v>41</v>
      </c>
      <c r="G1141" t="s">
        <v>26</v>
      </c>
      <c r="H1141">
        <v>1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P1141">
        <v>63.7</v>
      </c>
      <c r="R1141" t="str">
        <f t="shared" si="102"/>
        <v>Unique</v>
      </c>
      <c r="S1141" t="str">
        <f t="shared" si="103"/>
        <v>Valid</v>
      </c>
      <c r="T1141" t="str">
        <f t="shared" si="104"/>
        <v>Valid</v>
      </c>
      <c r="U1141" t="str">
        <f t="shared" si="105"/>
        <v>Valid</v>
      </c>
      <c r="V1141" t="str">
        <f t="shared" si="106"/>
        <v>Valid</v>
      </c>
      <c r="W1141" t="str">
        <f t="shared" si="107"/>
        <v>Valid</v>
      </c>
    </row>
    <row r="1142" spans="1:23">
      <c r="A1142" t="s">
        <v>1173</v>
      </c>
      <c r="B1142" s="2">
        <v>45699</v>
      </c>
      <c r="C1142" t="s">
        <v>723</v>
      </c>
      <c r="D1142" t="s">
        <v>32</v>
      </c>
      <c r="E1142" t="s">
        <v>24</v>
      </c>
      <c r="F1142" t="s">
        <v>29</v>
      </c>
      <c r="G1142" t="s">
        <v>26</v>
      </c>
      <c r="H1142">
        <v>1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P1142">
        <v>86.5</v>
      </c>
      <c r="R1142" t="str">
        <f t="shared" si="102"/>
        <v>Unique</v>
      </c>
      <c r="S1142" t="str">
        <f t="shared" si="103"/>
        <v>Valid</v>
      </c>
      <c r="T1142" t="str">
        <f t="shared" si="104"/>
        <v>Valid</v>
      </c>
      <c r="U1142" t="str">
        <f t="shared" si="105"/>
        <v>Valid</v>
      </c>
      <c r="V1142" t="str">
        <f t="shared" si="106"/>
        <v>Valid</v>
      </c>
      <c r="W1142" t="str">
        <f t="shared" si="107"/>
        <v>Valid</v>
      </c>
    </row>
    <row r="1143" spans="1:23">
      <c r="A1143" t="s">
        <v>1174</v>
      </c>
      <c r="B1143" s="2">
        <v>45778</v>
      </c>
      <c r="C1143" t="s">
        <v>723</v>
      </c>
      <c r="D1143" t="s">
        <v>28</v>
      </c>
      <c r="E1143" t="s">
        <v>24</v>
      </c>
      <c r="F1143" t="s">
        <v>41</v>
      </c>
      <c r="G1143" t="s">
        <v>21</v>
      </c>
      <c r="H1143">
        <v>1</v>
      </c>
      <c r="I1143">
        <v>1</v>
      </c>
      <c r="J1143">
        <v>1</v>
      </c>
      <c r="K1143">
        <v>1</v>
      </c>
      <c r="L1143">
        <v>921.72</v>
      </c>
      <c r="M1143">
        <v>3</v>
      </c>
      <c r="N1143">
        <v>0</v>
      </c>
      <c r="O1143">
        <v>7</v>
      </c>
      <c r="P1143">
        <v>74.599999999999994</v>
      </c>
      <c r="R1143" t="str">
        <f t="shared" si="102"/>
        <v>Unique</v>
      </c>
      <c r="S1143" t="str">
        <f t="shared" si="103"/>
        <v>Valid</v>
      </c>
      <c r="T1143" t="str">
        <f t="shared" si="104"/>
        <v>Valid</v>
      </c>
      <c r="U1143" t="str">
        <f t="shared" si="105"/>
        <v>Valid</v>
      </c>
      <c r="V1143" t="str">
        <f t="shared" si="106"/>
        <v>Valid</v>
      </c>
      <c r="W1143" t="str">
        <f t="shared" si="107"/>
        <v>Valid</v>
      </c>
    </row>
    <row r="1144" spans="1:23">
      <c r="A1144" t="s">
        <v>1175</v>
      </c>
      <c r="B1144" s="2">
        <v>45675</v>
      </c>
      <c r="C1144" t="s">
        <v>723</v>
      </c>
      <c r="D1144" t="s">
        <v>28</v>
      </c>
      <c r="E1144" t="s">
        <v>24</v>
      </c>
      <c r="F1144" t="s">
        <v>25</v>
      </c>
      <c r="G1144" t="s">
        <v>26</v>
      </c>
      <c r="H1144">
        <v>1</v>
      </c>
      <c r="I1144">
        <v>0</v>
      </c>
      <c r="J1144">
        <v>0</v>
      </c>
      <c r="K1144">
        <v>0</v>
      </c>
      <c r="L1144">
        <v>0</v>
      </c>
      <c r="M1144">
        <v>0</v>
      </c>
      <c r="N1144">
        <v>0</v>
      </c>
      <c r="P1144">
        <v>46.6</v>
      </c>
      <c r="R1144" t="str">
        <f t="shared" si="102"/>
        <v>Unique</v>
      </c>
      <c r="S1144" t="str">
        <f t="shared" si="103"/>
        <v>Valid</v>
      </c>
      <c r="T1144" t="str">
        <f t="shared" si="104"/>
        <v>Valid</v>
      </c>
      <c r="U1144" t="str">
        <f t="shared" si="105"/>
        <v>Valid</v>
      </c>
      <c r="V1144" t="str">
        <f t="shared" si="106"/>
        <v>Valid</v>
      </c>
      <c r="W1144" t="str">
        <f t="shared" si="107"/>
        <v>Valid</v>
      </c>
    </row>
    <row r="1145" spans="1:23">
      <c r="A1145" t="s">
        <v>1176</v>
      </c>
      <c r="B1145" s="2">
        <v>45659</v>
      </c>
      <c r="C1145" t="s">
        <v>723</v>
      </c>
      <c r="D1145" t="s">
        <v>18</v>
      </c>
      <c r="E1145" t="s">
        <v>24</v>
      </c>
      <c r="F1145" t="s">
        <v>29</v>
      </c>
      <c r="G1145" t="s">
        <v>26</v>
      </c>
      <c r="H1145">
        <v>0</v>
      </c>
      <c r="I1145">
        <v>0</v>
      </c>
      <c r="J1145">
        <v>0</v>
      </c>
      <c r="K1145">
        <v>0</v>
      </c>
      <c r="L1145">
        <v>0</v>
      </c>
      <c r="M1145">
        <v>0</v>
      </c>
      <c r="N1145">
        <v>0</v>
      </c>
      <c r="P1145">
        <v>61.2</v>
      </c>
      <c r="R1145" t="str">
        <f t="shared" si="102"/>
        <v>Unique</v>
      </c>
      <c r="S1145" t="str">
        <f t="shared" si="103"/>
        <v>Valid</v>
      </c>
      <c r="T1145" t="str">
        <f t="shared" si="104"/>
        <v>Valid</v>
      </c>
      <c r="U1145" t="str">
        <f t="shared" si="105"/>
        <v>Valid</v>
      </c>
      <c r="V1145" t="str">
        <f t="shared" si="106"/>
        <v>Valid</v>
      </c>
      <c r="W1145" t="str">
        <f t="shared" si="107"/>
        <v>Valid</v>
      </c>
    </row>
    <row r="1146" spans="1:23">
      <c r="A1146" t="s">
        <v>1177</v>
      </c>
      <c r="B1146" s="2">
        <v>45788</v>
      </c>
      <c r="C1146" t="s">
        <v>723</v>
      </c>
      <c r="D1146" t="s">
        <v>23</v>
      </c>
      <c r="E1146" t="s">
        <v>24</v>
      </c>
      <c r="F1146" t="s">
        <v>25</v>
      </c>
      <c r="G1146" t="s">
        <v>26</v>
      </c>
      <c r="H1146">
        <v>1</v>
      </c>
      <c r="I1146">
        <v>1</v>
      </c>
      <c r="J1146">
        <v>1</v>
      </c>
      <c r="K1146">
        <v>1</v>
      </c>
      <c r="L1146">
        <v>290.39</v>
      </c>
      <c r="M1146">
        <v>0</v>
      </c>
      <c r="N1146">
        <v>0</v>
      </c>
      <c r="O1146">
        <v>4</v>
      </c>
      <c r="P1146">
        <v>54.4</v>
      </c>
      <c r="R1146" t="str">
        <f t="shared" si="102"/>
        <v>Unique</v>
      </c>
      <c r="S1146" t="str">
        <f t="shared" si="103"/>
        <v>Valid</v>
      </c>
      <c r="T1146" t="str">
        <f t="shared" si="104"/>
        <v>Valid</v>
      </c>
      <c r="U1146" t="str">
        <f t="shared" si="105"/>
        <v>Valid</v>
      </c>
      <c r="V1146" t="str">
        <f t="shared" si="106"/>
        <v>Valid</v>
      </c>
      <c r="W1146" t="str">
        <f t="shared" si="107"/>
        <v>Valid</v>
      </c>
    </row>
    <row r="1147" spans="1:23">
      <c r="A1147" t="s">
        <v>1178</v>
      </c>
      <c r="B1147" s="2">
        <v>45738</v>
      </c>
      <c r="C1147" t="s">
        <v>723</v>
      </c>
      <c r="D1147" t="s">
        <v>18</v>
      </c>
      <c r="E1147" t="s">
        <v>24</v>
      </c>
      <c r="F1147" t="s">
        <v>39</v>
      </c>
      <c r="G1147" t="s">
        <v>26</v>
      </c>
      <c r="H1147">
        <v>1</v>
      </c>
      <c r="I1147">
        <v>1</v>
      </c>
      <c r="J1147">
        <v>1</v>
      </c>
      <c r="K1147">
        <v>0</v>
      </c>
      <c r="L1147">
        <v>0</v>
      </c>
      <c r="M1147">
        <v>0</v>
      </c>
      <c r="N1147">
        <v>0</v>
      </c>
      <c r="P1147">
        <v>72</v>
      </c>
      <c r="R1147" t="str">
        <f t="shared" si="102"/>
        <v>Unique</v>
      </c>
      <c r="S1147" t="str">
        <f t="shared" si="103"/>
        <v>Valid</v>
      </c>
      <c r="T1147" t="str">
        <f t="shared" si="104"/>
        <v>Valid</v>
      </c>
      <c r="U1147" t="str">
        <f t="shared" si="105"/>
        <v>Valid</v>
      </c>
      <c r="V1147" t="str">
        <f t="shared" si="106"/>
        <v>Valid</v>
      </c>
      <c r="W1147" t="str">
        <f t="shared" si="107"/>
        <v>Valid</v>
      </c>
    </row>
    <row r="1148" spans="1:23">
      <c r="A1148" t="s">
        <v>1179</v>
      </c>
      <c r="B1148" s="2">
        <v>45779</v>
      </c>
      <c r="C1148" t="s">
        <v>723</v>
      </c>
      <c r="D1148" t="s">
        <v>32</v>
      </c>
      <c r="E1148" t="s">
        <v>24</v>
      </c>
      <c r="F1148" t="s">
        <v>41</v>
      </c>
      <c r="G1148" t="s">
        <v>30</v>
      </c>
      <c r="H1148">
        <v>1</v>
      </c>
      <c r="I1148">
        <v>1</v>
      </c>
      <c r="J1148">
        <v>1</v>
      </c>
      <c r="K1148">
        <v>1</v>
      </c>
      <c r="L1148">
        <v>1858.85</v>
      </c>
      <c r="M1148">
        <v>0</v>
      </c>
      <c r="N1148">
        <v>0</v>
      </c>
      <c r="O1148">
        <v>8</v>
      </c>
      <c r="P1148">
        <v>88.6</v>
      </c>
      <c r="R1148" t="str">
        <f t="shared" si="102"/>
        <v>Unique</v>
      </c>
      <c r="S1148" t="str">
        <f t="shared" si="103"/>
        <v>Valid</v>
      </c>
      <c r="T1148" t="str">
        <f t="shared" si="104"/>
        <v>Valid</v>
      </c>
      <c r="U1148" t="str">
        <f t="shared" si="105"/>
        <v>Valid</v>
      </c>
      <c r="V1148" t="str">
        <f t="shared" si="106"/>
        <v>Valid</v>
      </c>
      <c r="W1148" t="str">
        <f t="shared" si="107"/>
        <v>Valid</v>
      </c>
    </row>
    <row r="1149" spans="1:23">
      <c r="A1149" t="s">
        <v>1180</v>
      </c>
      <c r="B1149" s="2">
        <v>45803</v>
      </c>
      <c r="C1149" t="s">
        <v>723</v>
      </c>
      <c r="D1149" t="s">
        <v>28</v>
      </c>
      <c r="E1149" t="s">
        <v>19</v>
      </c>
      <c r="F1149" t="s">
        <v>1451</v>
      </c>
      <c r="G1149" t="s">
        <v>21</v>
      </c>
      <c r="H1149">
        <v>1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P1149">
        <v>77.599999999999994</v>
      </c>
      <c r="R1149" t="str">
        <f t="shared" si="102"/>
        <v>Unique</v>
      </c>
      <c r="S1149" t="str">
        <f t="shared" si="103"/>
        <v>Valid</v>
      </c>
      <c r="T1149" t="str">
        <f t="shared" si="104"/>
        <v>Valid</v>
      </c>
      <c r="U1149" t="str">
        <f t="shared" si="105"/>
        <v>Valid</v>
      </c>
      <c r="V1149" t="str">
        <f t="shared" si="106"/>
        <v>Valid</v>
      </c>
      <c r="W1149" t="str">
        <f t="shared" si="107"/>
        <v>Valid</v>
      </c>
    </row>
    <row r="1150" spans="1:23">
      <c r="A1150" t="s">
        <v>1181</v>
      </c>
      <c r="B1150" s="2">
        <v>45729</v>
      </c>
      <c r="C1150" t="s">
        <v>723</v>
      </c>
      <c r="D1150" t="s">
        <v>32</v>
      </c>
      <c r="E1150" t="s">
        <v>24</v>
      </c>
      <c r="F1150" t="s">
        <v>25</v>
      </c>
      <c r="G1150" t="s">
        <v>21</v>
      </c>
      <c r="H1150">
        <v>1</v>
      </c>
      <c r="I1150">
        <v>0</v>
      </c>
      <c r="J1150">
        <v>0</v>
      </c>
      <c r="K1150">
        <v>0</v>
      </c>
      <c r="L1150">
        <v>0</v>
      </c>
      <c r="M1150">
        <v>1</v>
      </c>
      <c r="N1150">
        <v>0</v>
      </c>
      <c r="P1150">
        <v>44.3</v>
      </c>
      <c r="R1150" t="str">
        <f t="shared" si="102"/>
        <v>Unique</v>
      </c>
      <c r="S1150" t="str">
        <f t="shared" si="103"/>
        <v>Valid</v>
      </c>
      <c r="T1150" t="str">
        <f t="shared" si="104"/>
        <v>Valid</v>
      </c>
      <c r="U1150" t="str">
        <f t="shared" si="105"/>
        <v>Valid</v>
      </c>
      <c r="V1150" t="str">
        <f t="shared" si="106"/>
        <v>Valid</v>
      </c>
      <c r="W1150" t="str">
        <f t="shared" si="107"/>
        <v>Valid</v>
      </c>
    </row>
    <row r="1151" spans="1:23">
      <c r="A1151" t="s">
        <v>1182</v>
      </c>
      <c r="B1151" s="2">
        <v>45794</v>
      </c>
      <c r="C1151" t="s">
        <v>723</v>
      </c>
      <c r="D1151" t="s">
        <v>32</v>
      </c>
      <c r="E1151" t="s">
        <v>19</v>
      </c>
      <c r="F1151" t="s">
        <v>29</v>
      </c>
      <c r="G1151" t="s">
        <v>26</v>
      </c>
      <c r="H1151">
        <v>1</v>
      </c>
      <c r="I1151">
        <v>1</v>
      </c>
      <c r="J1151">
        <v>0</v>
      </c>
      <c r="K1151">
        <v>0</v>
      </c>
      <c r="L1151">
        <v>0</v>
      </c>
      <c r="M1151">
        <v>0</v>
      </c>
      <c r="N1151">
        <v>0</v>
      </c>
      <c r="P1151">
        <v>49</v>
      </c>
      <c r="R1151" t="str">
        <f t="shared" si="102"/>
        <v>Unique</v>
      </c>
      <c r="S1151" t="str">
        <f t="shared" si="103"/>
        <v>Valid</v>
      </c>
      <c r="T1151" t="str">
        <f t="shared" si="104"/>
        <v>Valid</v>
      </c>
      <c r="U1151" t="str">
        <f t="shared" si="105"/>
        <v>Valid</v>
      </c>
      <c r="V1151" t="str">
        <f t="shared" si="106"/>
        <v>Valid</v>
      </c>
      <c r="W1151" t="str">
        <f t="shared" si="107"/>
        <v>Valid</v>
      </c>
    </row>
    <row r="1152" spans="1:23">
      <c r="A1152" t="s">
        <v>1183</v>
      </c>
      <c r="B1152" s="2">
        <v>45729</v>
      </c>
      <c r="C1152" t="s">
        <v>723</v>
      </c>
      <c r="D1152" t="s">
        <v>18</v>
      </c>
      <c r="E1152" t="s">
        <v>19</v>
      </c>
      <c r="F1152" t="s">
        <v>39</v>
      </c>
      <c r="G1152" t="s">
        <v>30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0</v>
      </c>
      <c r="N1152">
        <v>0</v>
      </c>
      <c r="P1152">
        <v>53.9</v>
      </c>
      <c r="R1152" t="str">
        <f t="shared" si="102"/>
        <v>Unique</v>
      </c>
      <c r="S1152" t="str">
        <f t="shared" si="103"/>
        <v>Valid</v>
      </c>
      <c r="T1152" t="str">
        <f t="shared" si="104"/>
        <v>Valid</v>
      </c>
      <c r="U1152" t="str">
        <f t="shared" si="105"/>
        <v>Valid</v>
      </c>
      <c r="V1152" t="str">
        <f t="shared" si="106"/>
        <v>Valid</v>
      </c>
      <c r="W1152" t="str">
        <f t="shared" si="107"/>
        <v>Valid</v>
      </c>
    </row>
    <row r="1153" spans="1:23">
      <c r="A1153" t="s">
        <v>1184</v>
      </c>
      <c r="B1153" s="2">
        <v>45699</v>
      </c>
      <c r="C1153" t="s">
        <v>723</v>
      </c>
      <c r="D1153" t="s">
        <v>28</v>
      </c>
      <c r="E1153" t="s">
        <v>19</v>
      </c>
      <c r="F1153" t="s">
        <v>25</v>
      </c>
      <c r="G1153" t="s">
        <v>21</v>
      </c>
      <c r="H1153">
        <v>1</v>
      </c>
      <c r="I1153">
        <v>0</v>
      </c>
      <c r="J1153">
        <v>0</v>
      </c>
      <c r="K1153">
        <v>0</v>
      </c>
      <c r="L1153">
        <v>0</v>
      </c>
      <c r="M1153">
        <v>1</v>
      </c>
      <c r="N1153">
        <v>0</v>
      </c>
      <c r="P1153">
        <v>69</v>
      </c>
      <c r="R1153" t="str">
        <f t="shared" si="102"/>
        <v>Unique</v>
      </c>
      <c r="S1153" t="str">
        <f t="shared" si="103"/>
        <v>Valid</v>
      </c>
      <c r="T1153" t="str">
        <f t="shared" si="104"/>
        <v>Valid</v>
      </c>
      <c r="U1153" t="str">
        <f t="shared" si="105"/>
        <v>Valid</v>
      </c>
      <c r="V1153" t="str">
        <f t="shared" si="106"/>
        <v>Valid</v>
      </c>
      <c r="W1153" t="str">
        <f t="shared" si="107"/>
        <v>Valid</v>
      </c>
    </row>
    <row r="1154" spans="1:23">
      <c r="A1154" t="s">
        <v>1185</v>
      </c>
      <c r="B1154" s="2">
        <v>45717</v>
      </c>
      <c r="C1154" t="s">
        <v>723</v>
      </c>
      <c r="D1154" t="s">
        <v>23</v>
      </c>
      <c r="E1154" t="s">
        <v>24</v>
      </c>
      <c r="F1154" t="s">
        <v>41</v>
      </c>
      <c r="G1154" t="s">
        <v>26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P1154">
        <v>37.4</v>
      </c>
      <c r="R1154" t="str">
        <f t="shared" si="102"/>
        <v>Unique</v>
      </c>
      <c r="S1154" t="str">
        <f t="shared" si="103"/>
        <v>Valid</v>
      </c>
      <c r="T1154" t="str">
        <f t="shared" si="104"/>
        <v>Valid</v>
      </c>
      <c r="U1154" t="str">
        <f t="shared" si="105"/>
        <v>Valid</v>
      </c>
      <c r="V1154" t="str">
        <f t="shared" si="106"/>
        <v>Valid</v>
      </c>
      <c r="W1154" t="str">
        <f t="shared" si="107"/>
        <v>Valid</v>
      </c>
    </row>
    <row r="1155" spans="1:23">
      <c r="A1155" t="s">
        <v>1186</v>
      </c>
      <c r="B1155" s="2">
        <v>45762</v>
      </c>
      <c r="C1155" t="s">
        <v>723</v>
      </c>
      <c r="D1155" t="s">
        <v>23</v>
      </c>
      <c r="E1155" t="s">
        <v>24</v>
      </c>
      <c r="F1155" t="s">
        <v>25</v>
      </c>
      <c r="G1155" t="s">
        <v>21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P1155">
        <v>59</v>
      </c>
      <c r="R1155" t="str">
        <f t="shared" ref="R1155:R1218" si="108">IF(COUNTIF($A:$A,A1155)&gt;1,"Duplicate","Unique")</f>
        <v>Unique</v>
      </c>
      <c r="S1155" t="str">
        <f t="shared" ref="S1155:S1218" si="109">IF(OR(H1155=0,H1155=1),"Valid","Invalid")</f>
        <v>Valid</v>
      </c>
      <c r="T1155" t="str">
        <f t="shared" ref="T1155:T1218" si="110">IF(OR(I1155=0,I1155=1),"Valid","Invalid")</f>
        <v>Valid</v>
      </c>
      <c r="U1155" t="str">
        <f t="shared" ref="U1155:U1218" si="111">IF(OR(J1155=0,J1155=1),"Valid","Invalid")</f>
        <v>Valid</v>
      </c>
      <c r="V1155" t="str">
        <f t="shared" ref="V1155:V1218" si="112">IF(OR(K1155=0,K1155=1),"Valid","Invalid")</f>
        <v>Valid</v>
      </c>
      <c r="W1155" t="str">
        <f t="shared" ref="W1155:W1218" si="113">IF(OR(N1155=0,N1155=1),"Valid","Invalid")</f>
        <v>Valid</v>
      </c>
    </row>
    <row r="1156" spans="1:23">
      <c r="A1156" t="s">
        <v>1187</v>
      </c>
      <c r="B1156" s="2">
        <v>45690</v>
      </c>
      <c r="C1156" t="s">
        <v>723</v>
      </c>
      <c r="D1156" t="s">
        <v>28</v>
      </c>
      <c r="E1156" t="s">
        <v>24</v>
      </c>
      <c r="F1156" t="s">
        <v>25</v>
      </c>
      <c r="G1156" t="s">
        <v>30</v>
      </c>
      <c r="H1156">
        <v>1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P1156">
        <v>60.8</v>
      </c>
      <c r="R1156" t="str">
        <f t="shared" si="108"/>
        <v>Unique</v>
      </c>
      <c r="S1156" t="str">
        <f t="shared" si="109"/>
        <v>Valid</v>
      </c>
      <c r="T1156" t="str">
        <f t="shared" si="110"/>
        <v>Valid</v>
      </c>
      <c r="U1156" t="str">
        <f t="shared" si="111"/>
        <v>Valid</v>
      </c>
      <c r="V1156" t="str">
        <f t="shared" si="112"/>
        <v>Valid</v>
      </c>
      <c r="W1156" t="str">
        <f t="shared" si="113"/>
        <v>Valid</v>
      </c>
    </row>
    <row r="1157" spans="1:23">
      <c r="A1157" t="s">
        <v>1188</v>
      </c>
      <c r="B1157" s="2">
        <v>45796</v>
      </c>
      <c r="C1157" t="s">
        <v>723</v>
      </c>
      <c r="D1157" t="s">
        <v>32</v>
      </c>
      <c r="E1157" t="s">
        <v>24</v>
      </c>
      <c r="F1157" t="s">
        <v>20</v>
      </c>
      <c r="G1157" t="s">
        <v>26</v>
      </c>
      <c r="H1157">
        <v>1</v>
      </c>
      <c r="I1157">
        <v>0</v>
      </c>
      <c r="J1157">
        <v>0</v>
      </c>
      <c r="K1157">
        <v>0</v>
      </c>
      <c r="L1157">
        <v>0</v>
      </c>
      <c r="M1157">
        <v>0</v>
      </c>
      <c r="N1157">
        <v>0</v>
      </c>
      <c r="P1157">
        <v>57.5</v>
      </c>
      <c r="R1157" t="str">
        <f t="shared" si="108"/>
        <v>Unique</v>
      </c>
      <c r="S1157" t="str">
        <f t="shared" si="109"/>
        <v>Valid</v>
      </c>
      <c r="T1157" t="str">
        <f t="shared" si="110"/>
        <v>Valid</v>
      </c>
      <c r="U1157" t="str">
        <f t="shared" si="111"/>
        <v>Valid</v>
      </c>
      <c r="V1157" t="str">
        <f t="shared" si="112"/>
        <v>Valid</v>
      </c>
      <c r="W1157" t="str">
        <f t="shared" si="113"/>
        <v>Valid</v>
      </c>
    </row>
    <row r="1158" spans="1:23">
      <c r="A1158" t="s">
        <v>1189</v>
      </c>
      <c r="B1158" s="2">
        <v>45662</v>
      </c>
      <c r="C1158" t="s">
        <v>723</v>
      </c>
      <c r="D1158" t="s">
        <v>23</v>
      </c>
      <c r="E1158" t="s">
        <v>24</v>
      </c>
      <c r="F1158" t="s">
        <v>39</v>
      </c>
      <c r="G1158" t="s">
        <v>26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P1158">
        <v>84.2</v>
      </c>
      <c r="R1158" t="str">
        <f t="shared" si="108"/>
        <v>Unique</v>
      </c>
      <c r="S1158" t="str">
        <f t="shared" si="109"/>
        <v>Valid</v>
      </c>
      <c r="T1158" t="str">
        <f t="shared" si="110"/>
        <v>Valid</v>
      </c>
      <c r="U1158" t="str">
        <f t="shared" si="111"/>
        <v>Valid</v>
      </c>
      <c r="V1158" t="str">
        <f t="shared" si="112"/>
        <v>Valid</v>
      </c>
      <c r="W1158" t="str">
        <f t="shared" si="113"/>
        <v>Valid</v>
      </c>
    </row>
    <row r="1159" spans="1:23">
      <c r="A1159" t="s">
        <v>1190</v>
      </c>
      <c r="B1159" s="2">
        <v>45724</v>
      </c>
      <c r="C1159" t="s">
        <v>723</v>
      </c>
      <c r="D1159" t="s">
        <v>32</v>
      </c>
      <c r="E1159" t="s">
        <v>24</v>
      </c>
      <c r="F1159" t="s">
        <v>29</v>
      </c>
      <c r="G1159" t="s">
        <v>26</v>
      </c>
      <c r="H1159">
        <v>1</v>
      </c>
      <c r="I1159">
        <v>1</v>
      </c>
      <c r="J1159">
        <v>0</v>
      </c>
      <c r="K1159">
        <v>0</v>
      </c>
      <c r="L1159">
        <v>0</v>
      </c>
      <c r="M1159">
        <v>0</v>
      </c>
      <c r="N1159">
        <v>0</v>
      </c>
      <c r="P1159">
        <v>27.4</v>
      </c>
      <c r="R1159" t="str">
        <f t="shared" si="108"/>
        <v>Unique</v>
      </c>
      <c r="S1159" t="str">
        <f t="shared" si="109"/>
        <v>Valid</v>
      </c>
      <c r="T1159" t="str">
        <f t="shared" si="110"/>
        <v>Valid</v>
      </c>
      <c r="U1159" t="str">
        <f t="shared" si="111"/>
        <v>Valid</v>
      </c>
      <c r="V1159" t="str">
        <f t="shared" si="112"/>
        <v>Valid</v>
      </c>
      <c r="W1159" t="str">
        <f t="shared" si="113"/>
        <v>Valid</v>
      </c>
    </row>
    <row r="1160" spans="1:23">
      <c r="A1160" t="s">
        <v>1191</v>
      </c>
      <c r="B1160" s="2">
        <v>45728</v>
      </c>
      <c r="C1160" t="s">
        <v>723</v>
      </c>
      <c r="D1160" t="s">
        <v>23</v>
      </c>
      <c r="E1160" t="s">
        <v>24</v>
      </c>
      <c r="F1160" t="s">
        <v>20</v>
      </c>
      <c r="G1160" t="s">
        <v>21</v>
      </c>
      <c r="H1160">
        <v>1</v>
      </c>
      <c r="I1160">
        <v>0</v>
      </c>
      <c r="J1160">
        <v>0</v>
      </c>
      <c r="K1160">
        <v>0</v>
      </c>
      <c r="L1160">
        <v>0</v>
      </c>
      <c r="M1160">
        <v>1</v>
      </c>
      <c r="N1160">
        <v>0</v>
      </c>
      <c r="P1160">
        <v>67.599999999999994</v>
      </c>
      <c r="R1160" t="str">
        <f t="shared" si="108"/>
        <v>Unique</v>
      </c>
      <c r="S1160" t="str">
        <f t="shared" si="109"/>
        <v>Valid</v>
      </c>
      <c r="T1160" t="str">
        <f t="shared" si="110"/>
        <v>Valid</v>
      </c>
      <c r="U1160" t="str">
        <f t="shared" si="111"/>
        <v>Valid</v>
      </c>
      <c r="V1160" t="str">
        <f t="shared" si="112"/>
        <v>Valid</v>
      </c>
      <c r="W1160" t="str">
        <f t="shared" si="113"/>
        <v>Valid</v>
      </c>
    </row>
    <row r="1161" spans="1:23">
      <c r="A1161" t="s">
        <v>1192</v>
      </c>
      <c r="B1161" s="2">
        <v>45681</v>
      </c>
      <c r="C1161" t="s">
        <v>723</v>
      </c>
      <c r="D1161" t="s">
        <v>23</v>
      </c>
      <c r="E1161" t="s">
        <v>24</v>
      </c>
      <c r="F1161" t="s">
        <v>25</v>
      </c>
      <c r="G1161" t="s">
        <v>26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P1161">
        <v>68.400000000000006</v>
      </c>
      <c r="R1161" t="str">
        <f t="shared" si="108"/>
        <v>Unique</v>
      </c>
      <c r="S1161" t="str">
        <f t="shared" si="109"/>
        <v>Valid</v>
      </c>
      <c r="T1161" t="str">
        <f t="shared" si="110"/>
        <v>Valid</v>
      </c>
      <c r="U1161" t="str">
        <f t="shared" si="111"/>
        <v>Valid</v>
      </c>
      <c r="V1161" t="str">
        <f t="shared" si="112"/>
        <v>Valid</v>
      </c>
      <c r="W1161" t="str">
        <f t="shared" si="113"/>
        <v>Valid</v>
      </c>
    </row>
    <row r="1162" spans="1:23">
      <c r="A1162" t="s">
        <v>1193</v>
      </c>
      <c r="B1162" s="2">
        <v>45799</v>
      </c>
      <c r="C1162" t="s">
        <v>723</v>
      </c>
      <c r="D1162" t="s">
        <v>32</v>
      </c>
      <c r="E1162" t="s">
        <v>24</v>
      </c>
      <c r="F1162" t="s">
        <v>29</v>
      </c>
      <c r="G1162" t="s">
        <v>21</v>
      </c>
      <c r="H1162">
        <v>1</v>
      </c>
      <c r="I1162">
        <v>1</v>
      </c>
      <c r="J1162">
        <v>1</v>
      </c>
      <c r="K1162">
        <v>0</v>
      </c>
      <c r="L1162">
        <v>0</v>
      </c>
      <c r="M1162">
        <v>0</v>
      </c>
      <c r="N1162">
        <v>0</v>
      </c>
      <c r="P1162">
        <v>66.5</v>
      </c>
      <c r="R1162" t="str">
        <f t="shared" si="108"/>
        <v>Unique</v>
      </c>
      <c r="S1162" t="str">
        <f t="shared" si="109"/>
        <v>Valid</v>
      </c>
      <c r="T1162" t="str">
        <f t="shared" si="110"/>
        <v>Valid</v>
      </c>
      <c r="U1162" t="str">
        <f t="shared" si="111"/>
        <v>Valid</v>
      </c>
      <c r="V1162" t="str">
        <f t="shared" si="112"/>
        <v>Valid</v>
      </c>
      <c r="W1162" t="str">
        <f t="shared" si="113"/>
        <v>Valid</v>
      </c>
    </row>
    <row r="1163" spans="1:23">
      <c r="A1163" t="s">
        <v>1194</v>
      </c>
      <c r="B1163" s="2">
        <v>45743</v>
      </c>
      <c r="C1163" t="s">
        <v>723</v>
      </c>
      <c r="D1163" t="s">
        <v>32</v>
      </c>
      <c r="E1163" t="s">
        <v>24</v>
      </c>
      <c r="F1163" t="s">
        <v>29</v>
      </c>
      <c r="G1163" t="s">
        <v>26</v>
      </c>
      <c r="H1163">
        <v>1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P1163">
        <v>38.200000000000003</v>
      </c>
      <c r="R1163" t="str">
        <f t="shared" si="108"/>
        <v>Unique</v>
      </c>
      <c r="S1163" t="str">
        <f t="shared" si="109"/>
        <v>Valid</v>
      </c>
      <c r="T1163" t="str">
        <f t="shared" si="110"/>
        <v>Valid</v>
      </c>
      <c r="U1163" t="str">
        <f t="shared" si="111"/>
        <v>Valid</v>
      </c>
      <c r="V1163" t="str">
        <f t="shared" si="112"/>
        <v>Valid</v>
      </c>
      <c r="W1163" t="str">
        <f t="shared" si="113"/>
        <v>Valid</v>
      </c>
    </row>
    <row r="1164" spans="1:23">
      <c r="A1164" t="s">
        <v>1195</v>
      </c>
      <c r="B1164" s="2">
        <v>45659</v>
      </c>
      <c r="C1164" t="s">
        <v>723</v>
      </c>
      <c r="D1164" t="s">
        <v>23</v>
      </c>
      <c r="E1164" t="s">
        <v>24</v>
      </c>
      <c r="F1164" t="s">
        <v>41</v>
      </c>
      <c r="G1164" t="s">
        <v>26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1</v>
      </c>
      <c r="N1164">
        <v>0</v>
      </c>
      <c r="P1164">
        <v>66.7</v>
      </c>
      <c r="R1164" t="str">
        <f t="shared" si="108"/>
        <v>Unique</v>
      </c>
      <c r="S1164" t="str">
        <f t="shared" si="109"/>
        <v>Valid</v>
      </c>
      <c r="T1164" t="str">
        <f t="shared" si="110"/>
        <v>Valid</v>
      </c>
      <c r="U1164" t="str">
        <f t="shared" si="111"/>
        <v>Valid</v>
      </c>
      <c r="V1164" t="str">
        <f t="shared" si="112"/>
        <v>Valid</v>
      </c>
      <c r="W1164" t="str">
        <f t="shared" si="113"/>
        <v>Valid</v>
      </c>
    </row>
    <row r="1165" spans="1:23">
      <c r="A1165" t="s">
        <v>1196</v>
      </c>
      <c r="B1165" s="2">
        <v>45712</v>
      </c>
      <c r="C1165" t="s">
        <v>723</v>
      </c>
      <c r="D1165" t="s">
        <v>18</v>
      </c>
      <c r="E1165" t="s">
        <v>24</v>
      </c>
      <c r="F1165" t="s">
        <v>29</v>
      </c>
      <c r="G1165" t="s">
        <v>26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1</v>
      </c>
      <c r="N1165">
        <v>0</v>
      </c>
      <c r="P1165">
        <v>73.7</v>
      </c>
      <c r="R1165" t="str">
        <f t="shared" si="108"/>
        <v>Unique</v>
      </c>
      <c r="S1165" t="str">
        <f t="shared" si="109"/>
        <v>Valid</v>
      </c>
      <c r="T1165" t="str">
        <f t="shared" si="110"/>
        <v>Valid</v>
      </c>
      <c r="U1165" t="str">
        <f t="shared" si="111"/>
        <v>Valid</v>
      </c>
      <c r="V1165" t="str">
        <f t="shared" si="112"/>
        <v>Valid</v>
      </c>
      <c r="W1165" t="str">
        <f t="shared" si="113"/>
        <v>Valid</v>
      </c>
    </row>
    <row r="1166" spans="1:23">
      <c r="A1166" t="s">
        <v>1197</v>
      </c>
      <c r="B1166" s="2">
        <v>45717</v>
      </c>
      <c r="C1166" t="s">
        <v>723</v>
      </c>
      <c r="D1166" t="s">
        <v>23</v>
      </c>
      <c r="E1166" t="s">
        <v>19</v>
      </c>
      <c r="F1166" t="s">
        <v>25</v>
      </c>
      <c r="G1166" t="s">
        <v>21</v>
      </c>
      <c r="H1166">
        <v>1</v>
      </c>
      <c r="I1166">
        <v>1</v>
      </c>
      <c r="J1166">
        <v>1</v>
      </c>
      <c r="K1166">
        <v>0</v>
      </c>
      <c r="L1166">
        <v>0</v>
      </c>
      <c r="M1166">
        <v>0</v>
      </c>
      <c r="N1166">
        <v>0</v>
      </c>
      <c r="P1166">
        <v>63.9</v>
      </c>
      <c r="R1166" t="str">
        <f t="shared" si="108"/>
        <v>Unique</v>
      </c>
      <c r="S1166" t="str">
        <f t="shared" si="109"/>
        <v>Valid</v>
      </c>
      <c r="T1166" t="str">
        <f t="shared" si="110"/>
        <v>Valid</v>
      </c>
      <c r="U1166" t="str">
        <f t="shared" si="111"/>
        <v>Valid</v>
      </c>
      <c r="V1166" t="str">
        <f t="shared" si="112"/>
        <v>Valid</v>
      </c>
      <c r="W1166" t="str">
        <f t="shared" si="113"/>
        <v>Valid</v>
      </c>
    </row>
    <row r="1167" spans="1:23">
      <c r="A1167" t="s">
        <v>1198</v>
      </c>
      <c r="B1167" s="2">
        <v>45742</v>
      </c>
      <c r="C1167" t="s">
        <v>723</v>
      </c>
      <c r="D1167" t="s">
        <v>32</v>
      </c>
      <c r="E1167" t="s">
        <v>34</v>
      </c>
      <c r="F1167" t="s">
        <v>25</v>
      </c>
      <c r="G1167" t="s">
        <v>21</v>
      </c>
      <c r="H1167">
        <v>1</v>
      </c>
      <c r="I1167">
        <v>0</v>
      </c>
      <c r="J1167">
        <v>0</v>
      </c>
      <c r="K1167">
        <v>0</v>
      </c>
      <c r="L1167">
        <v>0</v>
      </c>
      <c r="M1167">
        <v>1</v>
      </c>
      <c r="N1167">
        <v>0</v>
      </c>
      <c r="P1167">
        <v>82.6</v>
      </c>
      <c r="R1167" t="str">
        <f t="shared" si="108"/>
        <v>Unique</v>
      </c>
      <c r="S1167" t="str">
        <f t="shared" si="109"/>
        <v>Valid</v>
      </c>
      <c r="T1167" t="str">
        <f t="shared" si="110"/>
        <v>Valid</v>
      </c>
      <c r="U1167" t="str">
        <f t="shared" si="111"/>
        <v>Valid</v>
      </c>
      <c r="V1167" t="str">
        <f t="shared" si="112"/>
        <v>Valid</v>
      </c>
      <c r="W1167" t="str">
        <f t="shared" si="113"/>
        <v>Valid</v>
      </c>
    </row>
    <row r="1168" spans="1:23">
      <c r="A1168" t="s">
        <v>1199</v>
      </c>
      <c r="B1168" s="2">
        <v>45802</v>
      </c>
      <c r="C1168" t="s">
        <v>723</v>
      </c>
      <c r="D1168" t="s">
        <v>28</v>
      </c>
      <c r="E1168" t="s">
        <v>24</v>
      </c>
      <c r="F1168" t="s">
        <v>29</v>
      </c>
      <c r="G1168" t="s">
        <v>26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1</v>
      </c>
      <c r="N1168">
        <v>0</v>
      </c>
      <c r="P1168">
        <v>58.3</v>
      </c>
      <c r="R1168" t="str">
        <f t="shared" si="108"/>
        <v>Unique</v>
      </c>
      <c r="S1168" t="str">
        <f t="shared" si="109"/>
        <v>Valid</v>
      </c>
      <c r="T1168" t="str">
        <f t="shared" si="110"/>
        <v>Valid</v>
      </c>
      <c r="U1168" t="str">
        <f t="shared" si="111"/>
        <v>Valid</v>
      </c>
      <c r="V1168" t="str">
        <f t="shared" si="112"/>
        <v>Valid</v>
      </c>
      <c r="W1168" t="str">
        <f t="shared" si="113"/>
        <v>Valid</v>
      </c>
    </row>
    <row r="1169" spans="1:23">
      <c r="A1169" t="s">
        <v>1200</v>
      </c>
      <c r="B1169" s="2">
        <v>45713</v>
      </c>
      <c r="C1169" t="s">
        <v>723</v>
      </c>
      <c r="D1169" t="s">
        <v>23</v>
      </c>
      <c r="E1169" t="s">
        <v>24</v>
      </c>
      <c r="F1169" t="s">
        <v>39</v>
      </c>
      <c r="G1169" t="s">
        <v>30</v>
      </c>
      <c r="H1169">
        <v>1</v>
      </c>
      <c r="I1169">
        <v>1</v>
      </c>
      <c r="J1169">
        <v>1</v>
      </c>
      <c r="K1169">
        <v>1</v>
      </c>
      <c r="L1169">
        <v>1547.06</v>
      </c>
      <c r="M1169">
        <v>0</v>
      </c>
      <c r="N1169">
        <v>1</v>
      </c>
      <c r="O1169">
        <v>2</v>
      </c>
      <c r="P1169">
        <v>72.900000000000006</v>
      </c>
      <c r="R1169" t="str">
        <f t="shared" si="108"/>
        <v>Unique</v>
      </c>
      <c r="S1169" t="str">
        <f t="shared" si="109"/>
        <v>Valid</v>
      </c>
      <c r="T1169" t="str">
        <f t="shared" si="110"/>
        <v>Valid</v>
      </c>
      <c r="U1169" t="str">
        <f t="shared" si="111"/>
        <v>Valid</v>
      </c>
      <c r="V1169" t="str">
        <f t="shared" si="112"/>
        <v>Valid</v>
      </c>
      <c r="W1169" t="str">
        <f t="shared" si="113"/>
        <v>Valid</v>
      </c>
    </row>
    <row r="1170" spans="1:23">
      <c r="A1170" t="s">
        <v>1201</v>
      </c>
      <c r="B1170" s="2">
        <v>45739</v>
      </c>
      <c r="C1170" t="s">
        <v>723</v>
      </c>
      <c r="D1170" t="s">
        <v>32</v>
      </c>
      <c r="E1170" t="s">
        <v>24</v>
      </c>
      <c r="F1170" t="s">
        <v>41</v>
      </c>
      <c r="G1170" t="s">
        <v>26</v>
      </c>
      <c r="H1170">
        <v>1</v>
      </c>
      <c r="I1170">
        <v>1</v>
      </c>
      <c r="J1170">
        <v>1</v>
      </c>
      <c r="K1170">
        <v>0</v>
      </c>
      <c r="L1170">
        <v>0</v>
      </c>
      <c r="M1170">
        <v>2</v>
      </c>
      <c r="N1170">
        <v>0</v>
      </c>
      <c r="P1170">
        <v>53.5</v>
      </c>
      <c r="R1170" t="str">
        <f t="shared" si="108"/>
        <v>Unique</v>
      </c>
      <c r="S1170" t="str">
        <f t="shared" si="109"/>
        <v>Valid</v>
      </c>
      <c r="T1170" t="str">
        <f t="shared" si="110"/>
        <v>Valid</v>
      </c>
      <c r="U1170" t="str">
        <f t="shared" si="111"/>
        <v>Valid</v>
      </c>
      <c r="V1170" t="str">
        <f t="shared" si="112"/>
        <v>Valid</v>
      </c>
      <c r="W1170" t="str">
        <f t="shared" si="113"/>
        <v>Valid</v>
      </c>
    </row>
    <row r="1171" spans="1:23">
      <c r="A1171" t="s">
        <v>1202</v>
      </c>
      <c r="B1171" s="2">
        <v>45768</v>
      </c>
      <c r="C1171" t="s">
        <v>723</v>
      </c>
      <c r="D1171" t="s">
        <v>23</v>
      </c>
      <c r="E1171" t="s">
        <v>24</v>
      </c>
      <c r="F1171" t="s">
        <v>39</v>
      </c>
      <c r="G1171" t="s">
        <v>26</v>
      </c>
      <c r="H1171">
        <v>1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P1171">
        <v>54.8</v>
      </c>
      <c r="R1171" t="str">
        <f t="shared" si="108"/>
        <v>Unique</v>
      </c>
      <c r="S1171" t="str">
        <f t="shared" si="109"/>
        <v>Valid</v>
      </c>
      <c r="T1171" t="str">
        <f t="shared" si="110"/>
        <v>Valid</v>
      </c>
      <c r="U1171" t="str">
        <f t="shared" si="111"/>
        <v>Valid</v>
      </c>
      <c r="V1171" t="str">
        <f t="shared" si="112"/>
        <v>Valid</v>
      </c>
      <c r="W1171" t="str">
        <f t="shared" si="113"/>
        <v>Valid</v>
      </c>
    </row>
    <row r="1172" spans="1:23">
      <c r="A1172" t="s">
        <v>1203</v>
      </c>
      <c r="B1172" s="2">
        <v>45798</v>
      </c>
      <c r="C1172" t="s">
        <v>723</v>
      </c>
      <c r="D1172" t="s">
        <v>18</v>
      </c>
      <c r="E1172" t="s">
        <v>24</v>
      </c>
      <c r="F1172" t="s">
        <v>25</v>
      </c>
      <c r="G1172" t="s">
        <v>30</v>
      </c>
      <c r="H1172">
        <v>1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P1172">
        <v>69.5</v>
      </c>
      <c r="R1172" t="str">
        <f t="shared" si="108"/>
        <v>Unique</v>
      </c>
      <c r="S1172" t="str">
        <f t="shared" si="109"/>
        <v>Valid</v>
      </c>
      <c r="T1172" t="str">
        <f t="shared" si="110"/>
        <v>Valid</v>
      </c>
      <c r="U1172" t="str">
        <f t="shared" si="111"/>
        <v>Valid</v>
      </c>
      <c r="V1172" t="str">
        <f t="shared" si="112"/>
        <v>Valid</v>
      </c>
      <c r="W1172" t="str">
        <f t="shared" si="113"/>
        <v>Valid</v>
      </c>
    </row>
    <row r="1173" spans="1:23">
      <c r="A1173" t="s">
        <v>1204</v>
      </c>
      <c r="B1173" s="2">
        <v>45772</v>
      </c>
      <c r="C1173" t="s">
        <v>723</v>
      </c>
      <c r="D1173" t="s">
        <v>18</v>
      </c>
      <c r="E1173" t="s">
        <v>19</v>
      </c>
      <c r="F1173" t="s">
        <v>41</v>
      </c>
      <c r="G1173" t="s">
        <v>26</v>
      </c>
      <c r="H1173">
        <v>1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P1173">
        <v>71.3</v>
      </c>
      <c r="R1173" t="str">
        <f t="shared" si="108"/>
        <v>Unique</v>
      </c>
      <c r="S1173" t="str">
        <f t="shared" si="109"/>
        <v>Valid</v>
      </c>
      <c r="T1173" t="str">
        <f t="shared" si="110"/>
        <v>Valid</v>
      </c>
      <c r="U1173" t="str">
        <f t="shared" si="111"/>
        <v>Valid</v>
      </c>
      <c r="V1173" t="str">
        <f t="shared" si="112"/>
        <v>Valid</v>
      </c>
      <c r="W1173" t="str">
        <f t="shared" si="113"/>
        <v>Valid</v>
      </c>
    </row>
    <row r="1174" spans="1:23">
      <c r="A1174" t="s">
        <v>1205</v>
      </c>
      <c r="B1174" s="2">
        <v>45800</v>
      </c>
      <c r="C1174" t="s">
        <v>723</v>
      </c>
      <c r="D1174" t="s">
        <v>23</v>
      </c>
      <c r="E1174" t="s">
        <v>24</v>
      </c>
      <c r="F1174" t="s">
        <v>39</v>
      </c>
      <c r="G1174" t="s">
        <v>21</v>
      </c>
      <c r="H1174">
        <v>1</v>
      </c>
      <c r="I1174">
        <v>0</v>
      </c>
      <c r="J1174">
        <v>0</v>
      </c>
      <c r="K1174">
        <v>0</v>
      </c>
      <c r="L1174">
        <v>0</v>
      </c>
      <c r="M1174">
        <v>1</v>
      </c>
      <c r="N1174">
        <v>0</v>
      </c>
      <c r="P1174">
        <v>57.5</v>
      </c>
      <c r="R1174" t="str">
        <f t="shared" si="108"/>
        <v>Unique</v>
      </c>
      <c r="S1174" t="str">
        <f t="shared" si="109"/>
        <v>Valid</v>
      </c>
      <c r="T1174" t="str">
        <f t="shared" si="110"/>
        <v>Valid</v>
      </c>
      <c r="U1174" t="str">
        <f t="shared" si="111"/>
        <v>Valid</v>
      </c>
      <c r="V1174" t="str">
        <f t="shared" si="112"/>
        <v>Valid</v>
      </c>
      <c r="W1174" t="str">
        <f t="shared" si="113"/>
        <v>Valid</v>
      </c>
    </row>
    <row r="1175" spans="1:23">
      <c r="A1175" t="s">
        <v>1206</v>
      </c>
      <c r="B1175" s="2">
        <v>45734</v>
      </c>
      <c r="C1175" t="s">
        <v>723</v>
      </c>
      <c r="D1175" t="s">
        <v>32</v>
      </c>
      <c r="E1175" t="s">
        <v>24</v>
      </c>
      <c r="F1175" t="s">
        <v>20</v>
      </c>
      <c r="G1175" t="s">
        <v>26</v>
      </c>
      <c r="H1175">
        <v>1</v>
      </c>
      <c r="I1175">
        <v>0</v>
      </c>
      <c r="J1175">
        <v>0</v>
      </c>
      <c r="K1175">
        <v>0</v>
      </c>
      <c r="L1175">
        <v>0</v>
      </c>
      <c r="M1175">
        <v>4</v>
      </c>
      <c r="N1175">
        <v>0</v>
      </c>
      <c r="P1175">
        <v>50.9</v>
      </c>
      <c r="R1175" t="str">
        <f t="shared" si="108"/>
        <v>Unique</v>
      </c>
      <c r="S1175" t="str">
        <f t="shared" si="109"/>
        <v>Valid</v>
      </c>
      <c r="T1175" t="str">
        <f t="shared" si="110"/>
        <v>Valid</v>
      </c>
      <c r="U1175" t="str">
        <f t="shared" si="111"/>
        <v>Valid</v>
      </c>
      <c r="V1175" t="str">
        <f t="shared" si="112"/>
        <v>Valid</v>
      </c>
      <c r="W1175" t="str">
        <f t="shared" si="113"/>
        <v>Valid</v>
      </c>
    </row>
    <row r="1176" spans="1:23">
      <c r="A1176" t="s">
        <v>1207</v>
      </c>
      <c r="B1176" s="2">
        <v>45660</v>
      </c>
      <c r="C1176" t="s">
        <v>723</v>
      </c>
      <c r="D1176" t="s">
        <v>32</v>
      </c>
      <c r="E1176" t="s">
        <v>34</v>
      </c>
      <c r="F1176" t="s">
        <v>25</v>
      </c>
      <c r="G1176" t="s">
        <v>26</v>
      </c>
      <c r="H1176">
        <v>1</v>
      </c>
      <c r="I1176">
        <v>1</v>
      </c>
      <c r="J1176">
        <v>1</v>
      </c>
      <c r="K1176">
        <v>0</v>
      </c>
      <c r="L1176">
        <v>0</v>
      </c>
      <c r="M1176">
        <v>0</v>
      </c>
      <c r="N1176">
        <v>0</v>
      </c>
      <c r="P1176">
        <v>69.3</v>
      </c>
      <c r="R1176" t="str">
        <f t="shared" si="108"/>
        <v>Unique</v>
      </c>
      <c r="S1176" t="str">
        <f t="shared" si="109"/>
        <v>Valid</v>
      </c>
      <c r="T1176" t="str">
        <f t="shared" si="110"/>
        <v>Valid</v>
      </c>
      <c r="U1176" t="str">
        <f t="shared" si="111"/>
        <v>Valid</v>
      </c>
      <c r="V1176" t="str">
        <f t="shared" si="112"/>
        <v>Valid</v>
      </c>
      <c r="W1176" t="str">
        <f t="shared" si="113"/>
        <v>Valid</v>
      </c>
    </row>
    <row r="1177" spans="1:23">
      <c r="A1177" t="s">
        <v>1208</v>
      </c>
      <c r="B1177" s="2">
        <v>45696</v>
      </c>
      <c r="C1177" t="s">
        <v>723</v>
      </c>
      <c r="D1177" t="s">
        <v>23</v>
      </c>
      <c r="E1177" t="s">
        <v>19</v>
      </c>
      <c r="F1177" t="s">
        <v>25</v>
      </c>
      <c r="G1177" t="s">
        <v>26</v>
      </c>
      <c r="H1177">
        <v>1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P1177">
        <v>50.1</v>
      </c>
      <c r="R1177" t="str">
        <f t="shared" si="108"/>
        <v>Unique</v>
      </c>
      <c r="S1177" t="str">
        <f t="shared" si="109"/>
        <v>Valid</v>
      </c>
      <c r="T1177" t="str">
        <f t="shared" si="110"/>
        <v>Valid</v>
      </c>
      <c r="U1177" t="str">
        <f t="shared" si="111"/>
        <v>Valid</v>
      </c>
      <c r="V1177" t="str">
        <f t="shared" si="112"/>
        <v>Valid</v>
      </c>
      <c r="W1177" t="str">
        <f t="shared" si="113"/>
        <v>Valid</v>
      </c>
    </row>
    <row r="1178" spans="1:23">
      <c r="A1178" t="s">
        <v>1209</v>
      </c>
      <c r="B1178" s="2">
        <v>45692</v>
      </c>
      <c r="C1178" t="s">
        <v>723</v>
      </c>
      <c r="D1178" t="s">
        <v>28</v>
      </c>
      <c r="E1178" t="s">
        <v>1451</v>
      </c>
      <c r="F1178" t="s">
        <v>29</v>
      </c>
      <c r="G1178" t="s">
        <v>21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P1178">
        <v>69.7</v>
      </c>
      <c r="R1178" t="str">
        <f t="shared" si="108"/>
        <v>Unique</v>
      </c>
      <c r="S1178" t="str">
        <f t="shared" si="109"/>
        <v>Valid</v>
      </c>
      <c r="T1178" t="str">
        <f t="shared" si="110"/>
        <v>Valid</v>
      </c>
      <c r="U1178" t="str">
        <f t="shared" si="111"/>
        <v>Valid</v>
      </c>
      <c r="V1178" t="str">
        <f t="shared" si="112"/>
        <v>Valid</v>
      </c>
      <c r="W1178" t="str">
        <f t="shared" si="113"/>
        <v>Valid</v>
      </c>
    </row>
    <row r="1179" spans="1:23">
      <c r="A1179" t="s">
        <v>1210</v>
      </c>
      <c r="B1179" s="2">
        <v>45673</v>
      </c>
      <c r="C1179" t="s">
        <v>723</v>
      </c>
      <c r="D1179" t="s">
        <v>18</v>
      </c>
      <c r="E1179" t="s">
        <v>24</v>
      </c>
      <c r="F1179" t="s">
        <v>29</v>
      </c>
      <c r="G1179" t="s">
        <v>26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P1179">
        <v>63.5</v>
      </c>
      <c r="R1179" t="str">
        <f t="shared" si="108"/>
        <v>Unique</v>
      </c>
      <c r="S1179" t="str">
        <f t="shared" si="109"/>
        <v>Valid</v>
      </c>
      <c r="T1179" t="str">
        <f t="shared" si="110"/>
        <v>Valid</v>
      </c>
      <c r="U1179" t="str">
        <f t="shared" si="111"/>
        <v>Valid</v>
      </c>
      <c r="V1179" t="str">
        <f t="shared" si="112"/>
        <v>Valid</v>
      </c>
      <c r="W1179" t="str">
        <f t="shared" si="113"/>
        <v>Valid</v>
      </c>
    </row>
    <row r="1180" spans="1:23">
      <c r="A1180" t="s">
        <v>1211</v>
      </c>
      <c r="B1180" s="2">
        <v>45751</v>
      </c>
      <c r="C1180" t="s">
        <v>723</v>
      </c>
      <c r="D1180" t="s">
        <v>23</v>
      </c>
      <c r="E1180" t="s">
        <v>19</v>
      </c>
      <c r="F1180" t="s">
        <v>29</v>
      </c>
      <c r="G1180" t="s">
        <v>26</v>
      </c>
      <c r="H1180">
        <v>1</v>
      </c>
      <c r="I1180">
        <v>1</v>
      </c>
      <c r="J1180">
        <v>1</v>
      </c>
      <c r="K1180">
        <v>1</v>
      </c>
      <c r="L1180">
        <v>265.58999999999997</v>
      </c>
      <c r="M1180">
        <v>1</v>
      </c>
      <c r="N1180">
        <v>0</v>
      </c>
      <c r="O1180">
        <v>8</v>
      </c>
      <c r="P1180">
        <v>80.400000000000006</v>
      </c>
      <c r="R1180" t="str">
        <f t="shared" si="108"/>
        <v>Unique</v>
      </c>
      <c r="S1180" t="str">
        <f t="shared" si="109"/>
        <v>Valid</v>
      </c>
      <c r="T1180" t="str">
        <f t="shared" si="110"/>
        <v>Valid</v>
      </c>
      <c r="U1180" t="str">
        <f t="shared" si="111"/>
        <v>Valid</v>
      </c>
      <c r="V1180" t="str">
        <f t="shared" si="112"/>
        <v>Valid</v>
      </c>
      <c r="W1180" t="str">
        <f t="shared" si="113"/>
        <v>Valid</v>
      </c>
    </row>
    <row r="1181" spans="1:23">
      <c r="A1181" t="s">
        <v>1212</v>
      </c>
      <c r="B1181" s="2">
        <v>45680</v>
      </c>
      <c r="C1181" t="s">
        <v>723</v>
      </c>
      <c r="D1181" t="s">
        <v>18</v>
      </c>
      <c r="E1181" t="s">
        <v>19</v>
      </c>
      <c r="F1181" t="s">
        <v>29</v>
      </c>
      <c r="G1181" t="s">
        <v>26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P1181">
        <v>58.9</v>
      </c>
      <c r="R1181" t="str">
        <f t="shared" si="108"/>
        <v>Unique</v>
      </c>
      <c r="S1181" t="str">
        <f t="shared" si="109"/>
        <v>Valid</v>
      </c>
      <c r="T1181" t="str">
        <f t="shared" si="110"/>
        <v>Valid</v>
      </c>
      <c r="U1181" t="str">
        <f t="shared" si="111"/>
        <v>Valid</v>
      </c>
      <c r="V1181" t="str">
        <f t="shared" si="112"/>
        <v>Valid</v>
      </c>
      <c r="W1181" t="str">
        <f t="shared" si="113"/>
        <v>Valid</v>
      </c>
    </row>
    <row r="1182" spans="1:23">
      <c r="A1182" t="s">
        <v>1213</v>
      </c>
      <c r="B1182" s="2">
        <v>45738</v>
      </c>
      <c r="C1182" t="s">
        <v>723</v>
      </c>
      <c r="D1182" t="s">
        <v>32</v>
      </c>
      <c r="E1182" t="s">
        <v>19</v>
      </c>
      <c r="F1182" t="s">
        <v>29</v>
      </c>
      <c r="G1182" t="s">
        <v>26</v>
      </c>
      <c r="H1182">
        <v>1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P1182">
        <v>56.8</v>
      </c>
      <c r="R1182" t="str">
        <f t="shared" si="108"/>
        <v>Unique</v>
      </c>
      <c r="S1182" t="str">
        <f t="shared" si="109"/>
        <v>Valid</v>
      </c>
      <c r="T1182" t="str">
        <f t="shared" si="110"/>
        <v>Valid</v>
      </c>
      <c r="U1182" t="str">
        <f t="shared" si="111"/>
        <v>Valid</v>
      </c>
      <c r="V1182" t="str">
        <f t="shared" si="112"/>
        <v>Valid</v>
      </c>
      <c r="W1182" t="str">
        <f t="shared" si="113"/>
        <v>Valid</v>
      </c>
    </row>
    <row r="1183" spans="1:23">
      <c r="A1183" t="s">
        <v>1214</v>
      </c>
      <c r="B1183" s="2">
        <v>45690</v>
      </c>
      <c r="C1183" t="s">
        <v>723</v>
      </c>
      <c r="D1183" t="s">
        <v>28</v>
      </c>
      <c r="E1183" t="s">
        <v>34</v>
      </c>
      <c r="F1183" t="s">
        <v>41</v>
      </c>
      <c r="G1183" t="s">
        <v>30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P1183">
        <v>73.900000000000006</v>
      </c>
      <c r="R1183" t="str">
        <f t="shared" si="108"/>
        <v>Unique</v>
      </c>
      <c r="S1183" t="str">
        <f t="shared" si="109"/>
        <v>Valid</v>
      </c>
      <c r="T1183" t="str">
        <f t="shared" si="110"/>
        <v>Valid</v>
      </c>
      <c r="U1183" t="str">
        <f t="shared" si="111"/>
        <v>Valid</v>
      </c>
      <c r="V1183" t="str">
        <f t="shared" si="112"/>
        <v>Valid</v>
      </c>
      <c r="W1183" t="str">
        <f t="shared" si="113"/>
        <v>Valid</v>
      </c>
    </row>
    <row r="1184" spans="1:23">
      <c r="A1184" t="s">
        <v>1215</v>
      </c>
      <c r="B1184" s="2">
        <v>45688</v>
      </c>
      <c r="C1184" t="s">
        <v>723</v>
      </c>
      <c r="D1184" t="s">
        <v>18</v>
      </c>
      <c r="E1184" t="s">
        <v>19</v>
      </c>
      <c r="F1184" t="s">
        <v>29</v>
      </c>
      <c r="G1184" t="s">
        <v>26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P1184">
        <v>76.3</v>
      </c>
      <c r="R1184" t="str">
        <f t="shared" si="108"/>
        <v>Unique</v>
      </c>
      <c r="S1184" t="str">
        <f t="shared" si="109"/>
        <v>Valid</v>
      </c>
      <c r="T1184" t="str">
        <f t="shared" si="110"/>
        <v>Valid</v>
      </c>
      <c r="U1184" t="str">
        <f t="shared" si="111"/>
        <v>Valid</v>
      </c>
      <c r="V1184" t="str">
        <f t="shared" si="112"/>
        <v>Valid</v>
      </c>
      <c r="W1184" t="str">
        <f t="shared" si="113"/>
        <v>Valid</v>
      </c>
    </row>
    <row r="1185" spans="1:23">
      <c r="A1185" t="s">
        <v>1216</v>
      </c>
      <c r="B1185" s="2">
        <v>45804</v>
      </c>
      <c r="C1185" t="s">
        <v>723</v>
      </c>
      <c r="D1185" t="s">
        <v>23</v>
      </c>
      <c r="E1185" t="s">
        <v>24</v>
      </c>
      <c r="F1185" t="s">
        <v>25</v>
      </c>
      <c r="G1185" t="s">
        <v>21</v>
      </c>
      <c r="H1185">
        <v>1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P1185">
        <v>56.9</v>
      </c>
      <c r="R1185" t="str">
        <f t="shared" si="108"/>
        <v>Unique</v>
      </c>
      <c r="S1185" t="str">
        <f t="shared" si="109"/>
        <v>Valid</v>
      </c>
      <c r="T1185" t="str">
        <f t="shared" si="110"/>
        <v>Valid</v>
      </c>
      <c r="U1185" t="str">
        <f t="shared" si="111"/>
        <v>Valid</v>
      </c>
      <c r="V1185" t="str">
        <f t="shared" si="112"/>
        <v>Valid</v>
      </c>
      <c r="W1185" t="str">
        <f t="shared" si="113"/>
        <v>Valid</v>
      </c>
    </row>
    <row r="1186" spans="1:23">
      <c r="A1186" t="s">
        <v>1217</v>
      </c>
      <c r="B1186" s="2">
        <v>45784</v>
      </c>
      <c r="C1186" t="s">
        <v>723</v>
      </c>
      <c r="D1186" t="s">
        <v>18</v>
      </c>
      <c r="E1186" t="s">
        <v>24</v>
      </c>
      <c r="F1186" t="s">
        <v>25</v>
      </c>
      <c r="G1186" t="s">
        <v>30</v>
      </c>
      <c r="H1186">
        <v>1</v>
      </c>
      <c r="I1186">
        <v>0</v>
      </c>
      <c r="J1186">
        <v>0</v>
      </c>
      <c r="K1186">
        <v>0</v>
      </c>
      <c r="L1186">
        <v>0</v>
      </c>
      <c r="M1186">
        <v>2</v>
      </c>
      <c r="N1186">
        <v>0</v>
      </c>
      <c r="P1186">
        <v>49.4</v>
      </c>
      <c r="R1186" t="str">
        <f t="shared" si="108"/>
        <v>Unique</v>
      </c>
      <c r="S1186" t="str">
        <f t="shared" si="109"/>
        <v>Valid</v>
      </c>
      <c r="T1186" t="str">
        <f t="shared" si="110"/>
        <v>Valid</v>
      </c>
      <c r="U1186" t="str">
        <f t="shared" si="111"/>
        <v>Valid</v>
      </c>
      <c r="V1186" t="str">
        <f t="shared" si="112"/>
        <v>Valid</v>
      </c>
      <c r="W1186" t="str">
        <f t="shared" si="113"/>
        <v>Valid</v>
      </c>
    </row>
    <row r="1187" spans="1:23">
      <c r="A1187" t="s">
        <v>1218</v>
      </c>
      <c r="B1187" s="2">
        <v>45785</v>
      </c>
      <c r="C1187" t="s">
        <v>723</v>
      </c>
      <c r="D1187" t="s">
        <v>18</v>
      </c>
      <c r="E1187" t="s">
        <v>19</v>
      </c>
      <c r="F1187" t="s">
        <v>29</v>
      </c>
      <c r="G1187" t="s">
        <v>21</v>
      </c>
      <c r="H1187">
        <v>1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P1187">
        <v>86.7</v>
      </c>
      <c r="R1187" t="str">
        <f t="shared" si="108"/>
        <v>Unique</v>
      </c>
      <c r="S1187" t="str">
        <f t="shared" si="109"/>
        <v>Valid</v>
      </c>
      <c r="T1187" t="str">
        <f t="shared" si="110"/>
        <v>Valid</v>
      </c>
      <c r="U1187" t="str">
        <f t="shared" si="111"/>
        <v>Valid</v>
      </c>
      <c r="V1187" t="str">
        <f t="shared" si="112"/>
        <v>Valid</v>
      </c>
      <c r="W1187" t="str">
        <f t="shared" si="113"/>
        <v>Valid</v>
      </c>
    </row>
    <row r="1188" spans="1:23">
      <c r="A1188" t="s">
        <v>1219</v>
      </c>
      <c r="B1188" s="2">
        <v>45672</v>
      </c>
      <c r="C1188" t="s">
        <v>723</v>
      </c>
      <c r="D1188" t="s">
        <v>23</v>
      </c>
      <c r="E1188" t="s">
        <v>19</v>
      </c>
      <c r="F1188" t="s">
        <v>20</v>
      </c>
      <c r="G1188" t="s">
        <v>26</v>
      </c>
      <c r="H1188">
        <v>1</v>
      </c>
      <c r="I1188">
        <v>0</v>
      </c>
      <c r="J1188">
        <v>0</v>
      </c>
      <c r="K1188">
        <v>0</v>
      </c>
      <c r="L1188">
        <v>0</v>
      </c>
      <c r="M1188">
        <v>3</v>
      </c>
      <c r="N1188">
        <v>0</v>
      </c>
      <c r="P1188">
        <v>69</v>
      </c>
      <c r="R1188" t="str">
        <f t="shared" si="108"/>
        <v>Unique</v>
      </c>
      <c r="S1188" t="str">
        <f t="shared" si="109"/>
        <v>Valid</v>
      </c>
      <c r="T1188" t="str">
        <f t="shared" si="110"/>
        <v>Valid</v>
      </c>
      <c r="U1188" t="str">
        <f t="shared" si="111"/>
        <v>Valid</v>
      </c>
      <c r="V1188" t="str">
        <f t="shared" si="112"/>
        <v>Valid</v>
      </c>
      <c r="W1188" t="str">
        <f t="shared" si="113"/>
        <v>Valid</v>
      </c>
    </row>
    <row r="1189" spans="1:23">
      <c r="A1189" t="s">
        <v>1220</v>
      </c>
      <c r="B1189" s="2">
        <v>45675</v>
      </c>
      <c r="C1189" t="s">
        <v>723</v>
      </c>
      <c r="D1189" t="s">
        <v>18</v>
      </c>
      <c r="E1189" t="s">
        <v>24</v>
      </c>
      <c r="F1189" t="s">
        <v>29</v>
      </c>
      <c r="G1189" t="s">
        <v>26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P1189">
        <v>84.5</v>
      </c>
      <c r="R1189" t="str">
        <f t="shared" si="108"/>
        <v>Unique</v>
      </c>
      <c r="S1189" t="str">
        <f t="shared" si="109"/>
        <v>Valid</v>
      </c>
      <c r="T1189" t="str">
        <f t="shared" si="110"/>
        <v>Valid</v>
      </c>
      <c r="U1189" t="str">
        <f t="shared" si="111"/>
        <v>Valid</v>
      </c>
      <c r="V1189" t="str">
        <f t="shared" si="112"/>
        <v>Valid</v>
      </c>
      <c r="W1189" t="str">
        <f t="shared" si="113"/>
        <v>Valid</v>
      </c>
    </row>
    <row r="1190" spans="1:23">
      <c r="A1190" t="s">
        <v>1221</v>
      </c>
      <c r="B1190" s="2">
        <v>45763</v>
      </c>
      <c r="C1190" t="s">
        <v>723</v>
      </c>
      <c r="D1190" t="s">
        <v>28</v>
      </c>
      <c r="E1190" t="s">
        <v>1451</v>
      </c>
      <c r="F1190" t="s">
        <v>39</v>
      </c>
      <c r="G1190" t="s">
        <v>26</v>
      </c>
      <c r="H1190">
        <v>1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P1190">
        <v>66.3</v>
      </c>
      <c r="R1190" t="str">
        <f t="shared" si="108"/>
        <v>Unique</v>
      </c>
      <c r="S1190" t="str">
        <f t="shared" si="109"/>
        <v>Valid</v>
      </c>
      <c r="T1190" t="str">
        <f t="shared" si="110"/>
        <v>Valid</v>
      </c>
      <c r="U1190" t="str">
        <f t="shared" si="111"/>
        <v>Valid</v>
      </c>
      <c r="V1190" t="str">
        <f t="shared" si="112"/>
        <v>Valid</v>
      </c>
      <c r="W1190" t="str">
        <f t="shared" si="113"/>
        <v>Valid</v>
      </c>
    </row>
    <row r="1191" spans="1:23">
      <c r="A1191" t="s">
        <v>1222</v>
      </c>
      <c r="B1191" s="2">
        <v>45704</v>
      </c>
      <c r="C1191" t="s">
        <v>723</v>
      </c>
      <c r="D1191" t="s">
        <v>28</v>
      </c>
      <c r="E1191" t="s">
        <v>19</v>
      </c>
      <c r="F1191" t="s">
        <v>29</v>
      </c>
      <c r="G1191" t="s">
        <v>26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P1191">
        <v>52.2</v>
      </c>
      <c r="R1191" t="str">
        <f t="shared" si="108"/>
        <v>Unique</v>
      </c>
      <c r="S1191" t="str">
        <f t="shared" si="109"/>
        <v>Valid</v>
      </c>
      <c r="T1191" t="str">
        <f t="shared" si="110"/>
        <v>Valid</v>
      </c>
      <c r="U1191" t="str">
        <f t="shared" si="111"/>
        <v>Valid</v>
      </c>
      <c r="V1191" t="str">
        <f t="shared" si="112"/>
        <v>Valid</v>
      </c>
      <c r="W1191" t="str">
        <f t="shared" si="113"/>
        <v>Valid</v>
      </c>
    </row>
    <row r="1192" spans="1:23">
      <c r="A1192" t="s">
        <v>1223</v>
      </c>
      <c r="B1192" s="2">
        <v>45764</v>
      </c>
      <c r="C1192" t="s">
        <v>723</v>
      </c>
      <c r="D1192" t="s">
        <v>32</v>
      </c>
      <c r="E1192" t="s">
        <v>19</v>
      </c>
      <c r="F1192" t="s">
        <v>39</v>
      </c>
      <c r="G1192" t="s">
        <v>30</v>
      </c>
      <c r="H1192">
        <v>1</v>
      </c>
      <c r="I1192">
        <v>1</v>
      </c>
      <c r="J1192">
        <v>1</v>
      </c>
      <c r="K1192">
        <v>0</v>
      </c>
      <c r="L1192">
        <v>0</v>
      </c>
      <c r="M1192">
        <v>0</v>
      </c>
      <c r="N1192">
        <v>0</v>
      </c>
      <c r="P1192">
        <v>81.2</v>
      </c>
      <c r="R1192" t="str">
        <f t="shared" si="108"/>
        <v>Unique</v>
      </c>
      <c r="S1192" t="str">
        <f t="shared" si="109"/>
        <v>Valid</v>
      </c>
      <c r="T1192" t="str">
        <f t="shared" si="110"/>
        <v>Valid</v>
      </c>
      <c r="U1192" t="str">
        <f t="shared" si="111"/>
        <v>Valid</v>
      </c>
      <c r="V1192" t="str">
        <f t="shared" si="112"/>
        <v>Valid</v>
      </c>
      <c r="W1192" t="str">
        <f t="shared" si="113"/>
        <v>Valid</v>
      </c>
    </row>
    <row r="1193" spans="1:23">
      <c r="A1193" t="s">
        <v>1224</v>
      </c>
      <c r="B1193" s="2">
        <v>45777</v>
      </c>
      <c r="C1193" t="s">
        <v>723</v>
      </c>
      <c r="D1193" t="s">
        <v>32</v>
      </c>
      <c r="E1193" t="s">
        <v>24</v>
      </c>
      <c r="F1193" t="s">
        <v>25</v>
      </c>
      <c r="G1193" t="s">
        <v>21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P1193">
        <v>53.9</v>
      </c>
      <c r="R1193" t="str">
        <f t="shared" si="108"/>
        <v>Unique</v>
      </c>
      <c r="S1193" t="str">
        <f t="shared" si="109"/>
        <v>Valid</v>
      </c>
      <c r="T1193" t="str">
        <f t="shared" si="110"/>
        <v>Valid</v>
      </c>
      <c r="U1193" t="str">
        <f t="shared" si="111"/>
        <v>Valid</v>
      </c>
      <c r="V1193" t="str">
        <f t="shared" si="112"/>
        <v>Valid</v>
      </c>
      <c r="W1193" t="str">
        <f t="shared" si="113"/>
        <v>Valid</v>
      </c>
    </row>
    <row r="1194" spans="1:23">
      <c r="A1194" t="s">
        <v>1225</v>
      </c>
      <c r="B1194" s="2">
        <v>45686</v>
      </c>
      <c r="C1194" t="s">
        <v>723</v>
      </c>
      <c r="D1194" t="s">
        <v>23</v>
      </c>
      <c r="E1194" t="s">
        <v>24</v>
      </c>
      <c r="F1194" t="s">
        <v>41</v>
      </c>
      <c r="G1194" t="s">
        <v>30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P1194">
        <v>39.1</v>
      </c>
      <c r="R1194" t="str">
        <f t="shared" si="108"/>
        <v>Unique</v>
      </c>
      <c r="S1194" t="str">
        <f t="shared" si="109"/>
        <v>Valid</v>
      </c>
      <c r="T1194" t="str">
        <f t="shared" si="110"/>
        <v>Valid</v>
      </c>
      <c r="U1194" t="str">
        <f t="shared" si="111"/>
        <v>Valid</v>
      </c>
      <c r="V1194" t="str">
        <f t="shared" si="112"/>
        <v>Valid</v>
      </c>
      <c r="W1194" t="str">
        <f t="shared" si="113"/>
        <v>Valid</v>
      </c>
    </row>
    <row r="1195" spans="1:23">
      <c r="A1195" t="s">
        <v>1226</v>
      </c>
      <c r="B1195" s="2">
        <v>45668</v>
      </c>
      <c r="C1195" t="s">
        <v>723</v>
      </c>
      <c r="D1195" t="s">
        <v>18</v>
      </c>
      <c r="E1195" t="s">
        <v>24</v>
      </c>
      <c r="F1195" t="s">
        <v>41</v>
      </c>
      <c r="G1195" t="s">
        <v>21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P1195">
        <v>57.3</v>
      </c>
      <c r="R1195" t="str">
        <f t="shared" si="108"/>
        <v>Unique</v>
      </c>
      <c r="S1195" t="str">
        <f t="shared" si="109"/>
        <v>Valid</v>
      </c>
      <c r="T1195" t="str">
        <f t="shared" si="110"/>
        <v>Valid</v>
      </c>
      <c r="U1195" t="str">
        <f t="shared" si="111"/>
        <v>Valid</v>
      </c>
      <c r="V1195" t="str">
        <f t="shared" si="112"/>
        <v>Valid</v>
      </c>
      <c r="W1195" t="str">
        <f t="shared" si="113"/>
        <v>Valid</v>
      </c>
    </row>
    <row r="1196" spans="1:23">
      <c r="A1196" t="s">
        <v>1227</v>
      </c>
      <c r="B1196" s="2">
        <v>45755</v>
      </c>
      <c r="C1196" t="s">
        <v>723</v>
      </c>
      <c r="D1196" t="s">
        <v>28</v>
      </c>
      <c r="E1196" t="s">
        <v>19</v>
      </c>
      <c r="F1196" t="s">
        <v>29</v>
      </c>
      <c r="G1196" t="s">
        <v>30</v>
      </c>
      <c r="H1196">
        <v>1</v>
      </c>
      <c r="I1196">
        <v>0</v>
      </c>
      <c r="J1196">
        <v>0</v>
      </c>
      <c r="K1196">
        <v>0</v>
      </c>
      <c r="L1196">
        <v>0</v>
      </c>
      <c r="M1196">
        <v>1</v>
      </c>
      <c r="N1196">
        <v>0</v>
      </c>
      <c r="P1196">
        <v>65.900000000000006</v>
      </c>
      <c r="R1196" t="str">
        <f t="shared" si="108"/>
        <v>Unique</v>
      </c>
      <c r="S1196" t="str">
        <f t="shared" si="109"/>
        <v>Valid</v>
      </c>
      <c r="T1196" t="str">
        <f t="shared" si="110"/>
        <v>Valid</v>
      </c>
      <c r="U1196" t="str">
        <f t="shared" si="111"/>
        <v>Valid</v>
      </c>
      <c r="V1196" t="str">
        <f t="shared" si="112"/>
        <v>Valid</v>
      </c>
      <c r="W1196" t="str">
        <f t="shared" si="113"/>
        <v>Valid</v>
      </c>
    </row>
    <row r="1197" spans="1:23">
      <c r="A1197" t="s">
        <v>1228</v>
      </c>
      <c r="B1197" s="2">
        <v>45710</v>
      </c>
      <c r="C1197" t="s">
        <v>723</v>
      </c>
      <c r="D1197" t="s">
        <v>18</v>
      </c>
      <c r="E1197" t="s">
        <v>1451</v>
      </c>
      <c r="F1197" t="s">
        <v>41</v>
      </c>
      <c r="G1197" t="s">
        <v>26</v>
      </c>
      <c r="H1197">
        <v>1</v>
      </c>
      <c r="I1197">
        <v>0</v>
      </c>
      <c r="J1197">
        <v>0</v>
      </c>
      <c r="K1197">
        <v>0</v>
      </c>
      <c r="L1197">
        <v>0</v>
      </c>
      <c r="M1197">
        <v>1</v>
      </c>
      <c r="N1197">
        <v>0</v>
      </c>
      <c r="P1197">
        <v>34.200000000000003</v>
      </c>
      <c r="R1197" t="str">
        <f t="shared" si="108"/>
        <v>Unique</v>
      </c>
      <c r="S1197" t="str">
        <f t="shared" si="109"/>
        <v>Valid</v>
      </c>
      <c r="T1197" t="str">
        <f t="shared" si="110"/>
        <v>Valid</v>
      </c>
      <c r="U1197" t="str">
        <f t="shared" si="111"/>
        <v>Valid</v>
      </c>
      <c r="V1197" t="str">
        <f t="shared" si="112"/>
        <v>Valid</v>
      </c>
      <c r="W1197" t="str">
        <f t="shared" si="113"/>
        <v>Valid</v>
      </c>
    </row>
    <row r="1198" spans="1:23">
      <c r="A1198" t="s">
        <v>1229</v>
      </c>
      <c r="B1198" s="2">
        <v>45739</v>
      </c>
      <c r="C1198" t="s">
        <v>723</v>
      </c>
      <c r="D1198" t="s">
        <v>32</v>
      </c>
      <c r="E1198" t="s">
        <v>24</v>
      </c>
      <c r="F1198" t="s">
        <v>25</v>
      </c>
      <c r="G1198" t="s">
        <v>26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P1198">
        <v>47.2</v>
      </c>
      <c r="R1198" t="str">
        <f t="shared" si="108"/>
        <v>Unique</v>
      </c>
      <c r="S1198" t="str">
        <f t="shared" si="109"/>
        <v>Valid</v>
      </c>
      <c r="T1198" t="str">
        <f t="shared" si="110"/>
        <v>Valid</v>
      </c>
      <c r="U1198" t="str">
        <f t="shared" si="111"/>
        <v>Valid</v>
      </c>
      <c r="V1198" t="str">
        <f t="shared" si="112"/>
        <v>Valid</v>
      </c>
      <c r="W1198" t="str">
        <f t="shared" si="113"/>
        <v>Valid</v>
      </c>
    </row>
    <row r="1199" spans="1:23">
      <c r="A1199" t="s">
        <v>1230</v>
      </c>
      <c r="B1199" s="2">
        <v>45800</v>
      </c>
      <c r="C1199" t="s">
        <v>723</v>
      </c>
      <c r="D1199" t="s">
        <v>32</v>
      </c>
      <c r="E1199" t="s">
        <v>34</v>
      </c>
      <c r="F1199" t="s">
        <v>29</v>
      </c>
      <c r="G1199" t="s">
        <v>26</v>
      </c>
      <c r="H1199">
        <v>1</v>
      </c>
      <c r="I1199">
        <v>0</v>
      </c>
      <c r="J1199">
        <v>0</v>
      </c>
      <c r="K1199">
        <v>0</v>
      </c>
      <c r="L1199">
        <v>0</v>
      </c>
      <c r="M1199">
        <v>1</v>
      </c>
      <c r="N1199">
        <v>0</v>
      </c>
      <c r="P1199">
        <v>55</v>
      </c>
      <c r="R1199" t="str">
        <f t="shared" si="108"/>
        <v>Unique</v>
      </c>
      <c r="S1199" t="str">
        <f t="shared" si="109"/>
        <v>Valid</v>
      </c>
      <c r="T1199" t="str">
        <f t="shared" si="110"/>
        <v>Valid</v>
      </c>
      <c r="U1199" t="str">
        <f t="shared" si="111"/>
        <v>Valid</v>
      </c>
      <c r="V1199" t="str">
        <f t="shared" si="112"/>
        <v>Valid</v>
      </c>
      <c r="W1199" t="str">
        <f t="shared" si="113"/>
        <v>Valid</v>
      </c>
    </row>
    <row r="1200" spans="1:23">
      <c r="A1200" t="s">
        <v>1231</v>
      </c>
      <c r="B1200" s="2">
        <v>45774</v>
      </c>
      <c r="C1200" t="s">
        <v>723</v>
      </c>
      <c r="D1200" t="s">
        <v>23</v>
      </c>
      <c r="E1200" t="s">
        <v>24</v>
      </c>
      <c r="F1200" t="s">
        <v>39</v>
      </c>
      <c r="G1200" t="s">
        <v>21</v>
      </c>
      <c r="H1200">
        <v>1</v>
      </c>
      <c r="I1200">
        <v>1</v>
      </c>
      <c r="J1200">
        <v>1</v>
      </c>
      <c r="K1200">
        <v>0</v>
      </c>
      <c r="L1200">
        <v>0</v>
      </c>
      <c r="M1200">
        <v>0</v>
      </c>
      <c r="N1200">
        <v>0</v>
      </c>
      <c r="P1200">
        <v>76.400000000000006</v>
      </c>
      <c r="R1200" t="str">
        <f t="shared" si="108"/>
        <v>Unique</v>
      </c>
      <c r="S1200" t="str">
        <f t="shared" si="109"/>
        <v>Valid</v>
      </c>
      <c r="T1200" t="str">
        <f t="shared" si="110"/>
        <v>Valid</v>
      </c>
      <c r="U1200" t="str">
        <f t="shared" si="111"/>
        <v>Valid</v>
      </c>
      <c r="V1200" t="str">
        <f t="shared" si="112"/>
        <v>Valid</v>
      </c>
      <c r="W1200" t="str">
        <f t="shared" si="113"/>
        <v>Valid</v>
      </c>
    </row>
    <row r="1201" spans="1:23">
      <c r="A1201" t="s">
        <v>1232</v>
      </c>
      <c r="B1201" s="2">
        <v>45803</v>
      </c>
      <c r="C1201" t="s">
        <v>723</v>
      </c>
      <c r="D1201" t="s">
        <v>18</v>
      </c>
      <c r="E1201" t="s">
        <v>24</v>
      </c>
      <c r="F1201" t="s">
        <v>39</v>
      </c>
      <c r="G1201" t="s">
        <v>26</v>
      </c>
      <c r="H1201">
        <v>1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P1201">
        <v>70.8</v>
      </c>
      <c r="R1201" t="str">
        <f t="shared" si="108"/>
        <v>Unique</v>
      </c>
      <c r="S1201" t="str">
        <f t="shared" si="109"/>
        <v>Valid</v>
      </c>
      <c r="T1201" t="str">
        <f t="shared" si="110"/>
        <v>Valid</v>
      </c>
      <c r="U1201" t="str">
        <f t="shared" si="111"/>
        <v>Valid</v>
      </c>
      <c r="V1201" t="str">
        <f t="shared" si="112"/>
        <v>Valid</v>
      </c>
      <c r="W1201" t="str">
        <f t="shared" si="113"/>
        <v>Valid</v>
      </c>
    </row>
    <row r="1202" spans="1:23">
      <c r="A1202" t="s">
        <v>1233</v>
      </c>
      <c r="B1202" s="2">
        <v>45722</v>
      </c>
      <c r="C1202" t="s">
        <v>723</v>
      </c>
      <c r="D1202" t="s">
        <v>28</v>
      </c>
      <c r="E1202" t="s">
        <v>24</v>
      </c>
      <c r="F1202" t="s">
        <v>29</v>
      </c>
      <c r="G1202" t="s">
        <v>21</v>
      </c>
      <c r="H1202">
        <v>1</v>
      </c>
      <c r="I1202">
        <v>1</v>
      </c>
      <c r="J1202">
        <v>0</v>
      </c>
      <c r="K1202">
        <v>0</v>
      </c>
      <c r="L1202">
        <v>0</v>
      </c>
      <c r="M1202">
        <v>1</v>
      </c>
      <c r="N1202">
        <v>0</v>
      </c>
      <c r="P1202">
        <v>58</v>
      </c>
      <c r="R1202" t="str">
        <f t="shared" si="108"/>
        <v>Unique</v>
      </c>
      <c r="S1202" t="str">
        <f t="shared" si="109"/>
        <v>Valid</v>
      </c>
      <c r="T1202" t="str">
        <f t="shared" si="110"/>
        <v>Valid</v>
      </c>
      <c r="U1202" t="str">
        <f t="shared" si="111"/>
        <v>Valid</v>
      </c>
      <c r="V1202" t="str">
        <f t="shared" si="112"/>
        <v>Valid</v>
      </c>
      <c r="W1202" t="str">
        <f t="shared" si="113"/>
        <v>Valid</v>
      </c>
    </row>
    <row r="1203" spans="1:23">
      <c r="A1203" t="s">
        <v>1234</v>
      </c>
      <c r="B1203" s="2">
        <v>45750</v>
      </c>
      <c r="C1203" t="s">
        <v>723</v>
      </c>
      <c r="D1203" t="s">
        <v>23</v>
      </c>
      <c r="E1203" t="s">
        <v>24</v>
      </c>
      <c r="F1203" t="s">
        <v>25</v>
      </c>
      <c r="G1203" t="s">
        <v>21</v>
      </c>
      <c r="H1203">
        <v>1</v>
      </c>
      <c r="I1203">
        <v>1</v>
      </c>
      <c r="J1203">
        <v>1</v>
      </c>
      <c r="K1203">
        <v>0</v>
      </c>
      <c r="L1203">
        <v>0</v>
      </c>
      <c r="M1203">
        <v>1</v>
      </c>
      <c r="N1203">
        <v>0</v>
      </c>
      <c r="P1203">
        <v>70.8</v>
      </c>
      <c r="R1203" t="str">
        <f t="shared" si="108"/>
        <v>Unique</v>
      </c>
      <c r="S1203" t="str">
        <f t="shared" si="109"/>
        <v>Valid</v>
      </c>
      <c r="T1203" t="str">
        <f t="shared" si="110"/>
        <v>Valid</v>
      </c>
      <c r="U1203" t="str">
        <f t="shared" si="111"/>
        <v>Valid</v>
      </c>
      <c r="V1203" t="str">
        <f t="shared" si="112"/>
        <v>Valid</v>
      </c>
      <c r="W1203" t="str">
        <f t="shared" si="113"/>
        <v>Valid</v>
      </c>
    </row>
    <row r="1204" spans="1:23">
      <c r="A1204" t="s">
        <v>1235</v>
      </c>
      <c r="B1204" s="2">
        <v>45689</v>
      </c>
      <c r="C1204" t="s">
        <v>723</v>
      </c>
      <c r="D1204" t="s">
        <v>28</v>
      </c>
      <c r="E1204" t="s">
        <v>19</v>
      </c>
      <c r="F1204" t="s">
        <v>29</v>
      </c>
      <c r="G1204" t="s">
        <v>26</v>
      </c>
      <c r="H1204">
        <v>1</v>
      </c>
      <c r="I1204">
        <v>0</v>
      </c>
      <c r="J1204">
        <v>0</v>
      </c>
      <c r="K1204">
        <v>0</v>
      </c>
      <c r="L1204">
        <v>0</v>
      </c>
      <c r="M1204">
        <v>3</v>
      </c>
      <c r="N1204">
        <v>0</v>
      </c>
      <c r="P1204">
        <v>60</v>
      </c>
      <c r="R1204" t="str">
        <f t="shared" si="108"/>
        <v>Unique</v>
      </c>
      <c r="S1204" t="str">
        <f t="shared" si="109"/>
        <v>Valid</v>
      </c>
      <c r="T1204" t="str">
        <f t="shared" si="110"/>
        <v>Valid</v>
      </c>
      <c r="U1204" t="str">
        <f t="shared" si="111"/>
        <v>Valid</v>
      </c>
      <c r="V1204" t="str">
        <f t="shared" si="112"/>
        <v>Valid</v>
      </c>
      <c r="W1204" t="str">
        <f t="shared" si="113"/>
        <v>Valid</v>
      </c>
    </row>
    <row r="1205" spans="1:23">
      <c r="A1205" t="s">
        <v>1236</v>
      </c>
      <c r="B1205" s="2">
        <v>45778</v>
      </c>
      <c r="C1205" t="s">
        <v>723</v>
      </c>
      <c r="D1205" t="s">
        <v>23</v>
      </c>
      <c r="E1205" t="s">
        <v>24</v>
      </c>
      <c r="F1205" t="s">
        <v>39</v>
      </c>
      <c r="G1205" t="s">
        <v>30</v>
      </c>
      <c r="H1205">
        <v>1</v>
      </c>
      <c r="I1205">
        <v>1</v>
      </c>
      <c r="J1205">
        <v>1</v>
      </c>
      <c r="K1205">
        <v>0</v>
      </c>
      <c r="L1205">
        <v>0</v>
      </c>
      <c r="M1205">
        <v>3</v>
      </c>
      <c r="N1205">
        <v>0</v>
      </c>
      <c r="P1205">
        <v>58.1</v>
      </c>
      <c r="R1205" t="str">
        <f t="shared" si="108"/>
        <v>Unique</v>
      </c>
      <c r="S1205" t="str">
        <f t="shared" si="109"/>
        <v>Valid</v>
      </c>
      <c r="T1205" t="str">
        <f t="shared" si="110"/>
        <v>Valid</v>
      </c>
      <c r="U1205" t="str">
        <f t="shared" si="111"/>
        <v>Valid</v>
      </c>
      <c r="V1205" t="str">
        <f t="shared" si="112"/>
        <v>Valid</v>
      </c>
      <c r="W1205" t="str">
        <f t="shared" si="113"/>
        <v>Valid</v>
      </c>
    </row>
    <row r="1206" spans="1:23">
      <c r="A1206" t="s">
        <v>1237</v>
      </c>
      <c r="B1206" s="2">
        <v>45760</v>
      </c>
      <c r="C1206" t="s">
        <v>723</v>
      </c>
      <c r="D1206" t="s">
        <v>18</v>
      </c>
      <c r="E1206" t="s">
        <v>24</v>
      </c>
      <c r="F1206" t="s">
        <v>41</v>
      </c>
      <c r="G1206" t="s">
        <v>30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P1206">
        <v>59.7</v>
      </c>
      <c r="R1206" t="str">
        <f t="shared" si="108"/>
        <v>Unique</v>
      </c>
      <c r="S1206" t="str">
        <f t="shared" si="109"/>
        <v>Valid</v>
      </c>
      <c r="T1206" t="str">
        <f t="shared" si="110"/>
        <v>Valid</v>
      </c>
      <c r="U1206" t="str">
        <f t="shared" si="111"/>
        <v>Valid</v>
      </c>
      <c r="V1206" t="str">
        <f t="shared" si="112"/>
        <v>Valid</v>
      </c>
      <c r="W1206" t="str">
        <f t="shared" si="113"/>
        <v>Valid</v>
      </c>
    </row>
    <row r="1207" spans="1:23">
      <c r="A1207" t="s">
        <v>1238</v>
      </c>
      <c r="B1207" s="2">
        <v>45682</v>
      </c>
      <c r="C1207" t="s">
        <v>723</v>
      </c>
      <c r="D1207" t="s">
        <v>28</v>
      </c>
      <c r="E1207" t="s">
        <v>24</v>
      </c>
      <c r="F1207" t="s">
        <v>41</v>
      </c>
      <c r="G1207" t="s">
        <v>26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P1207">
        <v>47.7</v>
      </c>
      <c r="R1207" t="str">
        <f t="shared" si="108"/>
        <v>Unique</v>
      </c>
      <c r="S1207" t="str">
        <f t="shared" si="109"/>
        <v>Valid</v>
      </c>
      <c r="T1207" t="str">
        <f t="shared" si="110"/>
        <v>Valid</v>
      </c>
      <c r="U1207" t="str">
        <f t="shared" si="111"/>
        <v>Valid</v>
      </c>
      <c r="V1207" t="str">
        <f t="shared" si="112"/>
        <v>Valid</v>
      </c>
      <c r="W1207" t="str">
        <f t="shared" si="113"/>
        <v>Valid</v>
      </c>
    </row>
    <row r="1208" spans="1:23">
      <c r="A1208" t="s">
        <v>1239</v>
      </c>
      <c r="B1208" s="2">
        <v>45733</v>
      </c>
      <c r="C1208" t="s">
        <v>723</v>
      </c>
      <c r="D1208" t="s">
        <v>18</v>
      </c>
      <c r="E1208" t="s">
        <v>24</v>
      </c>
      <c r="F1208" t="s">
        <v>25</v>
      </c>
      <c r="G1208" t="s">
        <v>26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P1208">
        <v>59.1</v>
      </c>
      <c r="R1208" t="str">
        <f t="shared" si="108"/>
        <v>Unique</v>
      </c>
      <c r="S1208" t="str">
        <f t="shared" si="109"/>
        <v>Valid</v>
      </c>
      <c r="T1208" t="str">
        <f t="shared" si="110"/>
        <v>Valid</v>
      </c>
      <c r="U1208" t="str">
        <f t="shared" si="111"/>
        <v>Valid</v>
      </c>
      <c r="V1208" t="str">
        <f t="shared" si="112"/>
        <v>Valid</v>
      </c>
      <c r="W1208" t="str">
        <f t="shared" si="113"/>
        <v>Valid</v>
      </c>
    </row>
    <row r="1209" spans="1:23">
      <c r="A1209" t="s">
        <v>1240</v>
      </c>
      <c r="B1209" s="2">
        <v>45709</v>
      </c>
      <c r="C1209" t="s">
        <v>723</v>
      </c>
      <c r="D1209" t="s">
        <v>23</v>
      </c>
      <c r="E1209" t="s">
        <v>19</v>
      </c>
      <c r="F1209" t="s">
        <v>41</v>
      </c>
      <c r="G1209" t="s">
        <v>21</v>
      </c>
      <c r="H1209">
        <v>1</v>
      </c>
      <c r="I1209">
        <v>0</v>
      </c>
      <c r="J1209">
        <v>0</v>
      </c>
      <c r="K1209">
        <v>0</v>
      </c>
      <c r="L1209">
        <v>0</v>
      </c>
      <c r="M1209">
        <v>1</v>
      </c>
      <c r="N1209">
        <v>0</v>
      </c>
      <c r="P1209">
        <v>68.7</v>
      </c>
      <c r="R1209" t="str">
        <f t="shared" si="108"/>
        <v>Unique</v>
      </c>
      <c r="S1209" t="str">
        <f t="shared" si="109"/>
        <v>Valid</v>
      </c>
      <c r="T1209" t="str">
        <f t="shared" si="110"/>
        <v>Valid</v>
      </c>
      <c r="U1209" t="str">
        <f t="shared" si="111"/>
        <v>Valid</v>
      </c>
      <c r="V1209" t="str">
        <f t="shared" si="112"/>
        <v>Valid</v>
      </c>
      <c r="W1209" t="str">
        <f t="shared" si="113"/>
        <v>Valid</v>
      </c>
    </row>
    <row r="1210" spans="1:23">
      <c r="A1210" t="s">
        <v>1241</v>
      </c>
      <c r="B1210" s="2">
        <v>45755</v>
      </c>
      <c r="C1210" t="s">
        <v>723</v>
      </c>
      <c r="D1210" t="s">
        <v>28</v>
      </c>
      <c r="E1210" t="s">
        <v>34</v>
      </c>
      <c r="F1210" t="s">
        <v>25</v>
      </c>
      <c r="G1210" t="s">
        <v>21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P1210">
        <v>34.700000000000003</v>
      </c>
      <c r="R1210" t="str">
        <f t="shared" si="108"/>
        <v>Unique</v>
      </c>
      <c r="S1210" t="str">
        <f t="shared" si="109"/>
        <v>Valid</v>
      </c>
      <c r="T1210" t="str">
        <f t="shared" si="110"/>
        <v>Valid</v>
      </c>
      <c r="U1210" t="str">
        <f t="shared" si="111"/>
        <v>Valid</v>
      </c>
      <c r="V1210" t="str">
        <f t="shared" si="112"/>
        <v>Valid</v>
      </c>
      <c r="W1210" t="str">
        <f t="shared" si="113"/>
        <v>Valid</v>
      </c>
    </row>
    <row r="1211" spans="1:23">
      <c r="A1211" t="s">
        <v>1242</v>
      </c>
      <c r="B1211" s="2">
        <v>45712</v>
      </c>
      <c r="C1211" t="s">
        <v>723</v>
      </c>
      <c r="D1211" t="s">
        <v>23</v>
      </c>
      <c r="E1211" t="s">
        <v>24</v>
      </c>
      <c r="F1211" t="s">
        <v>25</v>
      </c>
      <c r="G1211" t="s">
        <v>21</v>
      </c>
      <c r="H1211">
        <v>1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P1211">
        <v>62</v>
      </c>
      <c r="R1211" t="str">
        <f t="shared" si="108"/>
        <v>Duplicate</v>
      </c>
      <c r="S1211" t="str">
        <f t="shared" si="109"/>
        <v>Valid</v>
      </c>
      <c r="T1211" t="str">
        <f t="shared" si="110"/>
        <v>Valid</v>
      </c>
      <c r="U1211" t="str">
        <f t="shared" si="111"/>
        <v>Valid</v>
      </c>
      <c r="V1211" t="str">
        <f t="shared" si="112"/>
        <v>Valid</v>
      </c>
      <c r="W1211" t="str">
        <f t="shared" si="113"/>
        <v>Valid</v>
      </c>
    </row>
    <row r="1212" spans="1:23">
      <c r="A1212" t="s">
        <v>1243</v>
      </c>
      <c r="B1212" s="2">
        <v>45806</v>
      </c>
      <c r="C1212" t="s">
        <v>723</v>
      </c>
      <c r="D1212" t="s">
        <v>32</v>
      </c>
      <c r="E1212" t="s">
        <v>24</v>
      </c>
      <c r="F1212" t="s">
        <v>25</v>
      </c>
      <c r="G1212" t="s">
        <v>26</v>
      </c>
      <c r="H1212">
        <v>1</v>
      </c>
      <c r="I1212">
        <v>1</v>
      </c>
      <c r="J1212">
        <v>0</v>
      </c>
      <c r="K1212">
        <v>0</v>
      </c>
      <c r="L1212">
        <v>0</v>
      </c>
      <c r="M1212">
        <v>0</v>
      </c>
      <c r="N1212">
        <v>0</v>
      </c>
      <c r="P1212">
        <v>56</v>
      </c>
      <c r="R1212" t="str">
        <f t="shared" si="108"/>
        <v>Unique</v>
      </c>
      <c r="S1212" t="str">
        <f t="shared" si="109"/>
        <v>Valid</v>
      </c>
      <c r="T1212" t="str">
        <f t="shared" si="110"/>
        <v>Valid</v>
      </c>
      <c r="U1212" t="str">
        <f t="shared" si="111"/>
        <v>Valid</v>
      </c>
      <c r="V1212" t="str">
        <f t="shared" si="112"/>
        <v>Valid</v>
      </c>
      <c r="W1212" t="str">
        <f t="shared" si="113"/>
        <v>Valid</v>
      </c>
    </row>
    <row r="1213" spans="1:23">
      <c r="A1213" t="s">
        <v>1244</v>
      </c>
      <c r="B1213" s="2">
        <v>45807</v>
      </c>
      <c r="C1213" t="s">
        <v>723</v>
      </c>
      <c r="D1213" t="s">
        <v>18</v>
      </c>
      <c r="E1213" t="s">
        <v>24</v>
      </c>
      <c r="F1213" t="s">
        <v>20</v>
      </c>
      <c r="G1213" t="s">
        <v>21</v>
      </c>
      <c r="H1213">
        <v>1</v>
      </c>
      <c r="I1213">
        <v>0</v>
      </c>
      <c r="J1213">
        <v>0</v>
      </c>
      <c r="K1213">
        <v>0</v>
      </c>
      <c r="L1213">
        <v>0</v>
      </c>
      <c r="M1213">
        <v>1</v>
      </c>
      <c r="N1213">
        <v>0</v>
      </c>
      <c r="P1213">
        <v>65.8</v>
      </c>
      <c r="R1213" t="str">
        <f t="shared" si="108"/>
        <v>Unique</v>
      </c>
      <c r="S1213" t="str">
        <f t="shared" si="109"/>
        <v>Valid</v>
      </c>
      <c r="T1213" t="str">
        <f t="shared" si="110"/>
        <v>Valid</v>
      </c>
      <c r="U1213" t="str">
        <f t="shared" si="111"/>
        <v>Valid</v>
      </c>
      <c r="V1213" t="str">
        <f t="shared" si="112"/>
        <v>Valid</v>
      </c>
      <c r="W1213" t="str">
        <f t="shared" si="113"/>
        <v>Valid</v>
      </c>
    </row>
    <row r="1214" spans="1:23">
      <c r="A1214" t="s">
        <v>1245</v>
      </c>
      <c r="B1214" s="2">
        <v>45681</v>
      </c>
      <c r="C1214" t="s">
        <v>723</v>
      </c>
      <c r="D1214" t="s">
        <v>18</v>
      </c>
      <c r="E1214" t="s">
        <v>19</v>
      </c>
      <c r="F1214" t="s">
        <v>25</v>
      </c>
      <c r="G1214" t="s">
        <v>30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P1214">
        <v>54.7</v>
      </c>
      <c r="R1214" t="str">
        <f t="shared" si="108"/>
        <v>Unique</v>
      </c>
      <c r="S1214" t="str">
        <f t="shared" si="109"/>
        <v>Valid</v>
      </c>
      <c r="T1214" t="str">
        <f t="shared" si="110"/>
        <v>Valid</v>
      </c>
      <c r="U1214" t="str">
        <f t="shared" si="111"/>
        <v>Valid</v>
      </c>
      <c r="V1214" t="str">
        <f t="shared" si="112"/>
        <v>Valid</v>
      </c>
      <c r="W1214" t="str">
        <f t="shared" si="113"/>
        <v>Valid</v>
      </c>
    </row>
    <row r="1215" spans="1:23">
      <c r="A1215" t="s">
        <v>1246</v>
      </c>
      <c r="B1215" s="2">
        <v>45789</v>
      </c>
      <c r="C1215" t="s">
        <v>723</v>
      </c>
      <c r="D1215" t="s">
        <v>32</v>
      </c>
      <c r="E1215" t="s">
        <v>24</v>
      </c>
      <c r="F1215" t="s">
        <v>25</v>
      </c>
      <c r="G1215" t="s">
        <v>21</v>
      </c>
      <c r="H1215">
        <v>1</v>
      </c>
      <c r="I1215">
        <v>1</v>
      </c>
      <c r="J1215">
        <v>0</v>
      </c>
      <c r="K1215">
        <v>0</v>
      </c>
      <c r="L1215">
        <v>0</v>
      </c>
      <c r="M1215">
        <v>0</v>
      </c>
      <c r="N1215">
        <v>0</v>
      </c>
      <c r="P1215">
        <v>64.099999999999994</v>
      </c>
      <c r="R1215" t="str">
        <f t="shared" si="108"/>
        <v>Unique</v>
      </c>
      <c r="S1215" t="str">
        <f t="shared" si="109"/>
        <v>Valid</v>
      </c>
      <c r="T1215" t="str">
        <f t="shared" si="110"/>
        <v>Valid</v>
      </c>
      <c r="U1215" t="str">
        <f t="shared" si="111"/>
        <v>Valid</v>
      </c>
      <c r="V1215" t="str">
        <f t="shared" si="112"/>
        <v>Valid</v>
      </c>
      <c r="W1215" t="str">
        <f t="shared" si="113"/>
        <v>Valid</v>
      </c>
    </row>
    <row r="1216" spans="1:23">
      <c r="A1216" t="s">
        <v>1247</v>
      </c>
      <c r="B1216" s="2">
        <v>45744</v>
      </c>
      <c r="C1216" t="s">
        <v>723</v>
      </c>
      <c r="D1216" t="s">
        <v>32</v>
      </c>
      <c r="E1216" t="s">
        <v>24</v>
      </c>
      <c r="F1216" t="s">
        <v>25</v>
      </c>
      <c r="G1216" t="s">
        <v>21</v>
      </c>
      <c r="H1216">
        <v>1</v>
      </c>
      <c r="I1216">
        <v>1</v>
      </c>
      <c r="J1216">
        <v>1</v>
      </c>
      <c r="K1216">
        <v>0</v>
      </c>
      <c r="L1216">
        <v>0</v>
      </c>
      <c r="M1216">
        <v>0</v>
      </c>
      <c r="N1216">
        <v>0</v>
      </c>
      <c r="P1216">
        <v>71.599999999999994</v>
      </c>
      <c r="R1216" t="str">
        <f t="shared" si="108"/>
        <v>Unique</v>
      </c>
      <c r="S1216" t="str">
        <f t="shared" si="109"/>
        <v>Valid</v>
      </c>
      <c r="T1216" t="str">
        <f t="shared" si="110"/>
        <v>Valid</v>
      </c>
      <c r="U1216" t="str">
        <f t="shared" si="111"/>
        <v>Valid</v>
      </c>
      <c r="V1216" t="str">
        <f t="shared" si="112"/>
        <v>Valid</v>
      </c>
      <c r="W1216" t="str">
        <f t="shared" si="113"/>
        <v>Valid</v>
      </c>
    </row>
    <row r="1217" spans="1:23">
      <c r="A1217" t="s">
        <v>1248</v>
      </c>
      <c r="B1217" s="2">
        <v>45761</v>
      </c>
      <c r="C1217" t="s">
        <v>723</v>
      </c>
      <c r="D1217" t="s">
        <v>18</v>
      </c>
      <c r="E1217" t="s">
        <v>24</v>
      </c>
      <c r="F1217" t="s">
        <v>39</v>
      </c>
      <c r="G1217" t="s">
        <v>21</v>
      </c>
      <c r="H1217">
        <v>1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P1217">
        <v>78.400000000000006</v>
      </c>
      <c r="R1217" t="str">
        <f t="shared" si="108"/>
        <v>Unique</v>
      </c>
      <c r="S1217" t="str">
        <f t="shared" si="109"/>
        <v>Valid</v>
      </c>
      <c r="T1217" t="str">
        <f t="shared" si="110"/>
        <v>Valid</v>
      </c>
      <c r="U1217" t="str">
        <f t="shared" si="111"/>
        <v>Valid</v>
      </c>
      <c r="V1217" t="str">
        <f t="shared" si="112"/>
        <v>Valid</v>
      </c>
      <c r="W1217" t="str">
        <f t="shared" si="113"/>
        <v>Valid</v>
      </c>
    </row>
    <row r="1218" spans="1:23">
      <c r="A1218" t="s">
        <v>1249</v>
      </c>
      <c r="B1218" s="2">
        <v>45685</v>
      </c>
      <c r="C1218" t="s">
        <v>723</v>
      </c>
      <c r="D1218" t="s">
        <v>28</v>
      </c>
      <c r="E1218" t="s">
        <v>34</v>
      </c>
      <c r="F1218" t="s">
        <v>39</v>
      </c>
      <c r="G1218" t="s">
        <v>21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P1218">
        <v>49.3</v>
      </c>
      <c r="R1218" t="str">
        <f t="shared" si="108"/>
        <v>Unique</v>
      </c>
      <c r="S1218" t="str">
        <f t="shared" si="109"/>
        <v>Valid</v>
      </c>
      <c r="T1218" t="str">
        <f t="shared" si="110"/>
        <v>Valid</v>
      </c>
      <c r="U1218" t="str">
        <f t="shared" si="111"/>
        <v>Valid</v>
      </c>
      <c r="V1218" t="str">
        <f t="shared" si="112"/>
        <v>Valid</v>
      </c>
      <c r="W1218" t="str">
        <f t="shared" si="113"/>
        <v>Valid</v>
      </c>
    </row>
    <row r="1219" spans="1:23">
      <c r="A1219" t="s">
        <v>1250</v>
      </c>
      <c r="B1219" s="2">
        <v>45798</v>
      </c>
      <c r="C1219" t="s">
        <v>723</v>
      </c>
      <c r="D1219" t="s">
        <v>18</v>
      </c>
      <c r="E1219" t="s">
        <v>24</v>
      </c>
      <c r="F1219" t="s">
        <v>25</v>
      </c>
      <c r="G1219" t="s">
        <v>21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P1219">
        <v>52.8</v>
      </c>
      <c r="R1219" t="str">
        <f t="shared" ref="R1219:R1282" si="114">IF(COUNTIF($A:$A,A1219)&gt;1,"Duplicate","Unique")</f>
        <v>Unique</v>
      </c>
      <c r="S1219" t="str">
        <f t="shared" ref="S1219:S1282" si="115">IF(OR(H1219=0,H1219=1),"Valid","Invalid")</f>
        <v>Valid</v>
      </c>
      <c r="T1219" t="str">
        <f t="shared" ref="T1219:T1282" si="116">IF(OR(I1219=0,I1219=1),"Valid","Invalid")</f>
        <v>Valid</v>
      </c>
      <c r="U1219" t="str">
        <f t="shared" ref="U1219:U1282" si="117">IF(OR(J1219=0,J1219=1),"Valid","Invalid")</f>
        <v>Valid</v>
      </c>
      <c r="V1219" t="str">
        <f t="shared" ref="V1219:V1282" si="118">IF(OR(K1219=0,K1219=1),"Valid","Invalid")</f>
        <v>Valid</v>
      </c>
      <c r="W1219" t="str">
        <f t="shared" ref="W1219:W1282" si="119">IF(OR(N1219=0,N1219=1),"Valid","Invalid")</f>
        <v>Valid</v>
      </c>
    </row>
    <row r="1220" spans="1:23">
      <c r="A1220" t="s">
        <v>1251</v>
      </c>
      <c r="B1220" s="2">
        <v>45788</v>
      </c>
      <c r="C1220" t="s">
        <v>723</v>
      </c>
      <c r="D1220" t="s">
        <v>23</v>
      </c>
      <c r="E1220" t="s">
        <v>19</v>
      </c>
      <c r="F1220" t="s">
        <v>25</v>
      </c>
      <c r="G1220" t="s">
        <v>26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P1220">
        <v>58.5</v>
      </c>
      <c r="R1220" t="str">
        <f t="shared" si="114"/>
        <v>Unique</v>
      </c>
      <c r="S1220" t="str">
        <f t="shared" si="115"/>
        <v>Valid</v>
      </c>
      <c r="T1220" t="str">
        <f t="shared" si="116"/>
        <v>Valid</v>
      </c>
      <c r="U1220" t="str">
        <f t="shared" si="117"/>
        <v>Valid</v>
      </c>
      <c r="V1220" t="str">
        <f t="shared" si="118"/>
        <v>Valid</v>
      </c>
      <c r="W1220" t="str">
        <f t="shared" si="119"/>
        <v>Valid</v>
      </c>
    </row>
    <row r="1221" spans="1:23">
      <c r="A1221" t="s">
        <v>1252</v>
      </c>
      <c r="B1221" s="2">
        <v>45690</v>
      </c>
      <c r="C1221" t="s">
        <v>723</v>
      </c>
      <c r="D1221" t="s">
        <v>32</v>
      </c>
      <c r="E1221" t="s">
        <v>24</v>
      </c>
      <c r="F1221" t="s">
        <v>29</v>
      </c>
      <c r="G1221" t="s">
        <v>26</v>
      </c>
      <c r="H1221">
        <v>1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P1221">
        <v>55.9</v>
      </c>
      <c r="R1221" t="str">
        <f t="shared" si="114"/>
        <v>Unique</v>
      </c>
      <c r="S1221" t="str">
        <f t="shared" si="115"/>
        <v>Valid</v>
      </c>
      <c r="T1221" t="str">
        <f t="shared" si="116"/>
        <v>Valid</v>
      </c>
      <c r="U1221" t="str">
        <f t="shared" si="117"/>
        <v>Valid</v>
      </c>
      <c r="V1221" t="str">
        <f t="shared" si="118"/>
        <v>Valid</v>
      </c>
      <c r="W1221" t="str">
        <f t="shared" si="119"/>
        <v>Valid</v>
      </c>
    </row>
    <row r="1222" spans="1:23">
      <c r="A1222" t="s">
        <v>1253</v>
      </c>
      <c r="B1222" s="2">
        <v>45714</v>
      </c>
      <c r="C1222" t="s">
        <v>723</v>
      </c>
      <c r="D1222" t="s">
        <v>18</v>
      </c>
      <c r="E1222" t="s">
        <v>24</v>
      </c>
      <c r="F1222" t="s">
        <v>41</v>
      </c>
      <c r="G1222" t="s">
        <v>26</v>
      </c>
      <c r="H1222">
        <v>1</v>
      </c>
      <c r="I1222">
        <v>1</v>
      </c>
      <c r="J1222">
        <v>1</v>
      </c>
      <c r="K1222">
        <v>1</v>
      </c>
      <c r="L1222">
        <v>351.43</v>
      </c>
      <c r="M1222">
        <v>1</v>
      </c>
      <c r="N1222">
        <v>0</v>
      </c>
      <c r="O1222">
        <v>6</v>
      </c>
      <c r="P1222">
        <v>74.900000000000006</v>
      </c>
      <c r="R1222" t="str">
        <f t="shared" si="114"/>
        <v>Unique</v>
      </c>
      <c r="S1222" t="str">
        <f t="shared" si="115"/>
        <v>Valid</v>
      </c>
      <c r="T1222" t="str">
        <f t="shared" si="116"/>
        <v>Valid</v>
      </c>
      <c r="U1222" t="str">
        <f t="shared" si="117"/>
        <v>Valid</v>
      </c>
      <c r="V1222" t="str">
        <f t="shared" si="118"/>
        <v>Valid</v>
      </c>
      <c r="W1222" t="str">
        <f t="shared" si="119"/>
        <v>Valid</v>
      </c>
    </row>
    <row r="1223" spans="1:23">
      <c r="A1223" t="s">
        <v>1254</v>
      </c>
      <c r="B1223" s="2">
        <v>45715</v>
      </c>
      <c r="C1223" t="s">
        <v>723</v>
      </c>
      <c r="D1223" t="s">
        <v>32</v>
      </c>
      <c r="E1223" t="s">
        <v>19</v>
      </c>
      <c r="F1223" t="s">
        <v>39</v>
      </c>
      <c r="G1223" t="s">
        <v>26</v>
      </c>
      <c r="H1223">
        <v>1</v>
      </c>
      <c r="I1223">
        <v>1</v>
      </c>
      <c r="J1223">
        <v>1</v>
      </c>
      <c r="K1223">
        <v>1</v>
      </c>
      <c r="L1223">
        <v>352.42</v>
      </c>
      <c r="M1223">
        <v>0</v>
      </c>
      <c r="N1223">
        <v>0</v>
      </c>
      <c r="O1223">
        <v>4</v>
      </c>
      <c r="P1223">
        <v>58.5</v>
      </c>
      <c r="R1223" t="str">
        <f t="shared" si="114"/>
        <v>Unique</v>
      </c>
      <c r="S1223" t="str">
        <f t="shared" si="115"/>
        <v>Valid</v>
      </c>
      <c r="T1223" t="str">
        <f t="shared" si="116"/>
        <v>Valid</v>
      </c>
      <c r="U1223" t="str">
        <f t="shared" si="117"/>
        <v>Valid</v>
      </c>
      <c r="V1223" t="str">
        <f t="shared" si="118"/>
        <v>Valid</v>
      </c>
      <c r="W1223" t="str">
        <f t="shared" si="119"/>
        <v>Valid</v>
      </c>
    </row>
    <row r="1224" spans="1:23">
      <c r="A1224" t="s">
        <v>1255</v>
      </c>
      <c r="B1224" s="2">
        <v>45725</v>
      </c>
      <c r="C1224" t="s">
        <v>723</v>
      </c>
      <c r="D1224" t="s">
        <v>23</v>
      </c>
      <c r="E1224" t="s">
        <v>24</v>
      </c>
      <c r="F1224" t="s">
        <v>25</v>
      </c>
      <c r="G1224" t="s">
        <v>26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P1224">
        <v>63.5</v>
      </c>
      <c r="R1224" t="str">
        <f t="shared" si="114"/>
        <v>Unique</v>
      </c>
      <c r="S1224" t="str">
        <f t="shared" si="115"/>
        <v>Valid</v>
      </c>
      <c r="T1224" t="str">
        <f t="shared" si="116"/>
        <v>Valid</v>
      </c>
      <c r="U1224" t="str">
        <f t="shared" si="117"/>
        <v>Valid</v>
      </c>
      <c r="V1224" t="str">
        <f t="shared" si="118"/>
        <v>Valid</v>
      </c>
      <c r="W1224" t="str">
        <f t="shared" si="119"/>
        <v>Valid</v>
      </c>
    </row>
    <row r="1225" spans="1:23">
      <c r="A1225" t="s">
        <v>1256</v>
      </c>
      <c r="B1225" s="2">
        <v>45695</v>
      </c>
      <c r="C1225" t="s">
        <v>723</v>
      </c>
      <c r="D1225" t="s">
        <v>18</v>
      </c>
      <c r="E1225" t="s">
        <v>24</v>
      </c>
      <c r="F1225" t="s">
        <v>29</v>
      </c>
      <c r="G1225" t="s">
        <v>21</v>
      </c>
      <c r="H1225">
        <v>1</v>
      </c>
      <c r="I1225">
        <v>0</v>
      </c>
      <c r="J1225">
        <v>0</v>
      </c>
      <c r="K1225">
        <v>0</v>
      </c>
      <c r="L1225">
        <v>0</v>
      </c>
      <c r="M1225">
        <v>1</v>
      </c>
      <c r="N1225">
        <v>0</v>
      </c>
      <c r="P1225">
        <v>64.8</v>
      </c>
      <c r="R1225" t="str">
        <f t="shared" si="114"/>
        <v>Unique</v>
      </c>
      <c r="S1225" t="str">
        <f t="shared" si="115"/>
        <v>Valid</v>
      </c>
      <c r="T1225" t="str">
        <f t="shared" si="116"/>
        <v>Valid</v>
      </c>
      <c r="U1225" t="str">
        <f t="shared" si="117"/>
        <v>Valid</v>
      </c>
      <c r="V1225" t="str">
        <f t="shared" si="118"/>
        <v>Valid</v>
      </c>
      <c r="W1225" t="str">
        <f t="shared" si="119"/>
        <v>Valid</v>
      </c>
    </row>
    <row r="1226" spans="1:23">
      <c r="A1226" t="s">
        <v>1257</v>
      </c>
      <c r="B1226" s="2">
        <v>45688</v>
      </c>
      <c r="C1226" t="s">
        <v>723</v>
      </c>
      <c r="D1226" t="s">
        <v>23</v>
      </c>
      <c r="E1226" t="s">
        <v>24</v>
      </c>
      <c r="F1226" t="s">
        <v>41</v>
      </c>
      <c r="G1226" t="s">
        <v>26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P1226">
        <v>63.3</v>
      </c>
      <c r="R1226" t="str">
        <f t="shared" si="114"/>
        <v>Unique</v>
      </c>
      <c r="S1226" t="str">
        <f t="shared" si="115"/>
        <v>Valid</v>
      </c>
      <c r="T1226" t="str">
        <f t="shared" si="116"/>
        <v>Valid</v>
      </c>
      <c r="U1226" t="str">
        <f t="shared" si="117"/>
        <v>Valid</v>
      </c>
      <c r="V1226" t="str">
        <f t="shared" si="118"/>
        <v>Valid</v>
      </c>
      <c r="W1226" t="str">
        <f t="shared" si="119"/>
        <v>Valid</v>
      </c>
    </row>
    <row r="1227" spans="1:23">
      <c r="A1227" t="s">
        <v>1258</v>
      </c>
      <c r="B1227" s="2">
        <v>45702</v>
      </c>
      <c r="C1227" t="s">
        <v>723</v>
      </c>
      <c r="D1227" t="s">
        <v>18</v>
      </c>
      <c r="E1227" t="s">
        <v>34</v>
      </c>
      <c r="F1227" t="s">
        <v>29</v>
      </c>
      <c r="G1227" t="s">
        <v>21</v>
      </c>
      <c r="H1227">
        <v>1</v>
      </c>
      <c r="I1227">
        <v>1</v>
      </c>
      <c r="J1227">
        <v>1</v>
      </c>
      <c r="K1227">
        <v>1</v>
      </c>
      <c r="L1227">
        <v>1074.1600000000001</v>
      </c>
      <c r="M1227">
        <v>0</v>
      </c>
      <c r="N1227">
        <v>0</v>
      </c>
      <c r="O1227">
        <v>8</v>
      </c>
      <c r="P1227">
        <v>83.7</v>
      </c>
      <c r="R1227" t="str">
        <f t="shared" si="114"/>
        <v>Unique</v>
      </c>
      <c r="S1227" t="str">
        <f t="shared" si="115"/>
        <v>Valid</v>
      </c>
      <c r="T1227" t="str">
        <f t="shared" si="116"/>
        <v>Valid</v>
      </c>
      <c r="U1227" t="str">
        <f t="shared" si="117"/>
        <v>Valid</v>
      </c>
      <c r="V1227" t="str">
        <f t="shared" si="118"/>
        <v>Valid</v>
      </c>
      <c r="W1227" t="str">
        <f t="shared" si="119"/>
        <v>Valid</v>
      </c>
    </row>
    <row r="1228" spans="1:23">
      <c r="A1228" t="s">
        <v>1259</v>
      </c>
      <c r="B1228" s="2">
        <v>45700</v>
      </c>
      <c r="C1228" t="s">
        <v>723</v>
      </c>
      <c r="D1228" t="s">
        <v>32</v>
      </c>
      <c r="E1228" t="s">
        <v>19</v>
      </c>
      <c r="F1228" t="s">
        <v>41</v>
      </c>
      <c r="G1228" t="s">
        <v>21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P1228">
        <v>88.7</v>
      </c>
      <c r="R1228" t="str">
        <f t="shared" si="114"/>
        <v>Unique</v>
      </c>
      <c r="S1228" t="str">
        <f t="shared" si="115"/>
        <v>Valid</v>
      </c>
      <c r="T1228" t="str">
        <f t="shared" si="116"/>
        <v>Valid</v>
      </c>
      <c r="U1228" t="str">
        <f t="shared" si="117"/>
        <v>Valid</v>
      </c>
      <c r="V1228" t="str">
        <f t="shared" si="118"/>
        <v>Valid</v>
      </c>
      <c r="W1228" t="str">
        <f t="shared" si="119"/>
        <v>Valid</v>
      </c>
    </row>
    <row r="1229" spans="1:23">
      <c r="A1229" t="s">
        <v>1260</v>
      </c>
      <c r="B1229" s="2">
        <v>45739</v>
      </c>
      <c r="C1229" t="s">
        <v>723</v>
      </c>
      <c r="D1229" t="s">
        <v>28</v>
      </c>
      <c r="E1229" t="s">
        <v>1451</v>
      </c>
      <c r="F1229" t="s">
        <v>29</v>
      </c>
      <c r="G1229" t="s">
        <v>26</v>
      </c>
      <c r="H1229">
        <v>1</v>
      </c>
      <c r="I1229">
        <v>0</v>
      </c>
      <c r="J1229">
        <v>0</v>
      </c>
      <c r="K1229">
        <v>0</v>
      </c>
      <c r="L1229">
        <v>0</v>
      </c>
      <c r="M1229">
        <v>1</v>
      </c>
      <c r="N1229">
        <v>0</v>
      </c>
      <c r="P1229">
        <v>61.5</v>
      </c>
      <c r="R1229" t="str">
        <f t="shared" si="114"/>
        <v>Unique</v>
      </c>
      <c r="S1229" t="str">
        <f t="shared" si="115"/>
        <v>Valid</v>
      </c>
      <c r="T1229" t="str">
        <f t="shared" si="116"/>
        <v>Valid</v>
      </c>
      <c r="U1229" t="str">
        <f t="shared" si="117"/>
        <v>Valid</v>
      </c>
      <c r="V1229" t="str">
        <f t="shared" si="118"/>
        <v>Valid</v>
      </c>
      <c r="W1229" t="str">
        <f t="shared" si="119"/>
        <v>Valid</v>
      </c>
    </row>
    <row r="1230" spans="1:23">
      <c r="A1230" t="s">
        <v>1261</v>
      </c>
      <c r="B1230" s="2">
        <v>45734</v>
      </c>
      <c r="C1230" t="s">
        <v>723</v>
      </c>
      <c r="D1230" t="s">
        <v>23</v>
      </c>
      <c r="E1230" t="s">
        <v>24</v>
      </c>
      <c r="F1230" t="s">
        <v>29</v>
      </c>
      <c r="G1230" t="s">
        <v>26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P1230">
        <v>45.3</v>
      </c>
      <c r="R1230" t="str">
        <f t="shared" si="114"/>
        <v>Unique</v>
      </c>
      <c r="S1230" t="str">
        <f t="shared" si="115"/>
        <v>Valid</v>
      </c>
      <c r="T1230" t="str">
        <f t="shared" si="116"/>
        <v>Valid</v>
      </c>
      <c r="U1230" t="str">
        <f t="shared" si="117"/>
        <v>Valid</v>
      </c>
      <c r="V1230" t="str">
        <f t="shared" si="118"/>
        <v>Valid</v>
      </c>
      <c r="W1230" t="str">
        <f t="shared" si="119"/>
        <v>Valid</v>
      </c>
    </row>
    <row r="1231" spans="1:23">
      <c r="A1231" t="s">
        <v>1262</v>
      </c>
      <c r="B1231" s="2">
        <v>45794</v>
      </c>
      <c r="C1231" t="s">
        <v>723</v>
      </c>
      <c r="D1231" t="s">
        <v>18</v>
      </c>
      <c r="E1231" t="s">
        <v>24</v>
      </c>
      <c r="F1231" t="s">
        <v>41</v>
      </c>
      <c r="G1231" t="s">
        <v>26</v>
      </c>
      <c r="H1231">
        <v>1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P1231">
        <v>37.299999999999997</v>
      </c>
      <c r="R1231" t="str">
        <f t="shared" si="114"/>
        <v>Unique</v>
      </c>
      <c r="S1231" t="str">
        <f t="shared" si="115"/>
        <v>Valid</v>
      </c>
      <c r="T1231" t="str">
        <f t="shared" si="116"/>
        <v>Valid</v>
      </c>
      <c r="U1231" t="str">
        <f t="shared" si="117"/>
        <v>Valid</v>
      </c>
      <c r="V1231" t="str">
        <f t="shared" si="118"/>
        <v>Valid</v>
      </c>
      <c r="W1231" t="str">
        <f t="shared" si="119"/>
        <v>Valid</v>
      </c>
    </row>
    <row r="1232" spans="1:23">
      <c r="A1232" t="s">
        <v>1263</v>
      </c>
      <c r="B1232" s="2">
        <v>45742</v>
      </c>
      <c r="C1232" t="s">
        <v>723</v>
      </c>
      <c r="D1232" t="s">
        <v>23</v>
      </c>
      <c r="E1232" t="s">
        <v>19</v>
      </c>
      <c r="F1232" t="s">
        <v>41</v>
      </c>
      <c r="G1232" t="s">
        <v>30</v>
      </c>
      <c r="H1232">
        <v>1</v>
      </c>
      <c r="I1232">
        <v>0</v>
      </c>
      <c r="J1232">
        <v>0</v>
      </c>
      <c r="K1232">
        <v>0</v>
      </c>
      <c r="L1232">
        <v>0</v>
      </c>
      <c r="M1232">
        <v>1</v>
      </c>
      <c r="N1232">
        <v>0</v>
      </c>
      <c r="P1232">
        <v>76.099999999999994</v>
      </c>
      <c r="R1232" t="str">
        <f t="shared" si="114"/>
        <v>Unique</v>
      </c>
      <c r="S1232" t="str">
        <f t="shared" si="115"/>
        <v>Valid</v>
      </c>
      <c r="T1232" t="str">
        <f t="shared" si="116"/>
        <v>Valid</v>
      </c>
      <c r="U1232" t="str">
        <f t="shared" si="117"/>
        <v>Valid</v>
      </c>
      <c r="V1232" t="str">
        <f t="shared" si="118"/>
        <v>Valid</v>
      </c>
      <c r="W1232" t="str">
        <f t="shared" si="119"/>
        <v>Valid</v>
      </c>
    </row>
    <row r="1233" spans="1:23">
      <c r="A1233" t="s">
        <v>1264</v>
      </c>
      <c r="B1233" s="2">
        <v>45746</v>
      </c>
      <c r="C1233" t="s">
        <v>723</v>
      </c>
      <c r="D1233" t="s">
        <v>28</v>
      </c>
      <c r="E1233" t="s">
        <v>24</v>
      </c>
      <c r="F1233" t="s">
        <v>25</v>
      </c>
      <c r="G1233" t="s">
        <v>26</v>
      </c>
      <c r="H1233">
        <v>1</v>
      </c>
      <c r="I1233">
        <v>1</v>
      </c>
      <c r="J1233">
        <v>1</v>
      </c>
      <c r="K1233">
        <v>0</v>
      </c>
      <c r="L1233">
        <v>0</v>
      </c>
      <c r="M1233">
        <v>1</v>
      </c>
      <c r="N1233">
        <v>0</v>
      </c>
      <c r="P1233">
        <v>72.5</v>
      </c>
      <c r="R1233" t="str">
        <f t="shared" si="114"/>
        <v>Duplicate</v>
      </c>
      <c r="S1233" t="str">
        <f t="shared" si="115"/>
        <v>Valid</v>
      </c>
      <c r="T1233" t="str">
        <f t="shared" si="116"/>
        <v>Valid</v>
      </c>
      <c r="U1233" t="str">
        <f t="shared" si="117"/>
        <v>Valid</v>
      </c>
      <c r="V1233" t="str">
        <f t="shared" si="118"/>
        <v>Valid</v>
      </c>
      <c r="W1233" t="str">
        <f t="shared" si="119"/>
        <v>Valid</v>
      </c>
    </row>
    <row r="1234" spans="1:23">
      <c r="A1234" t="s">
        <v>1265</v>
      </c>
      <c r="B1234" s="2">
        <v>45713</v>
      </c>
      <c r="C1234" t="s">
        <v>723</v>
      </c>
      <c r="D1234" t="s">
        <v>28</v>
      </c>
      <c r="E1234" t="s">
        <v>19</v>
      </c>
      <c r="F1234" t="s">
        <v>25</v>
      </c>
      <c r="G1234" t="s">
        <v>26</v>
      </c>
      <c r="H1234">
        <v>1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P1234">
        <v>62.3</v>
      </c>
      <c r="R1234" t="str">
        <f t="shared" si="114"/>
        <v>Unique</v>
      </c>
      <c r="S1234" t="str">
        <f t="shared" si="115"/>
        <v>Valid</v>
      </c>
      <c r="T1234" t="str">
        <f t="shared" si="116"/>
        <v>Valid</v>
      </c>
      <c r="U1234" t="str">
        <f t="shared" si="117"/>
        <v>Valid</v>
      </c>
      <c r="V1234" t="str">
        <f t="shared" si="118"/>
        <v>Valid</v>
      </c>
      <c r="W1234" t="str">
        <f t="shared" si="119"/>
        <v>Valid</v>
      </c>
    </row>
    <row r="1235" spans="1:23">
      <c r="A1235" t="s">
        <v>1266</v>
      </c>
      <c r="B1235" s="2">
        <v>45717</v>
      </c>
      <c r="C1235" t="s">
        <v>723</v>
      </c>
      <c r="D1235" t="s">
        <v>28</v>
      </c>
      <c r="E1235" t="s">
        <v>19</v>
      </c>
      <c r="F1235" t="s">
        <v>41</v>
      </c>
      <c r="G1235" t="s">
        <v>26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P1235">
        <v>62.7</v>
      </c>
      <c r="R1235" t="str">
        <f t="shared" si="114"/>
        <v>Unique</v>
      </c>
      <c r="S1235" t="str">
        <f t="shared" si="115"/>
        <v>Valid</v>
      </c>
      <c r="T1235" t="str">
        <f t="shared" si="116"/>
        <v>Valid</v>
      </c>
      <c r="U1235" t="str">
        <f t="shared" si="117"/>
        <v>Valid</v>
      </c>
      <c r="V1235" t="str">
        <f t="shared" si="118"/>
        <v>Valid</v>
      </c>
      <c r="W1235" t="str">
        <f t="shared" si="119"/>
        <v>Valid</v>
      </c>
    </row>
    <row r="1236" spans="1:23">
      <c r="A1236" t="s">
        <v>1267</v>
      </c>
      <c r="B1236" s="2">
        <v>45804</v>
      </c>
      <c r="C1236" t="s">
        <v>723</v>
      </c>
      <c r="D1236" t="s">
        <v>18</v>
      </c>
      <c r="E1236" t="s">
        <v>24</v>
      </c>
      <c r="F1236" t="s">
        <v>29</v>
      </c>
      <c r="G1236" t="s">
        <v>21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P1236">
        <v>82.4</v>
      </c>
      <c r="R1236" t="str">
        <f t="shared" si="114"/>
        <v>Unique</v>
      </c>
      <c r="S1236" t="str">
        <f t="shared" si="115"/>
        <v>Valid</v>
      </c>
      <c r="T1236" t="str">
        <f t="shared" si="116"/>
        <v>Valid</v>
      </c>
      <c r="U1236" t="str">
        <f t="shared" si="117"/>
        <v>Valid</v>
      </c>
      <c r="V1236" t="str">
        <f t="shared" si="118"/>
        <v>Valid</v>
      </c>
      <c r="W1236" t="str">
        <f t="shared" si="119"/>
        <v>Valid</v>
      </c>
    </row>
    <row r="1237" spans="1:23">
      <c r="A1237" t="s">
        <v>1268</v>
      </c>
      <c r="B1237" s="2">
        <v>45693</v>
      </c>
      <c r="C1237" t="s">
        <v>723</v>
      </c>
      <c r="D1237" t="s">
        <v>23</v>
      </c>
      <c r="E1237" t="s">
        <v>24</v>
      </c>
      <c r="F1237" t="s">
        <v>1451</v>
      </c>
      <c r="G1237" t="s">
        <v>30</v>
      </c>
      <c r="H1237">
        <v>1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P1237">
        <v>78.900000000000006</v>
      </c>
      <c r="R1237" t="str">
        <f t="shared" si="114"/>
        <v>Unique</v>
      </c>
      <c r="S1237" t="str">
        <f t="shared" si="115"/>
        <v>Valid</v>
      </c>
      <c r="T1237" t="str">
        <f t="shared" si="116"/>
        <v>Valid</v>
      </c>
      <c r="U1237" t="str">
        <f t="shared" si="117"/>
        <v>Valid</v>
      </c>
      <c r="V1237" t="str">
        <f t="shared" si="118"/>
        <v>Valid</v>
      </c>
      <c r="W1237" t="str">
        <f t="shared" si="119"/>
        <v>Valid</v>
      </c>
    </row>
    <row r="1238" spans="1:23">
      <c r="A1238" t="s">
        <v>1269</v>
      </c>
      <c r="B1238" s="2">
        <v>45682</v>
      </c>
      <c r="C1238" t="s">
        <v>723</v>
      </c>
      <c r="D1238" t="s">
        <v>23</v>
      </c>
      <c r="E1238" t="s">
        <v>19</v>
      </c>
      <c r="F1238" t="s">
        <v>20</v>
      </c>
      <c r="G1238" t="s">
        <v>26</v>
      </c>
      <c r="H1238">
        <v>1</v>
      </c>
      <c r="I1238">
        <v>1</v>
      </c>
      <c r="J1238">
        <v>1</v>
      </c>
      <c r="K1238">
        <v>1</v>
      </c>
      <c r="L1238">
        <v>618.91</v>
      </c>
      <c r="M1238">
        <v>0</v>
      </c>
      <c r="N1238">
        <v>0</v>
      </c>
      <c r="O1238">
        <v>4</v>
      </c>
      <c r="P1238">
        <v>67.8</v>
      </c>
      <c r="R1238" t="str">
        <f t="shared" si="114"/>
        <v>Unique</v>
      </c>
      <c r="S1238" t="str">
        <f t="shared" si="115"/>
        <v>Valid</v>
      </c>
      <c r="T1238" t="str">
        <f t="shared" si="116"/>
        <v>Valid</v>
      </c>
      <c r="U1238" t="str">
        <f t="shared" si="117"/>
        <v>Valid</v>
      </c>
      <c r="V1238" t="str">
        <f t="shared" si="118"/>
        <v>Valid</v>
      </c>
      <c r="W1238" t="str">
        <f t="shared" si="119"/>
        <v>Valid</v>
      </c>
    </row>
    <row r="1239" spans="1:23">
      <c r="A1239" t="s">
        <v>1270</v>
      </c>
      <c r="B1239" s="2">
        <v>45757</v>
      </c>
      <c r="C1239" t="s">
        <v>723</v>
      </c>
      <c r="D1239" t="s">
        <v>28</v>
      </c>
      <c r="E1239" t="s">
        <v>24</v>
      </c>
      <c r="F1239" t="s">
        <v>25</v>
      </c>
      <c r="G1239" t="s">
        <v>30</v>
      </c>
      <c r="H1239">
        <v>1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P1239">
        <v>68.8</v>
      </c>
      <c r="R1239" t="str">
        <f t="shared" si="114"/>
        <v>Unique</v>
      </c>
      <c r="S1239" t="str">
        <f t="shared" si="115"/>
        <v>Valid</v>
      </c>
      <c r="T1239" t="str">
        <f t="shared" si="116"/>
        <v>Valid</v>
      </c>
      <c r="U1239" t="str">
        <f t="shared" si="117"/>
        <v>Valid</v>
      </c>
      <c r="V1239" t="str">
        <f t="shared" si="118"/>
        <v>Valid</v>
      </c>
      <c r="W1239" t="str">
        <f t="shared" si="119"/>
        <v>Valid</v>
      </c>
    </row>
    <row r="1240" spans="1:23">
      <c r="A1240" t="s">
        <v>1271</v>
      </c>
      <c r="B1240" s="2">
        <v>45667</v>
      </c>
      <c r="C1240" t="s">
        <v>723</v>
      </c>
      <c r="D1240" t="s">
        <v>28</v>
      </c>
      <c r="E1240" t="s">
        <v>24</v>
      </c>
      <c r="F1240" t="s">
        <v>25</v>
      </c>
      <c r="G1240" t="s">
        <v>30</v>
      </c>
      <c r="H1240">
        <v>1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P1240">
        <v>67.7</v>
      </c>
      <c r="R1240" t="str">
        <f t="shared" si="114"/>
        <v>Unique</v>
      </c>
      <c r="S1240" t="str">
        <f t="shared" si="115"/>
        <v>Valid</v>
      </c>
      <c r="T1240" t="str">
        <f t="shared" si="116"/>
        <v>Valid</v>
      </c>
      <c r="U1240" t="str">
        <f t="shared" si="117"/>
        <v>Valid</v>
      </c>
      <c r="V1240" t="str">
        <f t="shared" si="118"/>
        <v>Valid</v>
      </c>
      <c r="W1240" t="str">
        <f t="shared" si="119"/>
        <v>Valid</v>
      </c>
    </row>
    <row r="1241" spans="1:23">
      <c r="A1241" t="s">
        <v>1272</v>
      </c>
      <c r="B1241" s="2">
        <v>45711</v>
      </c>
      <c r="C1241" t="s">
        <v>723</v>
      </c>
      <c r="D1241" t="s">
        <v>28</v>
      </c>
      <c r="E1241" t="s">
        <v>24</v>
      </c>
      <c r="F1241" t="s">
        <v>1451</v>
      </c>
      <c r="G1241" t="s">
        <v>26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P1241">
        <v>88</v>
      </c>
      <c r="R1241" t="str">
        <f t="shared" si="114"/>
        <v>Unique</v>
      </c>
      <c r="S1241" t="str">
        <f t="shared" si="115"/>
        <v>Valid</v>
      </c>
      <c r="T1241" t="str">
        <f t="shared" si="116"/>
        <v>Valid</v>
      </c>
      <c r="U1241" t="str">
        <f t="shared" si="117"/>
        <v>Valid</v>
      </c>
      <c r="V1241" t="str">
        <f t="shared" si="118"/>
        <v>Valid</v>
      </c>
      <c r="W1241" t="str">
        <f t="shared" si="119"/>
        <v>Valid</v>
      </c>
    </row>
    <row r="1242" spans="1:23">
      <c r="A1242" t="s">
        <v>1273</v>
      </c>
      <c r="B1242" s="2">
        <v>45800</v>
      </c>
      <c r="C1242" t="s">
        <v>723</v>
      </c>
      <c r="D1242" t="s">
        <v>23</v>
      </c>
      <c r="E1242" t="s">
        <v>19</v>
      </c>
      <c r="F1242" t="s">
        <v>25</v>
      </c>
      <c r="G1242" t="s">
        <v>21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0</v>
      </c>
      <c r="N1242">
        <v>0</v>
      </c>
      <c r="P1242">
        <v>80.099999999999994</v>
      </c>
      <c r="R1242" t="str">
        <f t="shared" si="114"/>
        <v>Unique</v>
      </c>
      <c r="S1242" t="str">
        <f t="shared" si="115"/>
        <v>Valid</v>
      </c>
      <c r="T1242" t="str">
        <f t="shared" si="116"/>
        <v>Valid</v>
      </c>
      <c r="U1242" t="str">
        <f t="shared" si="117"/>
        <v>Valid</v>
      </c>
      <c r="V1242" t="str">
        <f t="shared" si="118"/>
        <v>Valid</v>
      </c>
      <c r="W1242" t="str">
        <f t="shared" si="119"/>
        <v>Valid</v>
      </c>
    </row>
    <row r="1243" spans="1:23">
      <c r="A1243" t="s">
        <v>1274</v>
      </c>
      <c r="B1243" s="2">
        <v>45724</v>
      </c>
      <c r="C1243" t="s">
        <v>723</v>
      </c>
      <c r="D1243" t="s">
        <v>18</v>
      </c>
      <c r="E1243" t="s">
        <v>34</v>
      </c>
      <c r="F1243" t="s">
        <v>20</v>
      </c>
      <c r="G1243" t="s">
        <v>21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1</v>
      </c>
      <c r="N1243">
        <v>0</v>
      </c>
      <c r="P1243">
        <v>48.2</v>
      </c>
      <c r="R1243" t="str">
        <f t="shared" si="114"/>
        <v>Unique</v>
      </c>
      <c r="S1243" t="str">
        <f t="shared" si="115"/>
        <v>Valid</v>
      </c>
      <c r="T1243" t="str">
        <f t="shared" si="116"/>
        <v>Valid</v>
      </c>
      <c r="U1243" t="str">
        <f t="shared" si="117"/>
        <v>Valid</v>
      </c>
      <c r="V1243" t="str">
        <f t="shared" si="118"/>
        <v>Valid</v>
      </c>
      <c r="W1243" t="str">
        <f t="shared" si="119"/>
        <v>Valid</v>
      </c>
    </row>
    <row r="1244" spans="1:23">
      <c r="A1244" t="s">
        <v>1275</v>
      </c>
      <c r="B1244" s="2">
        <v>45798</v>
      </c>
      <c r="C1244" t="s">
        <v>723</v>
      </c>
      <c r="D1244" t="s">
        <v>28</v>
      </c>
      <c r="E1244" t="s">
        <v>24</v>
      </c>
      <c r="F1244" t="s">
        <v>25</v>
      </c>
      <c r="G1244" t="s">
        <v>21</v>
      </c>
      <c r="H1244">
        <v>1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P1244">
        <v>52.7</v>
      </c>
      <c r="R1244" t="str">
        <f t="shared" si="114"/>
        <v>Unique</v>
      </c>
      <c r="S1244" t="str">
        <f t="shared" si="115"/>
        <v>Valid</v>
      </c>
      <c r="T1244" t="str">
        <f t="shared" si="116"/>
        <v>Valid</v>
      </c>
      <c r="U1244" t="str">
        <f t="shared" si="117"/>
        <v>Valid</v>
      </c>
      <c r="V1244" t="str">
        <f t="shared" si="118"/>
        <v>Valid</v>
      </c>
      <c r="W1244" t="str">
        <f t="shared" si="119"/>
        <v>Valid</v>
      </c>
    </row>
    <row r="1245" spans="1:23">
      <c r="A1245" t="s">
        <v>1276</v>
      </c>
      <c r="B1245" s="2">
        <v>45769</v>
      </c>
      <c r="C1245" t="s">
        <v>723</v>
      </c>
      <c r="D1245" t="s">
        <v>18</v>
      </c>
      <c r="E1245" t="s">
        <v>24</v>
      </c>
      <c r="F1245" t="s">
        <v>20</v>
      </c>
      <c r="G1245" t="s">
        <v>21</v>
      </c>
      <c r="H1245">
        <v>1</v>
      </c>
      <c r="I1245">
        <v>1</v>
      </c>
      <c r="J1245">
        <v>0</v>
      </c>
      <c r="K1245">
        <v>0</v>
      </c>
      <c r="L1245">
        <v>0</v>
      </c>
      <c r="M1245">
        <v>0</v>
      </c>
      <c r="N1245">
        <v>0</v>
      </c>
      <c r="P1245">
        <v>59.9</v>
      </c>
      <c r="R1245" t="str">
        <f t="shared" si="114"/>
        <v>Unique</v>
      </c>
      <c r="S1245" t="str">
        <f t="shared" si="115"/>
        <v>Valid</v>
      </c>
      <c r="T1245" t="str">
        <f t="shared" si="116"/>
        <v>Valid</v>
      </c>
      <c r="U1245" t="str">
        <f t="shared" si="117"/>
        <v>Valid</v>
      </c>
      <c r="V1245" t="str">
        <f t="shared" si="118"/>
        <v>Valid</v>
      </c>
      <c r="W1245" t="str">
        <f t="shared" si="119"/>
        <v>Valid</v>
      </c>
    </row>
    <row r="1246" spans="1:23">
      <c r="A1246" t="s">
        <v>1277</v>
      </c>
      <c r="B1246" s="2">
        <v>45763</v>
      </c>
      <c r="C1246" t="s">
        <v>723</v>
      </c>
      <c r="D1246" t="s">
        <v>18</v>
      </c>
      <c r="E1246" t="s">
        <v>24</v>
      </c>
      <c r="F1246" t="s">
        <v>20</v>
      </c>
      <c r="G1246" t="s">
        <v>30</v>
      </c>
      <c r="H1246">
        <v>1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P1246">
        <v>49.5</v>
      </c>
      <c r="R1246" t="str">
        <f t="shared" si="114"/>
        <v>Unique</v>
      </c>
      <c r="S1246" t="str">
        <f t="shared" si="115"/>
        <v>Valid</v>
      </c>
      <c r="T1246" t="str">
        <f t="shared" si="116"/>
        <v>Valid</v>
      </c>
      <c r="U1246" t="str">
        <f t="shared" si="117"/>
        <v>Valid</v>
      </c>
      <c r="V1246" t="str">
        <f t="shared" si="118"/>
        <v>Valid</v>
      </c>
      <c r="W1246" t="str">
        <f t="shared" si="119"/>
        <v>Valid</v>
      </c>
    </row>
    <row r="1247" spans="1:23">
      <c r="A1247" t="s">
        <v>1278</v>
      </c>
      <c r="B1247" s="2">
        <v>45785</v>
      </c>
      <c r="C1247" t="s">
        <v>723</v>
      </c>
      <c r="D1247" t="s">
        <v>18</v>
      </c>
      <c r="E1247" t="s">
        <v>34</v>
      </c>
      <c r="F1247" t="s">
        <v>25</v>
      </c>
      <c r="G1247" t="s">
        <v>26</v>
      </c>
      <c r="H1247">
        <v>1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P1247">
        <v>41.5</v>
      </c>
      <c r="R1247" t="str">
        <f t="shared" si="114"/>
        <v>Unique</v>
      </c>
      <c r="S1247" t="str">
        <f t="shared" si="115"/>
        <v>Valid</v>
      </c>
      <c r="T1247" t="str">
        <f t="shared" si="116"/>
        <v>Valid</v>
      </c>
      <c r="U1247" t="str">
        <f t="shared" si="117"/>
        <v>Valid</v>
      </c>
      <c r="V1247" t="str">
        <f t="shared" si="118"/>
        <v>Valid</v>
      </c>
      <c r="W1247" t="str">
        <f t="shared" si="119"/>
        <v>Valid</v>
      </c>
    </row>
    <row r="1248" spans="1:23">
      <c r="A1248" t="s">
        <v>1279</v>
      </c>
      <c r="B1248" s="2">
        <v>45799</v>
      </c>
      <c r="C1248" t="s">
        <v>723</v>
      </c>
      <c r="D1248" t="s">
        <v>18</v>
      </c>
      <c r="E1248" t="s">
        <v>24</v>
      </c>
      <c r="F1248" t="s">
        <v>29</v>
      </c>
      <c r="G1248" t="s">
        <v>21</v>
      </c>
      <c r="H1248">
        <v>1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P1248">
        <v>71.2</v>
      </c>
      <c r="R1248" t="str">
        <f t="shared" si="114"/>
        <v>Unique</v>
      </c>
      <c r="S1248" t="str">
        <f t="shared" si="115"/>
        <v>Valid</v>
      </c>
      <c r="T1248" t="str">
        <f t="shared" si="116"/>
        <v>Valid</v>
      </c>
      <c r="U1248" t="str">
        <f t="shared" si="117"/>
        <v>Valid</v>
      </c>
      <c r="V1248" t="str">
        <f t="shared" si="118"/>
        <v>Valid</v>
      </c>
      <c r="W1248" t="str">
        <f t="shared" si="119"/>
        <v>Valid</v>
      </c>
    </row>
    <row r="1249" spans="1:23">
      <c r="A1249" t="s">
        <v>1280</v>
      </c>
      <c r="B1249" s="2">
        <v>45737</v>
      </c>
      <c r="C1249" t="s">
        <v>723</v>
      </c>
      <c r="D1249" t="s">
        <v>18</v>
      </c>
      <c r="E1249" t="s">
        <v>24</v>
      </c>
      <c r="F1249" t="s">
        <v>39</v>
      </c>
      <c r="G1249" t="s">
        <v>21</v>
      </c>
      <c r="H1249">
        <v>1</v>
      </c>
      <c r="I1249">
        <v>1</v>
      </c>
      <c r="J1249">
        <v>1</v>
      </c>
      <c r="K1249">
        <v>0</v>
      </c>
      <c r="L1249">
        <v>0</v>
      </c>
      <c r="M1249">
        <v>0</v>
      </c>
      <c r="N1249">
        <v>0</v>
      </c>
      <c r="P1249">
        <v>65.8</v>
      </c>
      <c r="R1249" t="str">
        <f t="shared" si="114"/>
        <v>Unique</v>
      </c>
      <c r="S1249" t="str">
        <f t="shared" si="115"/>
        <v>Valid</v>
      </c>
      <c r="T1249" t="str">
        <f t="shared" si="116"/>
        <v>Valid</v>
      </c>
      <c r="U1249" t="str">
        <f t="shared" si="117"/>
        <v>Valid</v>
      </c>
      <c r="V1249" t="str">
        <f t="shared" si="118"/>
        <v>Valid</v>
      </c>
      <c r="W1249" t="str">
        <f t="shared" si="119"/>
        <v>Valid</v>
      </c>
    </row>
    <row r="1250" spans="1:23">
      <c r="A1250" t="s">
        <v>1281</v>
      </c>
      <c r="B1250" s="2">
        <v>45738</v>
      </c>
      <c r="C1250" t="s">
        <v>723</v>
      </c>
      <c r="D1250" t="s">
        <v>28</v>
      </c>
      <c r="E1250" t="s">
        <v>24</v>
      </c>
      <c r="F1250" t="s">
        <v>25</v>
      </c>
      <c r="G1250" t="s">
        <v>21</v>
      </c>
      <c r="H1250">
        <v>1</v>
      </c>
      <c r="I1250">
        <v>0</v>
      </c>
      <c r="J1250">
        <v>0</v>
      </c>
      <c r="K1250">
        <v>0</v>
      </c>
      <c r="L1250">
        <v>0</v>
      </c>
      <c r="M1250">
        <v>1</v>
      </c>
      <c r="N1250">
        <v>0</v>
      </c>
      <c r="P1250">
        <v>55.1</v>
      </c>
      <c r="R1250" t="str">
        <f t="shared" si="114"/>
        <v>Unique</v>
      </c>
      <c r="S1250" t="str">
        <f t="shared" si="115"/>
        <v>Valid</v>
      </c>
      <c r="T1250" t="str">
        <f t="shared" si="116"/>
        <v>Valid</v>
      </c>
      <c r="U1250" t="str">
        <f t="shared" si="117"/>
        <v>Valid</v>
      </c>
      <c r="V1250" t="str">
        <f t="shared" si="118"/>
        <v>Valid</v>
      </c>
      <c r="W1250" t="str">
        <f t="shared" si="119"/>
        <v>Valid</v>
      </c>
    </row>
    <row r="1251" spans="1:23">
      <c r="A1251" t="s">
        <v>1282</v>
      </c>
      <c r="B1251" s="2">
        <v>45667</v>
      </c>
      <c r="C1251" t="s">
        <v>723</v>
      </c>
      <c r="D1251" t="s">
        <v>23</v>
      </c>
      <c r="E1251" t="s">
        <v>19</v>
      </c>
      <c r="F1251" t="s">
        <v>41</v>
      </c>
      <c r="G1251" t="s">
        <v>26</v>
      </c>
      <c r="H1251">
        <v>1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P1251">
        <v>54.6</v>
      </c>
      <c r="R1251" t="str">
        <f t="shared" si="114"/>
        <v>Unique</v>
      </c>
      <c r="S1251" t="str">
        <f t="shared" si="115"/>
        <v>Valid</v>
      </c>
      <c r="T1251" t="str">
        <f t="shared" si="116"/>
        <v>Valid</v>
      </c>
      <c r="U1251" t="str">
        <f t="shared" si="117"/>
        <v>Valid</v>
      </c>
      <c r="V1251" t="str">
        <f t="shared" si="118"/>
        <v>Valid</v>
      </c>
      <c r="W1251" t="str">
        <f t="shared" si="119"/>
        <v>Valid</v>
      </c>
    </row>
    <row r="1252" spans="1:23">
      <c r="A1252" t="s">
        <v>1283</v>
      </c>
      <c r="B1252" s="2">
        <v>45689</v>
      </c>
      <c r="C1252" t="s">
        <v>723</v>
      </c>
      <c r="D1252" t="s">
        <v>28</v>
      </c>
      <c r="E1252" t="s">
        <v>24</v>
      </c>
      <c r="F1252" t="s">
        <v>25</v>
      </c>
      <c r="G1252" t="s">
        <v>21</v>
      </c>
      <c r="H1252">
        <v>1</v>
      </c>
      <c r="I1252">
        <v>1</v>
      </c>
      <c r="J1252">
        <v>1</v>
      </c>
      <c r="K1252">
        <v>1</v>
      </c>
      <c r="L1252">
        <v>923.67</v>
      </c>
      <c r="M1252">
        <v>0</v>
      </c>
      <c r="N1252">
        <v>0</v>
      </c>
      <c r="O1252">
        <v>4</v>
      </c>
      <c r="P1252">
        <v>81.900000000000006</v>
      </c>
      <c r="R1252" t="str">
        <f t="shared" si="114"/>
        <v>Unique</v>
      </c>
      <c r="S1252" t="str">
        <f t="shared" si="115"/>
        <v>Valid</v>
      </c>
      <c r="T1252" t="str">
        <f t="shared" si="116"/>
        <v>Valid</v>
      </c>
      <c r="U1252" t="str">
        <f t="shared" si="117"/>
        <v>Valid</v>
      </c>
      <c r="V1252" t="str">
        <f t="shared" si="118"/>
        <v>Valid</v>
      </c>
      <c r="W1252" t="str">
        <f t="shared" si="119"/>
        <v>Valid</v>
      </c>
    </row>
    <row r="1253" spans="1:23">
      <c r="A1253" t="s">
        <v>1284</v>
      </c>
      <c r="B1253" s="2">
        <v>45747</v>
      </c>
      <c r="C1253" t="s">
        <v>723</v>
      </c>
      <c r="D1253" t="s">
        <v>32</v>
      </c>
      <c r="E1253" t="s">
        <v>24</v>
      </c>
      <c r="F1253" t="s">
        <v>29</v>
      </c>
      <c r="G1253" t="s">
        <v>21</v>
      </c>
      <c r="H1253">
        <v>1</v>
      </c>
      <c r="I1253">
        <v>1</v>
      </c>
      <c r="J1253">
        <v>0</v>
      </c>
      <c r="K1253">
        <v>0</v>
      </c>
      <c r="L1253">
        <v>0</v>
      </c>
      <c r="M1253">
        <v>3</v>
      </c>
      <c r="N1253">
        <v>0</v>
      </c>
      <c r="P1253">
        <v>63.2</v>
      </c>
      <c r="R1253" t="str">
        <f t="shared" si="114"/>
        <v>Unique</v>
      </c>
      <c r="S1253" t="str">
        <f t="shared" si="115"/>
        <v>Valid</v>
      </c>
      <c r="T1253" t="str">
        <f t="shared" si="116"/>
        <v>Valid</v>
      </c>
      <c r="U1253" t="str">
        <f t="shared" si="117"/>
        <v>Valid</v>
      </c>
      <c r="V1253" t="str">
        <f t="shared" si="118"/>
        <v>Valid</v>
      </c>
      <c r="W1253" t="str">
        <f t="shared" si="119"/>
        <v>Valid</v>
      </c>
    </row>
    <row r="1254" spans="1:23">
      <c r="A1254" t="s">
        <v>1285</v>
      </c>
      <c r="B1254" s="2">
        <v>45772</v>
      </c>
      <c r="C1254" t="s">
        <v>723</v>
      </c>
      <c r="D1254" t="s">
        <v>18</v>
      </c>
      <c r="E1254" t="s">
        <v>24</v>
      </c>
      <c r="F1254" t="s">
        <v>29</v>
      </c>
      <c r="G1254" t="s">
        <v>26</v>
      </c>
      <c r="H1254">
        <v>1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P1254">
        <v>55.4</v>
      </c>
      <c r="R1254" t="str">
        <f t="shared" si="114"/>
        <v>Unique</v>
      </c>
      <c r="S1254" t="str">
        <f t="shared" si="115"/>
        <v>Valid</v>
      </c>
      <c r="T1254" t="str">
        <f t="shared" si="116"/>
        <v>Valid</v>
      </c>
      <c r="U1254" t="str">
        <f t="shared" si="117"/>
        <v>Valid</v>
      </c>
      <c r="V1254" t="str">
        <f t="shared" si="118"/>
        <v>Valid</v>
      </c>
      <c r="W1254" t="str">
        <f t="shared" si="119"/>
        <v>Valid</v>
      </c>
    </row>
    <row r="1255" spans="1:23">
      <c r="A1255" t="s">
        <v>1286</v>
      </c>
      <c r="B1255" s="2">
        <v>45779</v>
      </c>
      <c r="C1255" t="s">
        <v>723</v>
      </c>
      <c r="D1255" t="s">
        <v>23</v>
      </c>
      <c r="E1255" t="s">
        <v>24</v>
      </c>
      <c r="F1255" t="s">
        <v>41</v>
      </c>
      <c r="G1255" t="s">
        <v>21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P1255">
        <v>87.5</v>
      </c>
      <c r="R1255" t="str">
        <f t="shared" si="114"/>
        <v>Unique</v>
      </c>
      <c r="S1255" t="str">
        <f t="shared" si="115"/>
        <v>Valid</v>
      </c>
      <c r="T1255" t="str">
        <f t="shared" si="116"/>
        <v>Valid</v>
      </c>
      <c r="U1255" t="str">
        <f t="shared" si="117"/>
        <v>Valid</v>
      </c>
      <c r="V1255" t="str">
        <f t="shared" si="118"/>
        <v>Valid</v>
      </c>
      <c r="W1255" t="str">
        <f t="shared" si="119"/>
        <v>Valid</v>
      </c>
    </row>
    <row r="1256" spans="1:23">
      <c r="A1256" t="s">
        <v>1287</v>
      </c>
      <c r="B1256" s="2">
        <v>45724</v>
      </c>
      <c r="C1256" t="s">
        <v>723</v>
      </c>
      <c r="D1256" t="s">
        <v>32</v>
      </c>
      <c r="E1256" t="s">
        <v>19</v>
      </c>
      <c r="F1256" t="s">
        <v>41</v>
      </c>
      <c r="G1256" t="s">
        <v>21</v>
      </c>
      <c r="H1256">
        <v>1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P1256">
        <v>48.5</v>
      </c>
      <c r="R1256" t="str">
        <f t="shared" si="114"/>
        <v>Unique</v>
      </c>
      <c r="S1256" t="str">
        <f t="shared" si="115"/>
        <v>Valid</v>
      </c>
      <c r="T1256" t="str">
        <f t="shared" si="116"/>
        <v>Valid</v>
      </c>
      <c r="U1256" t="str">
        <f t="shared" si="117"/>
        <v>Valid</v>
      </c>
      <c r="V1256" t="str">
        <f t="shared" si="118"/>
        <v>Valid</v>
      </c>
      <c r="W1256" t="str">
        <f t="shared" si="119"/>
        <v>Valid</v>
      </c>
    </row>
    <row r="1257" spans="1:23">
      <c r="A1257" t="s">
        <v>1288</v>
      </c>
      <c r="B1257" s="2">
        <v>45684</v>
      </c>
      <c r="C1257" t="s">
        <v>723</v>
      </c>
      <c r="D1257" t="s">
        <v>28</v>
      </c>
      <c r="E1257" t="s">
        <v>19</v>
      </c>
      <c r="F1257" t="s">
        <v>1451</v>
      </c>
      <c r="G1257" t="s">
        <v>26</v>
      </c>
      <c r="H1257">
        <v>1</v>
      </c>
      <c r="I1257">
        <v>1</v>
      </c>
      <c r="J1257">
        <v>1</v>
      </c>
      <c r="K1257">
        <v>1</v>
      </c>
      <c r="L1257">
        <v>420.27</v>
      </c>
      <c r="M1257">
        <v>0</v>
      </c>
      <c r="N1257">
        <v>0</v>
      </c>
      <c r="O1257">
        <v>6</v>
      </c>
      <c r="P1257">
        <v>58.4</v>
      </c>
      <c r="R1257" t="str">
        <f t="shared" si="114"/>
        <v>Unique</v>
      </c>
      <c r="S1257" t="str">
        <f t="shared" si="115"/>
        <v>Valid</v>
      </c>
      <c r="T1257" t="str">
        <f t="shared" si="116"/>
        <v>Valid</v>
      </c>
      <c r="U1257" t="str">
        <f t="shared" si="117"/>
        <v>Valid</v>
      </c>
      <c r="V1257" t="str">
        <f t="shared" si="118"/>
        <v>Valid</v>
      </c>
      <c r="W1257" t="str">
        <f t="shared" si="119"/>
        <v>Valid</v>
      </c>
    </row>
    <row r="1258" spans="1:23">
      <c r="A1258" t="s">
        <v>1289</v>
      </c>
      <c r="B1258" s="2">
        <v>45774</v>
      </c>
      <c r="C1258" t="s">
        <v>723</v>
      </c>
      <c r="D1258" t="s">
        <v>23</v>
      </c>
      <c r="E1258" t="s">
        <v>24</v>
      </c>
      <c r="F1258" t="s">
        <v>29</v>
      </c>
      <c r="G1258" t="s">
        <v>26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P1258">
        <v>59.5</v>
      </c>
      <c r="R1258" t="str">
        <f t="shared" si="114"/>
        <v>Unique</v>
      </c>
      <c r="S1258" t="str">
        <f t="shared" si="115"/>
        <v>Valid</v>
      </c>
      <c r="T1258" t="str">
        <f t="shared" si="116"/>
        <v>Valid</v>
      </c>
      <c r="U1258" t="str">
        <f t="shared" si="117"/>
        <v>Valid</v>
      </c>
      <c r="V1258" t="str">
        <f t="shared" si="118"/>
        <v>Valid</v>
      </c>
      <c r="W1258" t="str">
        <f t="shared" si="119"/>
        <v>Valid</v>
      </c>
    </row>
    <row r="1259" spans="1:23">
      <c r="A1259" t="s">
        <v>1290</v>
      </c>
      <c r="B1259" s="2">
        <v>45673</v>
      </c>
      <c r="C1259" t="s">
        <v>723</v>
      </c>
      <c r="D1259" t="s">
        <v>23</v>
      </c>
      <c r="E1259" t="s">
        <v>19</v>
      </c>
      <c r="F1259" t="s">
        <v>29</v>
      </c>
      <c r="G1259" t="s">
        <v>21</v>
      </c>
      <c r="H1259">
        <v>1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P1259">
        <v>93.2</v>
      </c>
      <c r="R1259" t="str">
        <f t="shared" si="114"/>
        <v>Unique</v>
      </c>
      <c r="S1259" t="str">
        <f t="shared" si="115"/>
        <v>Valid</v>
      </c>
      <c r="T1259" t="str">
        <f t="shared" si="116"/>
        <v>Valid</v>
      </c>
      <c r="U1259" t="str">
        <f t="shared" si="117"/>
        <v>Valid</v>
      </c>
      <c r="V1259" t="str">
        <f t="shared" si="118"/>
        <v>Valid</v>
      </c>
      <c r="W1259" t="str">
        <f t="shared" si="119"/>
        <v>Valid</v>
      </c>
    </row>
    <row r="1260" spans="1:23">
      <c r="A1260" t="s">
        <v>1291</v>
      </c>
      <c r="B1260" s="2">
        <v>45675</v>
      </c>
      <c r="C1260" t="s">
        <v>723</v>
      </c>
      <c r="D1260" t="s">
        <v>23</v>
      </c>
      <c r="E1260" t="s">
        <v>19</v>
      </c>
      <c r="F1260" t="s">
        <v>29</v>
      </c>
      <c r="G1260" t="s">
        <v>21</v>
      </c>
      <c r="H1260">
        <v>1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P1260">
        <v>59</v>
      </c>
      <c r="R1260" t="str">
        <f t="shared" si="114"/>
        <v>Unique</v>
      </c>
      <c r="S1260" t="str">
        <f t="shared" si="115"/>
        <v>Valid</v>
      </c>
      <c r="T1260" t="str">
        <f t="shared" si="116"/>
        <v>Valid</v>
      </c>
      <c r="U1260" t="str">
        <f t="shared" si="117"/>
        <v>Valid</v>
      </c>
      <c r="V1260" t="str">
        <f t="shared" si="118"/>
        <v>Valid</v>
      </c>
      <c r="W1260" t="str">
        <f t="shared" si="119"/>
        <v>Valid</v>
      </c>
    </row>
    <row r="1261" spans="1:23">
      <c r="A1261" t="s">
        <v>1292</v>
      </c>
      <c r="B1261" s="2">
        <v>45737</v>
      </c>
      <c r="C1261" t="s">
        <v>723</v>
      </c>
      <c r="D1261" t="s">
        <v>18</v>
      </c>
      <c r="E1261" t="s">
        <v>24</v>
      </c>
      <c r="F1261" t="s">
        <v>25</v>
      </c>
      <c r="G1261" t="s">
        <v>26</v>
      </c>
      <c r="H1261">
        <v>1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P1261">
        <v>37</v>
      </c>
      <c r="R1261" t="str">
        <f t="shared" si="114"/>
        <v>Unique</v>
      </c>
      <c r="S1261" t="str">
        <f t="shared" si="115"/>
        <v>Valid</v>
      </c>
      <c r="T1261" t="str">
        <f t="shared" si="116"/>
        <v>Valid</v>
      </c>
      <c r="U1261" t="str">
        <f t="shared" si="117"/>
        <v>Valid</v>
      </c>
      <c r="V1261" t="str">
        <f t="shared" si="118"/>
        <v>Valid</v>
      </c>
      <c r="W1261" t="str">
        <f t="shared" si="119"/>
        <v>Valid</v>
      </c>
    </row>
    <row r="1262" spans="1:23">
      <c r="A1262" t="s">
        <v>1293</v>
      </c>
      <c r="B1262" s="2">
        <v>45749</v>
      </c>
      <c r="C1262" t="s">
        <v>723</v>
      </c>
      <c r="D1262" t="s">
        <v>18</v>
      </c>
      <c r="E1262" t="s">
        <v>19</v>
      </c>
      <c r="F1262" t="s">
        <v>29</v>
      </c>
      <c r="G1262" t="s">
        <v>26</v>
      </c>
      <c r="H1262">
        <v>1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P1262">
        <v>47.5</v>
      </c>
      <c r="R1262" t="str">
        <f t="shared" si="114"/>
        <v>Unique</v>
      </c>
      <c r="S1262" t="str">
        <f t="shared" si="115"/>
        <v>Valid</v>
      </c>
      <c r="T1262" t="str">
        <f t="shared" si="116"/>
        <v>Valid</v>
      </c>
      <c r="U1262" t="str">
        <f t="shared" si="117"/>
        <v>Valid</v>
      </c>
      <c r="V1262" t="str">
        <f t="shared" si="118"/>
        <v>Valid</v>
      </c>
      <c r="W1262" t="str">
        <f t="shared" si="119"/>
        <v>Valid</v>
      </c>
    </row>
    <row r="1263" spans="1:23">
      <c r="A1263" t="s">
        <v>1294</v>
      </c>
      <c r="B1263" s="2">
        <v>45704</v>
      </c>
      <c r="C1263" t="s">
        <v>723</v>
      </c>
      <c r="D1263" t="s">
        <v>23</v>
      </c>
      <c r="E1263" t="s">
        <v>19</v>
      </c>
      <c r="F1263" t="s">
        <v>25</v>
      </c>
      <c r="G1263" t="s">
        <v>26</v>
      </c>
      <c r="H1263">
        <v>1</v>
      </c>
      <c r="I1263">
        <v>1</v>
      </c>
      <c r="J1263">
        <v>1</v>
      </c>
      <c r="K1263">
        <v>0</v>
      </c>
      <c r="L1263">
        <v>0</v>
      </c>
      <c r="M1263">
        <v>0</v>
      </c>
      <c r="N1263">
        <v>0</v>
      </c>
      <c r="P1263">
        <v>78.7</v>
      </c>
      <c r="R1263" t="str">
        <f t="shared" si="114"/>
        <v>Unique</v>
      </c>
      <c r="S1263" t="str">
        <f t="shared" si="115"/>
        <v>Valid</v>
      </c>
      <c r="T1263" t="str">
        <f t="shared" si="116"/>
        <v>Valid</v>
      </c>
      <c r="U1263" t="str">
        <f t="shared" si="117"/>
        <v>Valid</v>
      </c>
      <c r="V1263" t="str">
        <f t="shared" si="118"/>
        <v>Valid</v>
      </c>
      <c r="W1263" t="str">
        <f t="shared" si="119"/>
        <v>Valid</v>
      </c>
    </row>
    <row r="1264" spans="1:23">
      <c r="A1264" t="s">
        <v>1295</v>
      </c>
      <c r="B1264" s="2">
        <v>45706</v>
      </c>
      <c r="C1264" t="s">
        <v>723</v>
      </c>
      <c r="D1264" t="s">
        <v>18</v>
      </c>
      <c r="E1264" t="s">
        <v>24</v>
      </c>
      <c r="F1264" t="s">
        <v>41</v>
      </c>
      <c r="G1264" t="s">
        <v>26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P1264">
        <v>49.6</v>
      </c>
      <c r="R1264" t="str">
        <f t="shared" si="114"/>
        <v>Unique</v>
      </c>
      <c r="S1264" t="str">
        <f t="shared" si="115"/>
        <v>Valid</v>
      </c>
      <c r="T1264" t="str">
        <f t="shared" si="116"/>
        <v>Valid</v>
      </c>
      <c r="U1264" t="str">
        <f t="shared" si="117"/>
        <v>Valid</v>
      </c>
      <c r="V1264" t="str">
        <f t="shared" si="118"/>
        <v>Valid</v>
      </c>
      <c r="W1264" t="str">
        <f t="shared" si="119"/>
        <v>Valid</v>
      </c>
    </row>
    <row r="1265" spans="1:23">
      <c r="A1265" t="s">
        <v>1296</v>
      </c>
      <c r="B1265" s="2">
        <v>45666</v>
      </c>
      <c r="C1265" t="s">
        <v>723</v>
      </c>
      <c r="D1265" t="s">
        <v>28</v>
      </c>
      <c r="E1265" t="s">
        <v>24</v>
      </c>
      <c r="F1265" t="s">
        <v>25</v>
      </c>
      <c r="G1265" t="s">
        <v>26</v>
      </c>
      <c r="H1265">
        <v>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P1265">
        <v>58</v>
      </c>
      <c r="R1265" t="str">
        <f t="shared" si="114"/>
        <v>Unique</v>
      </c>
      <c r="S1265" t="str">
        <f t="shared" si="115"/>
        <v>Valid</v>
      </c>
      <c r="T1265" t="str">
        <f t="shared" si="116"/>
        <v>Valid</v>
      </c>
      <c r="U1265" t="str">
        <f t="shared" si="117"/>
        <v>Valid</v>
      </c>
      <c r="V1265" t="str">
        <f t="shared" si="118"/>
        <v>Valid</v>
      </c>
      <c r="W1265" t="str">
        <f t="shared" si="119"/>
        <v>Valid</v>
      </c>
    </row>
    <row r="1266" spans="1:23">
      <c r="A1266" t="s">
        <v>1297</v>
      </c>
      <c r="B1266" s="2">
        <v>45706</v>
      </c>
      <c r="C1266" t="s">
        <v>723</v>
      </c>
      <c r="D1266" t="s">
        <v>18</v>
      </c>
      <c r="E1266" t="s">
        <v>19</v>
      </c>
      <c r="F1266" t="s">
        <v>29</v>
      </c>
      <c r="G1266" t="s">
        <v>26</v>
      </c>
      <c r="H1266">
        <v>1</v>
      </c>
      <c r="I1266">
        <v>0</v>
      </c>
      <c r="J1266">
        <v>0</v>
      </c>
      <c r="K1266">
        <v>0</v>
      </c>
      <c r="L1266">
        <v>0</v>
      </c>
      <c r="M1266">
        <v>1</v>
      </c>
      <c r="N1266">
        <v>0</v>
      </c>
      <c r="P1266">
        <v>54.4</v>
      </c>
      <c r="R1266" t="str">
        <f t="shared" si="114"/>
        <v>Unique</v>
      </c>
      <c r="S1266" t="str">
        <f t="shared" si="115"/>
        <v>Valid</v>
      </c>
      <c r="T1266" t="str">
        <f t="shared" si="116"/>
        <v>Valid</v>
      </c>
      <c r="U1266" t="str">
        <f t="shared" si="117"/>
        <v>Valid</v>
      </c>
      <c r="V1266" t="str">
        <f t="shared" si="118"/>
        <v>Valid</v>
      </c>
      <c r="W1266" t="str">
        <f t="shared" si="119"/>
        <v>Valid</v>
      </c>
    </row>
    <row r="1267" spans="1:23">
      <c r="A1267" t="s">
        <v>1298</v>
      </c>
      <c r="B1267" s="2">
        <v>45667</v>
      </c>
      <c r="C1267" t="s">
        <v>723</v>
      </c>
      <c r="D1267" t="s">
        <v>28</v>
      </c>
      <c r="E1267" t="s">
        <v>24</v>
      </c>
      <c r="F1267" t="s">
        <v>39</v>
      </c>
      <c r="G1267" t="s">
        <v>26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P1267">
        <v>33.700000000000003</v>
      </c>
      <c r="R1267" t="str">
        <f t="shared" si="114"/>
        <v>Unique</v>
      </c>
      <c r="S1267" t="str">
        <f t="shared" si="115"/>
        <v>Valid</v>
      </c>
      <c r="T1267" t="str">
        <f t="shared" si="116"/>
        <v>Valid</v>
      </c>
      <c r="U1267" t="str">
        <f t="shared" si="117"/>
        <v>Valid</v>
      </c>
      <c r="V1267" t="str">
        <f t="shared" si="118"/>
        <v>Valid</v>
      </c>
      <c r="W1267" t="str">
        <f t="shared" si="119"/>
        <v>Valid</v>
      </c>
    </row>
    <row r="1268" spans="1:23">
      <c r="A1268" t="s">
        <v>1299</v>
      </c>
      <c r="B1268" s="2">
        <v>45724</v>
      </c>
      <c r="C1268" t="s">
        <v>723</v>
      </c>
      <c r="D1268" t="s">
        <v>23</v>
      </c>
      <c r="E1268" t="s">
        <v>24</v>
      </c>
      <c r="F1268" t="s">
        <v>20</v>
      </c>
      <c r="G1268" t="s">
        <v>26</v>
      </c>
      <c r="H1268">
        <v>1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P1268">
        <v>72.7</v>
      </c>
      <c r="R1268" t="str">
        <f t="shared" si="114"/>
        <v>Unique</v>
      </c>
      <c r="S1268" t="str">
        <f t="shared" si="115"/>
        <v>Valid</v>
      </c>
      <c r="T1268" t="str">
        <f t="shared" si="116"/>
        <v>Valid</v>
      </c>
      <c r="U1268" t="str">
        <f t="shared" si="117"/>
        <v>Valid</v>
      </c>
      <c r="V1268" t="str">
        <f t="shared" si="118"/>
        <v>Valid</v>
      </c>
      <c r="W1268" t="str">
        <f t="shared" si="119"/>
        <v>Valid</v>
      </c>
    </row>
    <row r="1269" spans="1:23">
      <c r="A1269" t="s">
        <v>1300</v>
      </c>
      <c r="B1269" s="2">
        <v>45763</v>
      </c>
      <c r="C1269" t="s">
        <v>723</v>
      </c>
      <c r="D1269" t="s">
        <v>28</v>
      </c>
      <c r="E1269" t="s">
        <v>19</v>
      </c>
      <c r="F1269" t="s">
        <v>29</v>
      </c>
      <c r="G1269" t="s">
        <v>21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P1269">
        <v>64.7</v>
      </c>
      <c r="R1269" t="str">
        <f t="shared" si="114"/>
        <v>Unique</v>
      </c>
      <c r="S1269" t="str">
        <f t="shared" si="115"/>
        <v>Valid</v>
      </c>
      <c r="T1269" t="str">
        <f t="shared" si="116"/>
        <v>Valid</v>
      </c>
      <c r="U1269" t="str">
        <f t="shared" si="117"/>
        <v>Valid</v>
      </c>
      <c r="V1269" t="str">
        <f t="shared" si="118"/>
        <v>Valid</v>
      </c>
      <c r="W1269" t="str">
        <f t="shared" si="119"/>
        <v>Valid</v>
      </c>
    </row>
    <row r="1270" spans="1:23">
      <c r="A1270" t="s">
        <v>1301</v>
      </c>
      <c r="B1270" s="2">
        <v>45707</v>
      </c>
      <c r="C1270" t="s">
        <v>723</v>
      </c>
      <c r="D1270" t="s">
        <v>23</v>
      </c>
      <c r="E1270" t="s">
        <v>19</v>
      </c>
      <c r="F1270" t="s">
        <v>29</v>
      </c>
      <c r="G1270" t="s">
        <v>30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1</v>
      </c>
      <c r="N1270">
        <v>0</v>
      </c>
      <c r="P1270">
        <v>48.6</v>
      </c>
      <c r="R1270" t="str">
        <f t="shared" si="114"/>
        <v>Unique</v>
      </c>
      <c r="S1270" t="str">
        <f t="shared" si="115"/>
        <v>Valid</v>
      </c>
      <c r="T1270" t="str">
        <f t="shared" si="116"/>
        <v>Valid</v>
      </c>
      <c r="U1270" t="str">
        <f t="shared" si="117"/>
        <v>Valid</v>
      </c>
      <c r="V1270" t="str">
        <f t="shared" si="118"/>
        <v>Valid</v>
      </c>
      <c r="W1270" t="str">
        <f t="shared" si="119"/>
        <v>Valid</v>
      </c>
    </row>
    <row r="1271" spans="1:23">
      <c r="A1271" t="s">
        <v>1302</v>
      </c>
      <c r="B1271" s="2">
        <v>45732</v>
      </c>
      <c r="C1271" t="s">
        <v>723</v>
      </c>
      <c r="D1271" t="s">
        <v>28</v>
      </c>
      <c r="E1271" t="s">
        <v>19</v>
      </c>
      <c r="F1271" t="s">
        <v>41</v>
      </c>
      <c r="G1271" t="s">
        <v>26</v>
      </c>
      <c r="H1271">
        <v>1</v>
      </c>
      <c r="I1271">
        <v>1</v>
      </c>
      <c r="J1271">
        <v>0</v>
      </c>
      <c r="K1271">
        <v>0</v>
      </c>
      <c r="L1271">
        <v>0</v>
      </c>
      <c r="M1271">
        <v>0</v>
      </c>
      <c r="N1271">
        <v>0</v>
      </c>
      <c r="P1271">
        <v>66.2</v>
      </c>
      <c r="R1271" t="str">
        <f t="shared" si="114"/>
        <v>Unique</v>
      </c>
      <c r="S1271" t="str">
        <f t="shared" si="115"/>
        <v>Valid</v>
      </c>
      <c r="T1271" t="str">
        <f t="shared" si="116"/>
        <v>Valid</v>
      </c>
      <c r="U1271" t="str">
        <f t="shared" si="117"/>
        <v>Valid</v>
      </c>
      <c r="V1271" t="str">
        <f t="shared" si="118"/>
        <v>Valid</v>
      </c>
      <c r="W1271" t="str">
        <f t="shared" si="119"/>
        <v>Valid</v>
      </c>
    </row>
    <row r="1272" spans="1:23">
      <c r="A1272" t="s">
        <v>1303</v>
      </c>
      <c r="B1272" s="2">
        <v>45691</v>
      </c>
      <c r="C1272" t="s">
        <v>723</v>
      </c>
      <c r="D1272" t="s">
        <v>23</v>
      </c>
      <c r="E1272" t="s">
        <v>1451</v>
      </c>
      <c r="F1272" t="s">
        <v>39</v>
      </c>
      <c r="G1272" t="s">
        <v>21</v>
      </c>
      <c r="H1272">
        <v>1</v>
      </c>
      <c r="I1272">
        <v>0</v>
      </c>
      <c r="J1272">
        <v>0</v>
      </c>
      <c r="K1272">
        <v>0</v>
      </c>
      <c r="L1272">
        <v>0</v>
      </c>
      <c r="M1272">
        <v>1</v>
      </c>
      <c r="N1272">
        <v>0</v>
      </c>
      <c r="P1272">
        <v>60.7</v>
      </c>
      <c r="R1272" t="str">
        <f t="shared" si="114"/>
        <v>Unique</v>
      </c>
      <c r="S1272" t="str">
        <f t="shared" si="115"/>
        <v>Valid</v>
      </c>
      <c r="T1272" t="str">
        <f t="shared" si="116"/>
        <v>Valid</v>
      </c>
      <c r="U1272" t="str">
        <f t="shared" si="117"/>
        <v>Valid</v>
      </c>
      <c r="V1272" t="str">
        <f t="shared" si="118"/>
        <v>Valid</v>
      </c>
      <c r="W1272" t="str">
        <f t="shared" si="119"/>
        <v>Valid</v>
      </c>
    </row>
    <row r="1273" spans="1:23">
      <c r="A1273" t="s">
        <v>1304</v>
      </c>
      <c r="B1273" s="2">
        <v>45728</v>
      </c>
      <c r="C1273" t="s">
        <v>723</v>
      </c>
      <c r="D1273" t="s">
        <v>23</v>
      </c>
      <c r="E1273" t="s">
        <v>24</v>
      </c>
      <c r="F1273" t="s">
        <v>29</v>
      </c>
      <c r="G1273" t="s">
        <v>21</v>
      </c>
      <c r="H1273">
        <v>1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P1273">
        <v>36.5</v>
      </c>
      <c r="R1273" t="str">
        <f t="shared" si="114"/>
        <v>Unique</v>
      </c>
      <c r="S1273" t="str">
        <f t="shared" si="115"/>
        <v>Valid</v>
      </c>
      <c r="T1273" t="str">
        <f t="shared" si="116"/>
        <v>Valid</v>
      </c>
      <c r="U1273" t="str">
        <f t="shared" si="117"/>
        <v>Valid</v>
      </c>
      <c r="V1273" t="str">
        <f t="shared" si="118"/>
        <v>Valid</v>
      </c>
      <c r="W1273" t="str">
        <f t="shared" si="119"/>
        <v>Valid</v>
      </c>
    </row>
    <row r="1274" spans="1:23">
      <c r="A1274" t="s">
        <v>1305</v>
      </c>
      <c r="B1274" s="2">
        <v>45786</v>
      </c>
      <c r="C1274" t="s">
        <v>723</v>
      </c>
      <c r="D1274" t="s">
        <v>23</v>
      </c>
      <c r="E1274" t="s">
        <v>24</v>
      </c>
      <c r="F1274" t="s">
        <v>41</v>
      </c>
      <c r="G1274" t="s">
        <v>26</v>
      </c>
      <c r="H1274">
        <v>1</v>
      </c>
      <c r="I1274">
        <v>1</v>
      </c>
      <c r="J1274">
        <v>1</v>
      </c>
      <c r="K1274">
        <v>0</v>
      </c>
      <c r="L1274">
        <v>0</v>
      </c>
      <c r="M1274">
        <v>3</v>
      </c>
      <c r="N1274">
        <v>0</v>
      </c>
      <c r="P1274">
        <v>69.7</v>
      </c>
      <c r="R1274" t="str">
        <f t="shared" si="114"/>
        <v>Unique</v>
      </c>
      <c r="S1274" t="str">
        <f t="shared" si="115"/>
        <v>Valid</v>
      </c>
      <c r="T1274" t="str">
        <f t="shared" si="116"/>
        <v>Valid</v>
      </c>
      <c r="U1274" t="str">
        <f t="shared" si="117"/>
        <v>Valid</v>
      </c>
      <c r="V1274" t="str">
        <f t="shared" si="118"/>
        <v>Valid</v>
      </c>
      <c r="W1274" t="str">
        <f t="shared" si="119"/>
        <v>Valid</v>
      </c>
    </row>
    <row r="1275" spans="1:23">
      <c r="A1275" t="s">
        <v>1306</v>
      </c>
      <c r="B1275" s="2">
        <v>45676</v>
      </c>
      <c r="C1275" t="s">
        <v>723</v>
      </c>
      <c r="D1275" t="s">
        <v>32</v>
      </c>
      <c r="E1275" t="s">
        <v>19</v>
      </c>
      <c r="F1275" t="s">
        <v>41</v>
      </c>
      <c r="G1275" t="s">
        <v>30</v>
      </c>
      <c r="H1275">
        <v>1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P1275">
        <v>81.8</v>
      </c>
      <c r="R1275" t="str">
        <f t="shared" si="114"/>
        <v>Unique</v>
      </c>
      <c r="S1275" t="str">
        <f t="shared" si="115"/>
        <v>Valid</v>
      </c>
      <c r="T1275" t="str">
        <f t="shared" si="116"/>
        <v>Valid</v>
      </c>
      <c r="U1275" t="str">
        <f t="shared" si="117"/>
        <v>Valid</v>
      </c>
      <c r="V1275" t="str">
        <f t="shared" si="118"/>
        <v>Valid</v>
      </c>
      <c r="W1275" t="str">
        <f t="shared" si="119"/>
        <v>Valid</v>
      </c>
    </row>
    <row r="1276" spans="1:23">
      <c r="A1276" t="s">
        <v>1307</v>
      </c>
      <c r="B1276" s="2">
        <v>45681</v>
      </c>
      <c r="C1276" t="s">
        <v>723</v>
      </c>
      <c r="D1276" t="s">
        <v>23</v>
      </c>
      <c r="E1276" t="s">
        <v>24</v>
      </c>
      <c r="F1276" t="s">
        <v>39</v>
      </c>
      <c r="G1276" t="s">
        <v>26</v>
      </c>
      <c r="H1276">
        <v>1</v>
      </c>
      <c r="I1276">
        <v>1</v>
      </c>
      <c r="J1276">
        <v>1</v>
      </c>
      <c r="K1276">
        <v>0</v>
      </c>
      <c r="L1276">
        <v>0</v>
      </c>
      <c r="M1276">
        <v>1</v>
      </c>
      <c r="N1276">
        <v>0</v>
      </c>
      <c r="P1276">
        <v>78.3</v>
      </c>
      <c r="R1276" t="str">
        <f t="shared" si="114"/>
        <v>Unique</v>
      </c>
      <c r="S1276" t="str">
        <f t="shared" si="115"/>
        <v>Valid</v>
      </c>
      <c r="T1276" t="str">
        <f t="shared" si="116"/>
        <v>Valid</v>
      </c>
      <c r="U1276" t="str">
        <f t="shared" si="117"/>
        <v>Valid</v>
      </c>
      <c r="V1276" t="str">
        <f t="shared" si="118"/>
        <v>Valid</v>
      </c>
      <c r="W1276" t="str">
        <f t="shared" si="119"/>
        <v>Valid</v>
      </c>
    </row>
    <row r="1277" spans="1:23">
      <c r="A1277" t="s">
        <v>1308</v>
      </c>
      <c r="B1277" s="2">
        <v>45719</v>
      </c>
      <c r="C1277" t="s">
        <v>723</v>
      </c>
      <c r="D1277" t="s">
        <v>28</v>
      </c>
      <c r="E1277" t="s">
        <v>24</v>
      </c>
      <c r="F1277" t="s">
        <v>39</v>
      </c>
      <c r="G1277" t="s">
        <v>26</v>
      </c>
      <c r="H1277">
        <v>1</v>
      </c>
      <c r="I1277">
        <v>1</v>
      </c>
      <c r="J1277">
        <v>0</v>
      </c>
      <c r="K1277">
        <v>0</v>
      </c>
      <c r="L1277">
        <v>0</v>
      </c>
      <c r="M1277">
        <v>0</v>
      </c>
      <c r="N1277">
        <v>0</v>
      </c>
      <c r="P1277">
        <v>79.400000000000006</v>
      </c>
      <c r="R1277" t="str">
        <f t="shared" si="114"/>
        <v>Unique</v>
      </c>
      <c r="S1277" t="str">
        <f t="shared" si="115"/>
        <v>Valid</v>
      </c>
      <c r="T1277" t="str">
        <f t="shared" si="116"/>
        <v>Valid</v>
      </c>
      <c r="U1277" t="str">
        <f t="shared" si="117"/>
        <v>Valid</v>
      </c>
      <c r="V1277" t="str">
        <f t="shared" si="118"/>
        <v>Valid</v>
      </c>
      <c r="W1277" t="str">
        <f t="shared" si="119"/>
        <v>Valid</v>
      </c>
    </row>
    <row r="1278" spans="1:23">
      <c r="A1278" t="s">
        <v>1309</v>
      </c>
      <c r="B1278" s="2">
        <v>45804</v>
      </c>
      <c r="C1278" t="s">
        <v>723</v>
      </c>
      <c r="D1278" t="s">
        <v>18</v>
      </c>
      <c r="E1278" t="s">
        <v>19</v>
      </c>
      <c r="F1278" t="s">
        <v>39</v>
      </c>
      <c r="G1278" t="s">
        <v>26</v>
      </c>
      <c r="H1278">
        <v>1</v>
      </c>
      <c r="I1278">
        <v>1</v>
      </c>
      <c r="J1278">
        <v>1</v>
      </c>
      <c r="K1278">
        <v>0</v>
      </c>
      <c r="L1278">
        <v>0</v>
      </c>
      <c r="M1278">
        <v>0</v>
      </c>
      <c r="N1278">
        <v>0</v>
      </c>
      <c r="P1278">
        <v>54.9</v>
      </c>
      <c r="R1278" t="str">
        <f t="shared" si="114"/>
        <v>Unique</v>
      </c>
      <c r="S1278" t="str">
        <f t="shared" si="115"/>
        <v>Valid</v>
      </c>
      <c r="T1278" t="str">
        <f t="shared" si="116"/>
        <v>Valid</v>
      </c>
      <c r="U1278" t="str">
        <f t="shared" si="117"/>
        <v>Valid</v>
      </c>
      <c r="V1278" t="str">
        <f t="shared" si="118"/>
        <v>Valid</v>
      </c>
      <c r="W1278" t="str">
        <f t="shared" si="119"/>
        <v>Valid</v>
      </c>
    </row>
    <row r="1279" spans="1:23">
      <c r="A1279" t="s">
        <v>1310</v>
      </c>
      <c r="B1279" s="2">
        <v>45770</v>
      </c>
      <c r="C1279" t="s">
        <v>723</v>
      </c>
      <c r="D1279" t="s">
        <v>23</v>
      </c>
      <c r="E1279" t="s">
        <v>19</v>
      </c>
      <c r="F1279" t="s">
        <v>25</v>
      </c>
      <c r="G1279" t="s">
        <v>21</v>
      </c>
      <c r="H1279">
        <v>1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P1279">
        <v>54.9</v>
      </c>
      <c r="R1279" t="str">
        <f t="shared" si="114"/>
        <v>Unique</v>
      </c>
      <c r="S1279" t="str">
        <f t="shared" si="115"/>
        <v>Valid</v>
      </c>
      <c r="T1279" t="str">
        <f t="shared" si="116"/>
        <v>Valid</v>
      </c>
      <c r="U1279" t="str">
        <f t="shared" si="117"/>
        <v>Valid</v>
      </c>
      <c r="V1279" t="str">
        <f t="shared" si="118"/>
        <v>Valid</v>
      </c>
      <c r="W1279" t="str">
        <f t="shared" si="119"/>
        <v>Valid</v>
      </c>
    </row>
    <row r="1280" spans="1:23">
      <c r="A1280" t="s">
        <v>1311</v>
      </c>
      <c r="B1280" s="2">
        <v>45698</v>
      </c>
      <c r="C1280" t="s">
        <v>723</v>
      </c>
      <c r="D1280" t="s">
        <v>28</v>
      </c>
      <c r="E1280" t="s">
        <v>19</v>
      </c>
      <c r="F1280" t="s">
        <v>41</v>
      </c>
      <c r="G1280" t="s">
        <v>26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P1280">
        <v>28.7</v>
      </c>
      <c r="R1280" t="str">
        <f t="shared" si="114"/>
        <v>Unique</v>
      </c>
      <c r="S1280" t="str">
        <f t="shared" si="115"/>
        <v>Valid</v>
      </c>
      <c r="T1280" t="str">
        <f t="shared" si="116"/>
        <v>Valid</v>
      </c>
      <c r="U1280" t="str">
        <f t="shared" si="117"/>
        <v>Valid</v>
      </c>
      <c r="V1280" t="str">
        <f t="shared" si="118"/>
        <v>Valid</v>
      </c>
      <c r="W1280" t="str">
        <f t="shared" si="119"/>
        <v>Valid</v>
      </c>
    </row>
    <row r="1281" spans="1:23">
      <c r="A1281" t="s">
        <v>1312</v>
      </c>
      <c r="B1281" s="2">
        <v>45699</v>
      </c>
      <c r="C1281" t="s">
        <v>723</v>
      </c>
      <c r="D1281" t="s">
        <v>18</v>
      </c>
      <c r="E1281" t="s">
        <v>24</v>
      </c>
      <c r="F1281" t="s">
        <v>25</v>
      </c>
      <c r="G1281" t="s">
        <v>26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P1281">
        <v>68.8</v>
      </c>
      <c r="R1281" t="str">
        <f t="shared" si="114"/>
        <v>Unique</v>
      </c>
      <c r="S1281" t="str">
        <f t="shared" si="115"/>
        <v>Valid</v>
      </c>
      <c r="T1281" t="str">
        <f t="shared" si="116"/>
        <v>Valid</v>
      </c>
      <c r="U1281" t="str">
        <f t="shared" si="117"/>
        <v>Valid</v>
      </c>
      <c r="V1281" t="str">
        <f t="shared" si="118"/>
        <v>Valid</v>
      </c>
      <c r="W1281" t="str">
        <f t="shared" si="119"/>
        <v>Valid</v>
      </c>
    </row>
    <row r="1282" spans="1:23">
      <c r="A1282" t="s">
        <v>1313</v>
      </c>
      <c r="B1282" s="2">
        <v>45678</v>
      </c>
      <c r="C1282" t="s">
        <v>723</v>
      </c>
      <c r="D1282" t="s">
        <v>28</v>
      </c>
      <c r="E1282" t="s">
        <v>19</v>
      </c>
      <c r="F1282" t="s">
        <v>29</v>
      </c>
      <c r="G1282" t="s">
        <v>26</v>
      </c>
      <c r="H1282">
        <v>1</v>
      </c>
      <c r="I1282">
        <v>1</v>
      </c>
      <c r="J1282">
        <v>1</v>
      </c>
      <c r="K1282">
        <v>0</v>
      </c>
      <c r="L1282">
        <v>0</v>
      </c>
      <c r="M1282">
        <v>0</v>
      </c>
      <c r="N1282">
        <v>0</v>
      </c>
      <c r="P1282">
        <v>43.5</v>
      </c>
      <c r="R1282" t="str">
        <f t="shared" si="114"/>
        <v>Unique</v>
      </c>
      <c r="S1282" t="str">
        <f t="shared" si="115"/>
        <v>Valid</v>
      </c>
      <c r="T1282" t="str">
        <f t="shared" si="116"/>
        <v>Valid</v>
      </c>
      <c r="U1282" t="str">
        <f t="shared" si="117"/>
        <v>Valid</v>
      </c>
      <c r="V1282" t="str">
        <f t="shared" si="118"/>
        <v>Valid</v>
      </c>
      <c r="W1282" t="str">
        <f t="shared" si="119"/>
        <v>Valid</v>
      </c>
    </row>
    <row r="1283" spans="1:23">
      <c r="A1283" t="s">
        <v>1314</v>
      </c>
      <c r="B1283" s="2">
        <v>45690</v>
      </c>
      <c r="C1283" t="s">
        <v>723</v>
      </c>
      <c r="D1283" t="s">
        <v>23</v>
      </c>
      <c r="E1283" t="s">
        <v>19</v>
      </c>
      <c r="F1283" t="s">
        <v>41</v>
      </c>
      <c r="G1283" t="s">
        <v>26</v>
      </c>
      <c r="H1283">
        <v>1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P1283">
        <v>62.6</v>
      </c>
      <c r="R1283" t="str">
        <f t="shared" ref="R1283:R1346" si="120">IF(COUNTIF($A:$A,A1283)&gt;1,"Duplicate","Unique")</f>
        <v>Unique</v>
      </c>
      <c r="S1283" t="str">
        <f t="shared" ref="S1283:S1346" si="121">IF(OR(H1283=0,H1283=1),"Valid","Invalid")</f>
        <v>Valid</v>
      </c>
      <c r="T1283" t="str">
        <f t="shared" ref="T1283:T1346" si="122">IF(OR(I1283=0,I1283=1),"Valid","Invalid")</f>
        <v>Valid</v>
      </c>
      <c r="U1283" t="str">
        <f t="shared" ref="U1283:U1346" si="123">IF(OR(J1283=0,J1283=1),"Valid","Invalid")</f>
        <v>Valid</v>
      </c>
      <c r="V1283" t="str">
        <f t="shared" ref="V1283:V1346" si="124">IF(OR(K1283=0,K1283=1),"Valid","Invalid")</f>
        <v>Valid</v>
      </c>
      <c r="W1283" t="str">
        <f t="shared" ref="W1283:W1346" si="125">IF(OR(N1283=0,N1283=1),"Valid","Invalid")</f>
        <v>Valid</v>
      </c>
    </row>
    <row r="1284" spans="1:23">
      <c r="A1284" t="s">
        <v>1315</v>
      </c>
      <c r="B1284" s="2">
        <v>45690</v>
      </c>
      <c r="C1284" t="s">
        <v>723</v>
      </c>
      <c r="D1284" t="s">
        <v>23</v>
      </c>
      <c r="E1284" t="s">
        <v>24</v>
      </c>
      <c r="F1284" t="s">
        <v>25</v>
      </c>
      <c r="G1284" t="s">
        <v>26</v>
      </c>
      <c r="H1284">
        <v>0</v>
      </c>
      <c r="I1284">
        <v>0</v>
      </c>
      <c r="J1284">
        <v>0</v>
      </c>
      <c r="K1284">
        <v>0</v>
      </c>
      <c r="L1284">
        <v>0</v>
      </c>
      <c r="M1284">
        <v>1</v>
      </c>
      <c r="N1284">
        <v>0</v>
      </c>
      <c r="P1284">
        <v>54.1</v>
      </c>
      <c r="R1284" t="str">
        <f t="shared" si="120"/>
        <v>Unique</v>
      </c>
      <c r="S1284" t="str">
        <f t="shared" si="121"/>
        <v>Valid</v>
      </c>
      <c r="T1284" t="str">
        <f t="shared" si="122"/>
        <v>Valid</v>
      </c>
      <c r="U1284" t="str">
        <f t="shared" si="123"/>
        <v>Valid</v>
      </c>
      <c r="V1284" t="str">
        <f t="shared" si="124"/>
        <v>Valid</v>
      </c>
      <c r="W1284" t="str">
        <f t="shared" si="125"/>
        <v>Valid</v>
      </c>
    </row>
    <row r="1285" spans="1:23">
      <c r="A1285" t="s">
        <v>1316</v>
      </c>
      <c r="B1285" s="2">
        <v>45714</v>
      </c>
      <c r="C1285" t="s">
        <v>723</v>
      </c>
      <c r="D1285" t="s">
        <v>23</v>
      </c>
      <c r="E1285" t="s">
        <v>34</v>
      </c>
      <c r="F1285" t="s">
        <v>41</v>
      </c>
      <c r="G1285" t="s">
        <v>26</v>
      </c>
      <c r="H1285">
        <v>1</v>
      </c>
      <c r="I1285">
        <v>1</v>
      </c>
      <c r="J1285">
        <v>1</v>
      </c>
      <c r="K1285">
        <v>0</v>
      </c>
      <c r="L1285">
        <v>0</v>
      </c>
      <c r="M1285">
        <v>0</v>
      </c>
      <c r="N1285">
        <v>0</v>
      </c>
      <c r="P1285">
        <v>80.099999999999994</v>
      </c>
      <c r="R1285" t="str">
        <f t="shared" si="120"/>
        <v>Unique</v>
      </c>
      <c r="S1285" t="str">
        <f t="shared" si="121"/>
        <v>Valid</v>
      </c>
      <c r="T1285" t="str">
        <f t="shared" si="122"/>
        <v>Valid</v>
      </c>
      <c r="U1285" t="str">
        <f t="shared" si="123"/>
        <v>Valid</v>
      </c>
      <c r="V1285" t="str">
        <f t="shared" si="124"/>
        <v>Valid</v>
      </c>
      <c r="W1285" t="str">
        <f t="shared" si="125"/>
        <v>Valid</v>
      </c>
    </row>
    <row r="1286" spans="1:23">
      <c r="A1286" t="s">
        <v>1317</v>
      </c>
      <c r="B1286" s="2">
        <v>45769</v>
      </c>
      <c r="C1286" t="s">
        <v>723</v>
      </c>
      <c r="D1286" t="s">
        <v>18</v>
      </c>
      <c r="E1286" t="s">
        <v>24</v>
      </c>
      <c r="F1286" t="s">
        <v>41</v>
      </c>
      <c r="G1286" t="s">
        <v>30</v>
      </c>
      <c r="H1286">
        <v>1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P1286">
        <v>69.5</v>
      </c>
      <c r="R1286" t="str">
        <f t="shared" si="120"/>
        <v>Unique</v>
      </c>
      <c r="S1286" t="str">
        <f t="shared" si="121"/>
        <v>Valid</v>
      </c>
      <c r="T1286" t="str">
        <f t="shared" si="122"/>
        <v>Valid</v>
      </c>
      <c r="U1286" t="str">
        <f t="shared" si="123"/>
        <v>Valid</v>
      </c>
      <c r="V1286" t="str">
        <f t="shared" si="124"/>
        <v>Valid</v>
      </c>
      <c r="W1286" t="str">
        <f t="shared" si="125"/>
        <v>Valid</v>
      </c>
    </row>
    <row r="1287" spans="1:23">
      <c r="A1287" t="s">
        <v>1318</v>
      </c>
      <c r="B1287" s="2">
        <v>45727</v>
      </c>
      <c r="C1287" t="s">
        <v>723</v>
      </c>
      <c r="D1287" t="s">
        <v>18</v>
      </c>
      <c r="E1287" t="s">
        <v>19</v>
      </c>
      <c r="F1287" t="s">
        <v>25</v>
      </c>
      <c r="G1287" t="s">
        <v>21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2</v>
      </c>
      <c r="N1287">
        <v>0</v>
      </c>
      <c r="P1287">
        <v>46.6</v>
      </c>
      <c r="R1287" t="str">
        <f t="shared" si="120"/>
        <v>Unique</v>
      </c>
      <c r="S1287" t="str">
        <f t="shared" si="121"/>
        <v>Valid</v>
      </c>
      <c r="T1287" t="str">
        <f t="shared" si="122"/>
        <v>Valid</v>
      </c>
      <c r="U1287" t="str">
        <f t="shared" si="123"/>
        <v>Valid</v>
      </c>
      <c r="V1287" t="str">
        <f t="shared" si="124"/>
        <v>Valid</v>
      </c>
      <c r="W1287" t="str">
        <f t="shared" si="125"/>
        <v>Valid</v>
      </c>
    </row>
    <row r="1288" spans="1:23">
      <c r="A1288" t="s">
        <v>1319</v>
      </c>
      <c r="B1288" s="2">
        <v>45785</v>
      </c>
      <c r="C1288" t="s">
        <v>723</v>
      </c>
      <c r="D1288" t="s">
        <v>32</v>
      </c>
      <c r="E1288" t="s">
        <v>24</v>
      </c>
      <c r="F1288" t="s">
        <v>25</v>
      </c>
      <c r="G1288" t="s">
        <v>30</v>
      </c>
      <c r="H1288">
        <v>1</v>
      </c>
      <c r="I1288">
        <v>0</v>
      </c>
      <c r="J1288">
        <v>0</v>
      </c>
      <c r="K1288">
        <v>0</v>
      </c>
      <c r="L1288">
        <v>0</v>
      </c>
      <c r="M1288">
        <v>1</v>
      </c>
      <c r="N1288">
        <v>0</v>
      </c>
      <c r="P1288">
        <v>54.9</v>
      </c>
      <c r="R1288" t="str">
        <f t="shared" si="120"/>
        <v>Unique</v>
      </c>
      <c r="S1288" t="str">
        <f t="shared" si="121"/>
        <v>Valid</v>
      </c>
      <c r="T1288" t="str">
        <f t="shared" si="122"/>
        <v>Valid</v>
      </c>
      <c r="U1288" t="str">
        <f t="shared" si="123"/>
        <v>Valid</v>
      </c>
      <c r="V1288" t="str">
        <f t="shared" si="124"/>
        <v>Valid</v>
      </c>
      <c r="W1288" t="str">
        <f t="shared" si="125"/>
        <v>Valid</v>
      </c>
    </row>
    <row r="1289" spans="1:23">
      <c r="A1289" t="s">
        <v>1320</v>
      </c>
      <c r="B1289" s="2">
        <v>45726</v>
      </c>
      <c r="C1289" t="s">
        <v>723</v>
      </c>
      <c r="D1289" t="s">
        <v>28</v>
      </c>
      <c r="E1289" t="s">
        <v>19</v>
      </c>
      <c r="F1289" t="s">
        <v>25</v>
      </c>
      <c r="G1289" t="s">
        <v>26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P1289">
        <v>100</v>
      </c>
      <c r="R1289" t="str">
        <f t="shared" si="120"/>
        <v>Unique</v>
      </c>
      <c r="S1289" t="str">
        <f t="shared" si="121"/>
        <v>Valid</v>
      </c>
      <c r="T1289" t="str">
        <f t="shared" si="122"/>
        <v>Valid</v>
      </c>
      <c r="U1289" t="str">
        <f t="shared" si="123"/>
        <v>Valid</v>
      </c>
      <c r="V1289" t="str">
        <f t="shared" si="124"/>
        <v>Valid</v>
      </c>
      <c r="W1289" t="str">
        <f t="shared" si="125"/>
        <v>Valid</v>
      </c>
    </row>
    <row r="1290" spans="1:23">
      <c r="A1290" t="s">
        <v>1321</v>
      </c>
      <c r="B1290" s="2">
        <v>45763</v>
      </c>
      <c r="C1290" t="s">
        <v>723</v>
      </c>
      <c r="D1290" t="s">
        <v>28</v>
      </c>
      <c r="E1290" t="s">
        <v>19</v>
      </c>
      <c r="F1290" t="s">
        <v>29</v>
      </c>
      <c r="G1290" t="s">
        <v>26</v>
      </c>
      <c r="H1290">
        <v>1</v>
      </c>
      <c r="I1290">
        <v>1</v>
      </c>
      <c r="J1290">
        <v>1</v>
      </c>
      <c r="K1290">
        <v>0</v>
      </c>
      <c r="L1290">
        <v>0</v>
      </c>
      <c r="M1290">
        <v>1</v>
      </c>
      <c r="N1290">
        <v>0</v>
      </c>
      <c r="P1290">
        <v>80.5</v>
      </c>
      <c r="R1290" t="str">
        <f t="shared" si="120"/>
        <v>Unique</v>
      </c>
      <c r="S1290" t="str">
        <f t="shared" si="121"/>
        <v>Valid</v>
      </c>
      <c r="T1290" t="str">
        <f t="shared" si="122"/>
        <v>Valid</v>
      </c>
      <c r="U1290" t="str">
        <f t="shared" si="123"/>
        <v>Valid</v>
      </c>
      <c r="V1290" t="str">
        <f t="shared" si="124"/>
        <v>Valid</v>
      </c>
      <c r="W1290" t="str">
        <f t="shared" si="125"/>
        <v>Valid</v>
      </c>
    </row>
    <row r="1291" spans="1:23">
      <c r="A1291" t="s">
        <v>1322</v>
      </c>
      <c r="B1291" s="2">
        <v>45717</v>
      </c>
      <c r="C1291" t="s">
        <v>723</v>
      </c>
      <c r="D1291" t="s">
        <v>23</v>
      </c>
      <c r="E1291" t="s">
        <v>34</v>
      </c>
      <c r="F1291" t="s">
        <v>25</v>
      </c>
      <c r="G1291" t="s">
        <v>21</v>
      </c>
      <c r="H1291">
        <v>1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P1291">
        <v>51.2</v>
      </c>
      <c r="R1291" t="str">
        <f t="shared" si="120"/>
        <v>Unique</v>
      </c>
      <c r="S1291" t="str">
        <f t="shared" si="121"/>
        <v>Valid</v>
      </c>
      <c r="T1291" t="str">
        <f t="shared" si="122"/>
        <v>Valid</v>
      </c>
      <c r="U1291" t="str">
        <f t="shared" si="123"/>
        <v>Valid</v>
      </c>
      <c r="V1291" t="str">
        <f t="shared" si="124"/>
        <v>Valid</v>
      </c>
      <c r="W1291" t="str">
        <f t="shared" si="125"/>
        <v>Valid</v>
      </c>
    </row>
    <row r="1292" spans="1:23">
      <c r="A1292" t="s">
        <v>1323</v>
      </c>
      <c r="B1292" s="2">
        <v>45675</v>
      </c>
      <c r="C1292" t="s">
        <v>723</v>
      </c>
      <c r="D1292" t="s">
        <v>32</v>
      </c>
      <c r="E1292" t="s">
        <v>19</v>
      </c>
      <c r="F1292" t="s">
        <v>25</v>
      </c>
      <c r="G1292" t="s">
        <v>30</v>
      </c>
      <c r="H1292">
        <v>1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P1292">
        <v>42.5</v>
      </c>
      <c r="R1292" t="str">
        <f t="shared" si="120"/>
        <v>Unique</v>
      </c>
      <c r="S1292" t="str">
        <f t="shared" si="121"/>
        <v>Valid</v>
      </c>
      <c r="T1292" t="str">
        <f t="shared" si="122"/>
        <v>Valid</v>
      </c>
      <c r="U1292" t="str">
        <f t="shared" si="123"/>
        <v>Valid</v>
      </c>
      <c r="V1292" t="str">
        <f t="shared" si="124"/>
        <v>Valid</v>
      </c>
      <c r="W1292" t="str">
        <f t="shared" si="125"/>
        <v>Valid</v>
      </c>
    </row>
    <row r="1293" spans="1:23">
      <c r="A1293" t="s">
        <v>1324</v>
      </c>
      <c r="B1293" s="2">
        <v>45746</v>
      </c>
      <c r="C1293" t="s">
        <v>723</v>
      </c>
      <c r="D1293" t="s">
        <v>18</v>
      </c>
      <c r="E1293" t="s">
        <v>24</v>
      </c>
      <c r="F1293" t="s">
        <v>29</v>
      </c>
      <c r="G1293" t="s">
        <v>26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P1293">
        <v>72.5</v>
      </c>
      <c r="R1293" t="str">
        <f t="shared" si="120"/>
        <v>Unique</v>
      </c>
      <c r="S1293" t="str">
        <f t="shared" si="121"/>
        <v>Valid</v>
      </c>
      <c r="T1293" t="str">
        <f t="shared" si="122"/>
        <v>Valid</v>
      </c>
      <c r="U1293" t="str">
        <f t="shared" si="123"/>
        <v>Valid</v>
      </c>
      <c r="V1293" t="str">
        <f t="shared" si="124"/>
        <v>Valid</v>
      </c>
      <c r="W1293" t="str">
        <f t="shared" si="125"/>
        <v>Valid</v>
      </c>
    </row>
    <row r="1294" spans="1:23">
      <c r="A1294" t="s">
        <v>1325</v>
      </c>
      <c r="B1294" s="2">
        <v>45803</v>
      </c>
      <c r="C1294" t="s">
        <v>723</v>
      </c>
      <c r="D1294" t="s">
        <v>23</v>
      </c>
      <c r="E1294" t="s">
        <v>24</v>
      </c>
      <c r="F1294" t="s">
        <v>41</v>
      </c>
      <c r="G1294" t="s">
        <v>30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P1294">
        <v>74.400000000000006</v>
      </c>
      <c r="R1294" t="str">
        <f t="shared" si="120"/>
        <v>Unique</v>
      </c>
      <c r="S1294" t="str">
        <f t="shared" si="121"/>
        <v>Valid</v>
      </c>
      <c r="T1294" t="str">
        <f t="shared" si="122"/>
        <v>Valid</v>
      </c>
      <c r="U1294" t="str">
        <f t="shared" si="123"/>
        <v>Valid</v>
      </c>
      <c r="V1294" t="str">
        <f t="shared" si="124"/>
        <v>Valid</v>
      </c>
      <c r="W1294" t="str">
        <f t="shared" si="125"/>
        <v>Valid</v>
      </c>
    </row>
    <row r="1295" spans="1:23">
      <c r="A1295" t="s">
        <v>1326</v>
      </c>
      <c r="B1295" s="2">
        <v>45735</v>
      </c>
      <c r="C1295" t="s">
        <v>723</v>
      </c>
      <c r="D1295" t="s">
        <v>28</v>
      </c>
      <c r="E1295" t="s">
        <v>19</v>
      </c>
      <c r="F1295" t="s">
        <v>41</v>
      </c>
      <c r="G1295" t="s">
        <v>26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P1295">
        <v>78.400000000000006</v>
      </c>
      <c r="R1295" t="str">
        <f t="shared" si="120"/>
        <v>Unique</v>
      </c>
      <c r="S1295" t="str">
        <f t="shared" si="121"/>
        <v>Valid</v>
      </c>
      <c r="T1295" t="str">
        <f t="shared" si="122"/>
        <v>Valid</v>
      </c>
      <c r="U1295" t="str">
        <f t="shared" si="123"/>
        <v>Valid</v>
      </c>
      <c r="V1295" t="str">
        <f t="shared" si="124"/>
        <v>Valid</v>
      </c>
      <c r="W1295" t="str">
        <f t="shared" si="125"/>
        <v>Valid</v>
      </c>
    </row>
    <row r="1296" spans="1:23">
      <c r="A1296" t="s">
        <v>1327</v>
      </c>
      <c r="B1296" s="2">
        <v>45744</v>
      </c>
      <c r="C1296" t="s">
        <v>723</v>
      </c>
      <c r="D1296" t="s">
        <v>18</v>
      </c>
      <c r="E1296" t="s">
        <v>19</v>
      </c>
      <c r="F1296" t="s">
        <v>39</v>
      </c>
      <c r="G1296" t="s">
        <v>26</v>
      </c>
      <c r="H1296">
        <v>1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P1296">
        <v>71.5</v>
      </c>
      <c r="R1296" t="str">
        <f t="shared" si="120"/>
        <v>Unique</v>
      </c>
      <c r="S1296" t="str">
        <f t="shared" si="121"/>
        <v>Valid</v>
      </c>
      <c r="T1296" t="str">
        <f t="shared" si="122"/>
        <v>Valid</v>
      </c>
      <c r="U1296" t="str">
        <f t="shared" si="123"/>
        <v>Valid</v>
      </c>
      <c r="V1296" t="str">
        <f t="shared" si="124"/>
        <v>Valid</v>
      </c>
      <c r="W1296" t="str">
        <f t="shared" si="125"/>
        <v>Valid</v>
      </c>
    </row>
    <row r="1297" spans="1:23">
      <c r="A1297" t="s">
        <v>1328</v>
      </c>
      <c r="B1297" s="2">
        <v>45805</v>
      </c>
      <c r="C1297" t="s">
        <v>723</v>
      </c>
      <c r="D1297" t="s">
        <v>32</v>
      </c>
      <c r="E1297" t="s">
        <v>19</v>
      </c>
      <c r="F1297" t="s">
        <v>41</v>
      </c>
      <c r="G1297" t="s">
        <v>26</v>
      </c>
      <c r="H1297">
        <v>1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P1297">
        <v>66.7</v>
      </c>
      <c r="R1297" t="str">
        <f t="shared" si="120"/>
        <v>Unique</v>
      </c>
      <c r="S1297" t="str">
        <f t="shared" si="121"/>
        <v>Valid</v>
      </c>
      <c r="T1297" t="str">
        <f t="shared" si="122"/>
        <v>Valid</v>
      </c>
      <c r="U1297" t="str">
        <f t="shared" si="123"/>
        <v>Valid</v>
      </c>
      <c r="V1297" t="str">
        <f t="shared" si="124"/>
        <v>Valid</v>
      </c>
      <c r="W1297" t="str">
        <f t="shared" si="125"/>
        <v>Valid</v>
      </c>
    </row>
    <row r="1298" spans="1:23">
      <c r="A1298" t="s">
        <v>1329</v>
      </c>
      <c r="B1298" s="2">
        <v>45808</v>
      </c>
      <c r="C1298" t="s">
        <v>723</v>
      </c>
      <c r="D1298" t="s">
        <v>32</v>
      </c>
      <c r="E1298" t="s">
        <v>19</v>
      </c>
      <c r="F1298" t="s">
        <v>39</v>
      </c>
      <c r="G1298" t="s">
        <v>30</v>
      </c>
      <c r="H1298">
        <v>1</v>
      </c>
      <c r="I1298">
        <v>1</v>
      </c>
      <c r="J1298">
        <v>1</v>
      </c>
      <c r="K1298">
        <v>1</v>
      </c>
      <c r="L1298">
        <v>1496.09</v>
      </c>
      <c r="M1298">
        <v>0</v>
      </c>
      <c r="N1298">
        <v>0</v>
      </c>
      <c r="O1298">
        <v>7</v>
      </c>
      <c r="P1298">
        <v>60.4</v>
      </c>
      <c r="R1298" t="str">
        <f t="shared" si="120"/>
        <v>Unique</v>
      </c>
      <c r="S1298" t="str">
        <f t="shared" si="121"/>
        <v>Valid</v>
      </c>
      <c r="T1298" t="str">
        <f t="shared" si="122"/>
        <v>Valid</v>
      </c>
      <c r="U1298" t="str">
        <f t="shared" si="123"/>
        <v>Valid</v>
      </c>
      <c r="V1298" t="str">
        <f t="shared" si="124"/>
        <v>Valid</v>
      </c>
      <c r="W1298" t="str">
        <f t="shared" si="125"/>
        <v>Valid</v>
      </c>
    </row>
    <row r="1299" spans="1:23">
      <c r="A1299" t="s">
        <v>1330</v>
      </c>
      <c r="B1299" s="2">
        <v>45787</v>
      </c>
      <c r="C1299" t="s">
        <v>723</v>
      </c>
      <c r="D1299" t="s">
        <v>18</v>
      </c>
      <c r="E1299" t="s">
        <v>24</v>
      </c>
      <c r="F1299" t="s">
        <v>39</v>
      </c>
      <c r="G1299" t="s">
        <v>26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1</v>
      </c>
      <c r="N1299">
        <v>0</v>
      </c>
      <c r="P1299">
        <v>72.900000000000006</v>
      </c>
      <c r="R1299" t="str">
        <f t="shared" si="120"/>
        <v>Unique</v>
      </c>
      <c r="S1299" t="str">
        <f t="shared" si="121"/>
        <v>Valid</v>
      </c>
      <c r="T1299" t="str">
        <f t="shared" si="122"/>
        <v>Valid</v>
      </c>
      <c r="U1299" t="str">
        <f t="shared" si="123"/>
        <v>Valid</v>
      </c>
      <c r="V1299" t="str">
        <f t="shared" si="124"/>
        <v>Valid</v>
      </c>
      <c r="W1299" t="str">
        <f t="shared" si="125"/>
        <v>Valid</v>
      </c>
    </row>
    <row r="1300" spans="1:23">
      <c r="A1300" t="s">
        <v>1331</v>
      </c>
      <c r="B1300" s="2">
        <v>45794</v>
      </c>
      <c r="C1300" t="s">
        <v>723</v>
      </c>
      <c r="D1300" t="s">
        <v>23</v>
      </c>
      <c r="E1300" t="s">
        <v>24</v>
      </c>
      <c r="F1300" t="s">
        <v>25</v>
      </c>
      <c r="G1300" t="s">
        <v>26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3</v>
      </c>
      <c r="N1300">
        <v>0</v>
      </c>
      <c r="P1300">
        <v>60.02</v>
      </c>
      <c r="R1300" t="str">
        <f t="shared" si="120"/>
        <v>Unique</v>
      </c>
      <c r="S1300" t="str">
        <f t="shared" si="121"/>
        <v>Valid</v>
      </c>
      <c r="T1300" t="str">
        <f t="shared" si="122"/>
        <v>Valid</v>
      </c>
      <c r="U1300" t="str">
        <f t="shared" si="123"/>
        <v>Valid</v>
      </c>
      <c r="V1300" t="str">
        <f t="shared" si="124"/>
        <v>Valid</v>
      </c>
      <c r="W1300" t="str">
        <f t="shared" si="125"/>
        <v>Valid</v>
      </c>
    </row>
    <row r="1301" spans="1:23">
      <c r="A1301" t="s">
        <v>1332</v>
      </c>
      <c r="B1301" s="2">
        <v>45675</v>
      </c>
      <c r="C1301" t="s">
        <v>723</v>
      </c>
      <c r="D1301" t="s">
        <v>32</v>
      </c>
      <c r="E1301" t="s">
        <v>24</v>
      </c>
      <c r="F1301" t="s">
        <v>25</v>
      </c>
      <c r="G1301" t="s">
        <v>30</v>
      </c>
      <c r="H1301">
        <v>1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P1301">
        <v>55.2</v>
      </c>
      <c r="R1301" t="str">
        <f t="shared" si="120"/>
        <v>Unique</v>
      </c>
      <c r="S1301" t="str">
        <f t="shared" si="121"/>
        <v>Valid</v>
      </c>
      <c r="T1301" t="str">
        <f t="shared" si="122"/>
        <v>Valid</v>
      </c>
      <c r="U1301" t="str">
        <f t="shared" si="123"/>
        <v>Valid</v>
      </c>
      <c r="V1301" t="str">
        <f t="shared" si="124"/>
        <v>Valid</v>
      </c>
      <c r="W1301" t="str">
        <f t="shared" si="125"/>
        <v>Valid</v>
      </c>
    </row>
    <row r="1302" spans="1:23">
      <c r="A1302" t="s">
        <v>1333</v>
      </c>
      <c r="B1302" s="2">
        <v>45781</v>
      </c>
      <c r="C1302" t="s">
        <v>723</v>
      </c>
      <c r="D1302" t="s">
        <v>23</v>
      </c>
      <c r="E1302" t="s">
        <v>24</v>
      </c>
      <c r="F1302" t="s">
        <v>41</v>
      </c>
      <c r="G1302" t="s">
        <v>26</v>
      </c>
      <c r="H1302">
        <v>1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P1302">
        <v>67.8</v>
      </c>
      <c r="R1302" t="str">
        <f t="shared" si="120"/>
        <v>Unique</v>
      </c>
      <c r="S1302" t="str">
        <f t="shared" si="121"/>
        <v>Valid</v>
      </c>
      <c r="T1302" t="str">
        <f t="shared" si="122"/>
        <v>Valid</v>
      </c>
      <c r="U1302" t="str">
        <f t="shared" si="123"/>
        <v>Valid</v>
      </c>
      <c r="V1302" t="str">
        <f t="shared" si="124"/>
        <v>Valid</v>
      </c>
      <c r="W1302" t="str">
        <f t="shared" si="125"/>
        <v>Valid</v>
      </c>
    </row>
    <row r="1303" spans="1:23">
      <c r="A1303" t="s">
        <v>1334</v>
      </c>
      <c r="B1303" s="2">
        <v>45741</v>
      </c>
      <c r="C1303" t="s">
        <v>723</v>
      </c>
      <c r="D1303" t="s">
        <v>18</v>
      </c>
      <c r="E1303" t="s">
        <v>24</v>
      </c>
      <c r="F1303" t="s">
        <v>25</v>
      </c>
      <c r="G1303" t="s">
        <v>26</v>
      </c>
      <c r="H1303">
        <v>1</v>
      </c>
      <c r="I1303">
        <v>0</v>
      </c>
      <c r="J1303">
        <v>0</v>
      </c>
      <c r="K1303">
        <v>0</v>
      </c>
      <c r="L1303">
        <v>0</v>
      </c>
      <c r="M1303">
        <v>2</v>
      </c>
      <c r="N1303">
        <v>0</v>
      </c>
      <c r="P1303">
        <v>70</v>
      </c>
      <c r="R1303" t="str">
        <f t="shared" si="120"/>
        <v>Unique</v>
      </c>
      <c r="S1303" t="str">
        <f t="shared" si="121"/>
        <v>Valid</v>
      </c>
      <c r="T1303" t="str">
        <f t="shared" si="122"/>
        <v>Valid</v>
      </c>
      <c r="U1303" t="str">
        <f t="shared" si="123"/>
        <v>Valid</v>
      </c>
      <c r="V1303" t="str">
        <f t="shared" si="124"/>
        <v>Valid</v>
      </c>
      <c r="W1303" t="str">
        <f t="shared" si="125"/>
        <v>Valid</v>
      </c>
    </row>
    <row r="1304" spans="1:23">
      <c r="A1304" t="s">
        <v>1335</v>
      </c>
      <c r="B1304" s="2">
        <v>45715</v>
      </c>
      <c r="C1304" t="s">
        <v>723</v>
      </c>
      <c r="D1304" t="s">
        <v>18</v>
      </c>
      <c r="E1304" t="s">
        <v>24</v>
      </c>
      <c r="F1304" t="s">
        <v>41</v>
      </c>
      <c r="G1304" t="s">
        <v>21</v>
      </c>
      <c r="H1304">
        <v>1</v>
      </c>
      <c r="I1304">
        <v>1</v>
      </c>
      <c r="J1304">
        <v>1</v>
      </c>
      <c r="K1304">
        <v>0</v>
      </c>
      <c r="L1304">
        <v>0</v>
      </c>
      <c r="M1304">
        <v>0</v>
      </c>
      <c r="N1304">
        <v>0</v>
      </c>
      <c r="P1304">
        <v>51.1</v>
      </c>
      <c r="R1304" t="str">
        <f t="shared" si="120"/>
        <v>Unique</v>
      </c>
      <c r="S1304" t="str">
        <f t="shared" si="121"/>
        <v>Valid</v>
      </c>
      <c r="T1304" t="str">
        <f t="shared" si="122"/>
        <v>Valid</v>
      </c>
      <c r="U1304" t="str">
        <f t="shared" si="123"/>
        <v>Valid</v>
      </c>
      <c r="V1304" t="str">
        <f t="shared" si="124"/>
        <v>Valid</v>
      </c>
      <c r="W1304" t="str">
        <f t="shared" si="125"/>
        <v>Valid</v>
      </c>
    </row>
    <row r="1305" spans="1:23">
      <c r="A1305" t="s">
        <v>1336</v>
      </c>
      <c r="B1305" s="2">
        <v>45671</v>
      </c>
      <c r="C1305" t="s">
        <v>723</v>
      </c>
      <c r="D1305" t="s">
        <v>23</v>
      </c>
      <c r="E1305" t="s">
        <v>24</v>
      </c>
      <c r="F1305" t="s">
        <v>29</v>
      </c>
      <c r="G1305" t="s">
        <v>21</v>
      </c>
      <c r="H1305">
        <v>1</v>
      </c>
      <c r="I1305">
        <v>1</v>
      </c>
      <c r="J1305">
        <v>1</v>
      </c>
      <c r="K1305">
        <v>0</v>
      </c>
      <c r="L1305">
        <v>0</v>
      </c>
      <c r="M1305">
        <v>0</v>
      </c>
      <c r="N1305">
        <v>0</v>
      </c>
      <c r="P1305">
        <v>57</v>
      </c>
      <c r="R1305" t="str">
        <f t="shared" si="120"/>
        <v>Unique</v>
      </c>
      <c r="S1305" t="str">
        <f t="shared" si="121"/>
        <v>Valid</v>
      </c>
      <c r="T1305" t="str">
        <f t="shared" si="122"/>
        <v>Valid</v>
      </c>
      <c r="U1305" t="str">
        <f t="shared" si="123"/>
        <v>Valid</v>
      </c>
      <c r="V1305" t="str">
        <f t="shared" si="124"/>
        <v>Valid</v>
      </c>
      <c r="W1305" t="str">
        <f t="shared" si="125"/>
        <v>Valid</v>
      </c>
    </row>
    <row r="1306" spans="1:23">
      <c r="A1306" t="s">
        <v>1337</v>
      </c>
      <c r="B1306" s="2">
        <v>45758</v>
      </c>
      <c r="C1306" t="s">
        <v>723</v>
      </c>
      <c r="D1306" t="s">
        <v>28</v>
      </c>
      <c r="E1306" t="s">
        <v>24</v>
      </c>
      <c r="F1306" t="s">
        <v>41</v>
      </c>
      <c r="G1306" t="s">
        <v>26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1</v>
      </c>
      <c r="N1306">
        <v>0</v>
      </c>
      <c r="P1306">
        <v>47.1</v>
      </c>
      <c r="R1306" t="str">
        <f t="shared" si="120"/>
        <v>Unique</v>
      </c>
      <c r="S1306" t="str">
        <f t="shared" si="121"/>
        <v>Valid</v>
      </c>
      <c r="T1306" t="str">
        <f t="shared" si="122"/>
        <v>Valid</v>
      </c>
      <c r="U1306" t="str">
        <f t="shared" si="123"/>
        <v>Valid</v>
      </c>
      <c r="V1306" t="str">
        <f t="shared" si="124"/>
        <v>Valid</v>
      </c>
      <c r="W1306" t="str">
        <f t="shared" si="125"/>
        <v>Valid</v>
      </c>
    </row>
    <row r="1307" spans="1:23">
      <c r="A1307" t="s">
        <v>1338</v>
      </c>
      <c r="B1307" s="2">
        <v>45742</v>
      </c>
      <c r="C1307" t="s">
        <v>723</v>
      </c>
      <c r="D1307" t="s">
        <v>28</v>
      </c>
      <c r="E1307" t="s">
        <v>19</v>
      </c>
      <c r="F1307" t="s">
        <v>41</v>
      </c>
      <c r="G1307" t="s">
        <v>21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P1307">
        <v>30.7</v>
      </c>
      <c r="R1307" t="str">
        <f t="shared" si="120"/>
        <v>Unique</v>
      </c>
      <c r="S1307" t="str">
        <f t="shared" si="121"/>
        <v>Valid</v>
      </c>
      <c r="T1307" t="str">
        <f t="shared" si="122"/>
        <v>Valid</v>
      </c>
      <c r="U1307" t="str">
        <f t="shared" si="123"/>
        <v>Valid</v>
      </c>
      <c r="V1307" t="str">
        <f t="shared" si="124"/>
        <v>Valid</v>
      </c>
      <c r="W1307" t="str">
        <f t="shared" si="125"/>
        <v>Valid</v>
      </c>
    </row>
    <row r="1308" spans="1:23">
      <c r="A1308" t="s">
        <v>1339</v>
      </c>
      <c r="B1308" s="2">
        <v>45700</v>
      </c>
      <c r="C1308" t="s">
        <v>723</v>
      </c>
      <c r="D1308" t="s">
        <v>23</v>
      </c>
      <c r="E1308" t="s">
        <v>19</v>
      </c>
      <c r="F1308" t="s">
        <v>41</v>
      </c>
      <c r="G1308" t="s">
        <v>26</v>
      </c>
      <c r="H1308">
        <v>1</v>
      </c>
      <c r="I1308">
        <v>0</v>
      </c>
      <c r="J1308">
        <v>0</v>
      </c>
      <c r="K1308">
        <v>0</v>
      </c>
      <c r="L1308">
        <v>0</v>
      </c>
      <c r="M1308">
        <v>0</v>
      </c>
      <c r="N1308">
        <v>0</v>
      </c>
      <c r="P1308">
        <v>57.3</v>
      </c>
      <c r="R1308" t="str">
        <f t="shared" si="120"/>
        <v>Unique</v>
      </c>
      <c r="S1308" t="str">
        <f t="shared" si="121"/>
        <v>Valid</v>
      </c>
      <c r="T1308" t="str">
        <f t="shared" si="122"/>
        <v>Valid</v>
      </c>
      <c r="U1308" t="str">
        <f t="shared" si="123"/>
        <v>Valid</v>
      </c>
      <c r="V1308" t="str">
        <f t="shared" si="124"/>
        <v>Valid</v>
      </c>
      <c r="W1308" t="str">
        <f t="shared" si="125"/>
        <v>Valid</v>
      </c>
    </row>
    <row r="1309" spans="1:23">
      <c r="A1309" t="s">
        <v>1340</v>
      </c>
      <c r="B1309" s="2">
        <v>45706</v>
      </c>
      <c r="C1309" t="s">
        <v>723</v>
      </c>
      <c r="D1309" t="s">
        <v>23</v>
      </c>
      <c r="E1309" t="s">
        <v>34</v>
      </c>
      <c r="F1309" t="s">
        <v>29</v>
      </c>
      <c r="G1309" t="s">
        <v>21</v>
      </c>
      <c r="H1309">
        <v>1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P1309">
        <v>70</v>
      </c>
      <c r="R1309" t="str">
        <f t="shared" si="120"/>
        <v>Unique</v>
      </c>
      <c r="S1309" t="str">
        <f t="shared" si="121"/>
        <v>Valid</v>
      </c>
      <c r="T1309" t="str">
        <f t="shared" si="122"/>
        <v>Valid</v>
      </c>
      <c r="U1309" t="str">
        <f t="shared" si="123"/>
        <v>Valid</v>
      </c>
      <c r="V1309" t="str">
        <f t="shared" si="124"/>
        <v>Valid</v>
      </c>
      <c r="W1309" t="str">
        <f t="shared" si="125"/>
        <v>Valid</v>
      </c>
    </row>
    <row r="1310" spans="1:23">
      <c r="A1310" t="s">
        <v>1341</v>
      </c>
      <c r="B1310" s="2">
        <v>45802</v>
      </c>
      <c r="C1310" t="s">
        <v>723</v>
      </c>
      <c r="D1310" t="s">
        <v>28</v>
      </c>
      <c r="E1310" t="s">
        <v>19</v>
      </c>
      <c r="F1310" t="s">
        <v>41</v>
      </c>
      <c r="G1310" t="s">
        <v>26</v>
      </c>
      <c r="H1310">
        <v>1</v>
      </c>
      <c r="I1310">
        <v>1</v>
      </c>
      <c r="J1310">
        <v>1</v>
      </c>
      <c r="K1310">
        <v>0</v>
      </c>
      <c r="L1310">
        <v>0</v>
      </c>
      <c r="M1310">
        <v>0</v>
      </c>
      <c r="N1310">
        <v>0</v>
      </c>
      <c r="P1310">
        <v>59.7</v>
      </c>
      <c r="R1310" t="str">
        <f t="shared" si="120"/>
        <v>Unique</v>
      </c>
      <c r="S1310" t="str">
        <f t="shared" si="121"/>
        <v>Valid</v>
      </c>
      <c r="T1310" t="str">
        <f t="shared" si="122"/>
        <v>Valid</v>
      </c>
      <c r="U1310" t="str">
        <f t="shared" si="123"/>
        <v>Valid</v>
      </c>
      <c r="V1310" t="str">
        <f t="shared" si="124"/>
        <v>Valid</v>
      </c>
      <c r="W1310" t="str">
        <f t="shared" si="125"/>
        <v>Valid</v>
      </c>
    </row>
    <row r="1311" spans="1:23">
      <c r="A1311" t="s">
        <v>1342</v>
      </c>
      <c r="B1311" s="2">
        <v>45800</v>
      </c>
      <c r="C1311" t="s">
        <v>723</v>
      </c>
      <c r="D1311" t="s">
        <v>28</v>
      </c>
      <c r="E1311" t="s">
        <v>19</v>
      </c>
      <c r="F1311" t="s">
        <v>29</v>
      </c>
      <c r="G1311" t="s">
        <v>21</v>
      </c>
      <c r="H1311">
        <v>1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P1311">
        <v>68.8</v>
      </c>
      <c r="R1311" t="str">
        <f t="shared" si="120"/>
        <v>Unique</v>
      </c>
      <c r="S1311" t="str">
        <f t="shared" si="121"/>
        <v>Valid</v>
      </c>
      <c r="T1311" t="str">
        <f t="shared" si="122"/>
        <v>Valid</v>
      </c>
      <c r="U1311" t="str">
        <f t="shared" si="123"/>
        <v>Valid</v>
      </c>
      <c r="V1311" t="str">
        <f t="shared" si="124"/>
        <v>Valid</v>
      </c>
      <c r="W1311" t="str">
        <f t="shared" si="125"/>
        <v>Valid</v>
      </c>
    </row>
    <row r="1312" spans="1:23">
      <c r="A1312" t="s">
        <v>1343</v>
      </c>
      <c r="B1312" s="2">
        <v>45673</v>
      </c>
      <c r="C1312" t="s">
        <v>723</v>
      </c>
      <c r="D1312" t="s">
        <v>18</v>
      </c>
      <c r="E1312" t="s">
        <v>19</v>
      </c>
      <c r="F1312" t="s">
        <v>25</v>
      </c>
      <c r="G1312" t="s">
        <v>26</v>
      </c>
      <c r="H1312">
        <v>1</v>
      </c>
      <c r="I1312">
        <v>1</v>
      </c>
      <c r="J1312">
        <v>1</v>
      </c>
      <c r="K1312">
        <v>1</v>
      </c>
      <c r="L1312">
        <v>428.37</v>
      </c>
      <c r="M1312">
        <v>0</v>
      </c>
      <c r="N1312">
        <v>0</v>
      </c>
      <c r="O1312">
        <v>9</v>
      </c>
      <c r="P1312">
        <v>88.3</v>
      </c>
      <c r="R1312" t="str">
        <f t="shared" si="120"/>
        <v>Unique</v>
      </c>
      <c r="S1312" t="str">
        <f t="shared" si="121"/>
        <v>Valid</v>
      </c>
      <c r="T1312" t="str">
        <f t="shared" si="122"/>
        <v>Valid</v>
      </c>
      <c r="U1312" t="str">
        <f t="shared" si="123"/>
        <v>Valid</v>
      </c>
      <c r="V1312" t="str">
        <f t="shared" si="124"/>
        <v>Valid</v>
      </c>
      <c r="W1312" t="str">
        <f t="shared" si="125"/>
        <v>Valid</v>
      </c>
    </row>
    <row r="1313" spans="1:23">
      <c r="A1313" t="s">
        <v>1344</v>
      </c>
      <c r="B1313" s="2">
        <v>45676</v>
      </c>
      <c r="C1313" t="s">
        <v>723</v>
      </c>
      <c r="D1313" t="s">
        <v>23</v>
      </c>
      <c r="E1313" t="s">
        <v>19</v>
      </c>
      <c r="F1313" t="s">
        <v>20</v>
      </c>
      <c r="G1313" t="s">
        <v>21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P1313">
        <v>83.4</v>
      </c>
      <c r="R1313" t="str">
        <f t="shared" si="120"/>
        <v>Unique</v>
      </c>
      <c r="S1313" t="str">
        <f t="shared" si="121"/>
        <v>Valid</v>
      </c>
      <c r="T1313" t="str">
        <f t="shared" si="122"/>
        <v>Valid</v>
      </c>
      <c r="U1313" t="str">
        <f t="shared" si="123"/>
        <v>Valid</v>
      </c>
      <c r="V1313" t="str">
        <f t="shared" si="124"/>
        <v>Valid</v>
      </c>
      <c r="W1313" t="str">
        <f t="shared" si="125"/>
        <v>Valid</v>
      </c>
    </row>
    <row r="1314" spans="1:23">
      <c r="A1314" t="s">
        <v>1345</v>
      </c>
      <c r="B1314" s="2">
        <v>45795</v>
      </c>
      <c r="C1314" t="s">
        <v>723</v>
      </c>
      <c r="D1314" t="s">
        <v>32</v>
      </c>
      <c r="E1314" t="s">
        <v>24</v>
      </c>
      <c r="F1314" t="s">
        <v>39</v>
      </c>
      <c r="G1314" t="s">
        <v>26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1</v>
      </c>
      <c r="N1314">
        <v>0</v>
      </c>
      <c r="P1314">
        <v>81.599999999999994</v>
      </c>
      <c r="R1314" t="str">
        <f t="shared" si="120"/>
        <v>Unique</v>
      </c>
      <c r="S1314" t="str">
        <f t="shared" si="121"/>
        <v>Valid</v>
      </c>
      <c r="T1314" t="str">
        <f t="shared" si="122"/>
        <v>Valid</v>
      </c>
      <c r="U1314" t="str">
        <f t="shared" si="123"/>
        <v>Valid</v>
      </c>
      <c r="V1314" t="str">
        <f t="shared" si="124"/>
        <v>Valid</v>
      </c>
      <c r="W1314" t="str">
        <f t="shared" si="125"/>
        <v>Valid</v>
      </c>
    </row>
    <row r="1315" spans="1:23">
      <c r="A1315" t="s">
        <v>1346</v>
      </c>
      <c r="B1315" s="2">
        <v>45680</v>
      </c>
      <c r="C1315" t="s">
        <v>723</v>
      </c>
      <c r="D1315" t="s">
        <v>28</v>
      </c>
      <c r="E1315" t="s">
        <v>34</v>
      </c>
      <c r="F1315" t="s">
        <v>41</v>
      </c>
      <c r="G1315" t="s">
        <v>30</v>
      </c>
      <c r="H1315">
        <v>1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P1315">
        <v>91.6</v>
      </c>
      <c r="R1315" t="str">
        <f t="shared" si="120"/>
        <v>Unique</v>
      </c>
      <c r="S1315" t="str">
        <f t="shared" si="121"/>
        <v>Valid</v>
      </c>
      <c r="T1315" t="str">
        <f t="shared" si="122"/>
        <v>Valid</v>
      </c>
      <c r="U1315" t="str">
        <f t="shared" si="123"/>
        <v>Valid</v>
      </c>
      <c r="V1315" t="str">
        <f t="shared" si="124"/>
        <v>Valid</v>
      </c>
      <c r="W1315" t="str">
        <f t="shared" si="125"/>
        <v>Valid</v>
      </c>
    </row>
    <row r="1316" spans="1:23">
      <c r="A1316" t="s">
        <v>1347</v>
      </c>
      <c r="B1316" s="2">
        <v>45665</v>
      </c>
      <c r="C1316" t="s">
        <v>723</v>
      </c>
      <c r="D1316" t="s">
        <v>28</v>
      </c>
      <c r="E1316" t="s">
        <v>34</v>
      </c>
      <c r="F1316" t="s">
        <v>1451</v>
      </c>
      <c r="G1316" t="s">
        <v>30</v>
      </c>
      <c r="H1316">
        <v>1</v>
      </c>
      <c r="I1316">
        <v>1</v>
      </c>
      <c r="J1316">
        <v>1</v>
      </c>
      <c r="K1316">
        <v>0</v>
      </c>
      <c r="L1316">
        <v>0</v>
      </c>
      <c r="M1316">
        <v>1</v>
      </c>
      <c r="N1316">
        <v>0</v>
      </c>
      <c r="P1316">
        <v>61.5</v>
      </c>
      <c r="R1316" t="str">
        <f t="shared" si="120"/>
        <v>Unique</v>
      </c>
      <c r="S1316" t="str">
        <f t="shared" si="121"/>
        <v>Valid</v>
      </c>
      <c r="T1316" t="str">
        <f t="shared" si="122"/>
        <v>Valid</v>
      </c>
      <c r="U1316" t="str">
        <f t="shared" si="123"/>
        <v>Valid</v>
      </c>
      <c r="V1316" t="str">
        <f t="shared" si="124"/>
        <v>Valid</v>
      </c>
      <c r="W1316" t="str">
        <f t="shared" si="125"/>
        <v>Valid</v>
      </c>
    </row>
    <row r="1317" spans="1:23">
      <c r="A1317" t="s">
        <v>1348</v>
      </c>
      <c r="B1317" s="2">
        <v>45707</v>
      </c>
      <c r="C1317" t="s">
        <v>723</v>
      </c>
      <c r="D1317" t="s">
        <v>18</v>
      </c>
      <c r="E1317" t="s">
        <v>24</v>
      </c>
      <c r="F1317" t="s">
        <v>25</v>
      </c>
      <c r="G1317" t="s">
        <v>30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P1317">
        <v>60.02</v>
      </c>
      <c r="R1317" t="str">
        <f t="shared" si="120"/>
        <v>Unique</v>
      </c>
      <c r="S1317" t="str">
        <f t="shared" si="121"/>
        <v>Valid</v>
      </c>
      <c r="T1317" t="str">
        <f t="shared" si="122"/>
        <v>Valid</v>
      </c>
      <c r="U1317" t="str">
        <f t="shared" si="123"/>
        <v>Valid</v>
      </c>
      <c r="V1317" t="str">
        <f t="shared" si="124"/>
        <v>Valid</v>
      </c>
      <c r="W1317" t="str">
        <f t="shared" si="125"/>
        <v>Valid</v>
      </c>
    </row>
    <row r="1318" spans="1:23">
      <c r="A1318" t="s">
        <v>1349</v>
      </c>
      <c r="B1318" s="2">
        <v>45698</v>
      </c>
      <c r="C1318" t="s">
        <v>723</v>
      </c>
      <c r="D1318" t="s">
        <v>32</v>
      </c>
      <c r="E1318" t="s">
        <v>24</v>
      </c>
      <c r="F1318" t="s">
        <v>25</v>
      </c>
      <c r="G1318" t="s">
        <v>26</v>
      </c>
      <c r="H1318">
        <v>1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P1318">
        <v>32.6</v>
      </c>
      <c r="R1318" t="str">
        <f t="shared" si="120"/>
        <v>Unique</v>
      </c>
      <c r="S1318" t="str">
        <f t="shared" si="121"/>
        <v>Valid</v>
      </c>
      <c r="T1318" t="str">
        <f t="shared" si="122"/>
        <v>Valid</v>
      </c>
      <c r="U1318" t="str">
        <f t="shared" si="123"/>
        <v>Valid</v>
      </c>
      <c r="V1318" t="str">
        <f t="shared" si="124"/>
        <v>Valid</v>
      </c>
      <c r="W1318" t="str">
        <f t="shared" si="125"/>
        <v>Valid</v>
      </c>
    </row>
    <row r="1319" spans="1:23">
      <c r="A1319" t="s">
        <v>1350</v>
      </c>
      <c r="B1319" s="2">
        <v>45760</v>
      </c>
      <c r="C1319" t="s">
        <v>723</v>
      </c>
      <c r="D1319" t="s">
        <v>32</v>
      </c>
      <c r="E1319" t="s">
        <v>24</v>
      </c>
      <c r="F1319" t="s">
        <v>29</v>
      </c>
      <c r="G1319" t="s">
        <v>26</v>
      </c>
      <c r="H1319">
        <v>1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P1319">
        <v>73.900000000000006</v>
      </c>
      <c r="R1319" t="str">
        <f t="shared" si="120"/>
        <v>Unique</v>
      </c>
      <c r="S1319" t="str">
        <f t="shared" si="121"/>
        <v>Valid</v>
      </c>
      <c r="T1319" t="str">
        <f t="shared" si="122"/>
        <v>Valid</v>
      </c>
      <c r="U1319" t="str">
        <f t="shared" si="123"/>
        <v>Valid</v>
      </c>
      <c r="V1319" t="str">
        <f t="shared" si="124"/>
        <v>Valid</v>
      </c>
      <c r="W1319" t="str">
        <f t="shared" si="125"/>
        <v>Valid</v>
      </c>
    </row>
    <row r="1320" spans="1:23">
      <c r="A1320" t="s">
        <v>1351</v>
      </c>
      <c r="B1320" s="2">
        <v>45797</v>
      </c>
      <c r="C1320" t="s">
        <v>723</v>
      </c>
      <c r="D1320" t="s">
        <v>28</v>
      </c>
      <c r="E1320" t="s">
        <v>24</v>
      </c>
      <c r="F1320" t="s">
        <v>25</v>
      </c>
      <c r="G1320" t="s">
        <v>26</v>
      </c>
      <c r="H1320">
        <v>1</v>
      </c>
      <c r="I1320">
        <v>1</v>
      </c>
      <c r="J1320">
        <v>1</v>
      </c>
      <c r="K1320">
        <v>1</v>
      </c>
      <c r="L1320">
        <v>444.06</v>
      </c>
      <c r="M1320">
        <v>0</v>
      </c>
      <c r="N1320">
        <v>0</v>
      </c>
      <c r="O1320">
        <v>9</v>
      </c>
      <c r="P1320">
        <v>99.9</v>
      </c>
      <c r="R1320" t="str">
        <f t="shared" si="120"/>
        <v>Unique</v>
      </c>
      <c r="S1320" t="str">
        <f t="shared" si="121"/>
        <v>Valid</v>
      </c>
      <c r="T1320" t="str">
        <f t="shared" si="122"/>
        <v>Valid</v>
      </c>
      <c r="U1320" t="str">
        <f t="shared" si="123"/>
        <v>Valid</v>
      </c>
      <c r="V1320" t="str">
        <f t="shared" si="124"/>
        <v>Valid</v>
      </c>
      <c r="W1320" t="str">
        <f t="shared" si="125"/>
        <v>Valid</v>
      </c>
    </row>
    <row r="1321" spans="1:23">
      <c r="A1321" t="s">
        <v>1352</v>
      </c>
      <c r="B1321" s="2">
        <v>45790</v>
      </c>
      <c r="C1321" t="s">
        <v>723</v>
      </c>
      <c r="D1321" t="s">
        <v>32</v>
      </c>
      <c r="E1321" t="s">
        <v>24</v>
      </c>
      <c r="F1321" t="s">
        <v>29</v>
      </c>
      <c r="G1321" t="s">
        <v>21</v>
      </c>
      <c r="H1321">
        <v>1</v>
      </c>
      <c r="I1321">
        <v>1</v>
      </c>
      <c r="J1321">
        <v>0</v>
      </c>
      <c r="K1321">
        <v>0</v>
      </c>
      <c r="L1321">
        <v>0</v>
      </c>
      <c r="M1321">
        <v>1</v>
      </c>
      <c r="N1321">
        <v>0</v>
      </c>
      <c r="P1321">
        <v>62.4</v>
      </c>
      <c r="R1321" t="str">
        <f t="shared" si="120"/>
        <v>Unique</v>
      </c>
      <c r="S1321" t="str">
        <f t="shared" si="121"/>
        <v>Valid</v>
      </c>
      <c r="T1321" t="str">
        <f t="shared" si="122"/>
        <v>Valid</v>
      </c>
      <c r="U1321" t="str">
        <f t="shared" si="123"/>
        <v>Valid</v>
      </c>
      <c r="V1321" t="str">
        <f t="shared" si="124"/>
        <v>Valid</v>
      </c>
      <c r="W1321" t="str">
        <f t="shared" si="125"/>
        <v>Valid</v>
      </c>
    </row>
    <row r="1322" spans="1:23">
      <c r="A1322" t="s">
        <v>1353</v>
      </c>
      <c r="B1322" s="2">
        <v>45805</v>
      </c>
      <c r="C1322" t="s">
        <v>723</v>
      </c>
      <c r="D1322" t="s">
        <v>32</v>
      </c>
      <c r="E1322" t="s">
        <v>19</v>
      </c>
      <c r="F1322" t="s">
        <v>29</v>
      </c>
      <c r="G1322" t="s">
        <v>21</v>
      </c>
      <c r="H1322">
        <v>1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P1322">
        <v>46.1</v>
      </c>
      <c r="R1322" t="str">
        <f t="shared" si="120"/>
        <v>Unique</v>
      </c>
      <c r="S1322" t="str">
        <f t="shared" si="121"/>
        <v>Valid</v>
      </c>
      <c r="T1322" t="str">
        <f t="shared" si="122"/>
        <v>Valid</v>
      </c>
      <c r="U1322" t="str">
        <f t="shared" si="123"/>
        <v>Valid</v>
      </c>
      <c r="V1322" t="str">
        <f t="shared" si="124"/>
        <v>Valid</v>
      </c>
      <c r="W1322" t="str">
        <f t="shared" si="125"/>
        <v>Valid</v>
      </c>
    </row>
    <row r="1323" spans="1:23">
      <c r="A1323" t="s">
        <v>1354</v>
      </c>
      <c r="B1323" s="2">
        <v>45735</v>
      </c>
      <c r="C1323" t="s">
        <v>723</v>
      </c>
      <c r="D1323" t="s">
        <v>23</v>
      </c>
      <c r="E1323" t="s">
        <v>24</v>
      </c>
      <c r="F1323" t="s">
        <v>25</v>
      </c>
      <c r="G1323" t="s">
        <v>26</v>
      </c>
      <c r="H1323">
        <v>1</v>
      </c>
      <c r="I1323">
        <v>1</v>
      </c>
      <c r="J1323">
        <v>1</v>
      </c>
      <c r="K1323">
        <v>1</v>
      </c>
      <c r="L1323">
        <v>2660.21</v>
      </c>
      <c r="M1323">
        <v>0</v>
      </c>
      <c r="N1323">
        <v>0</v>
      </c>
      <c r="O1323">
        <v>3</v>
      </c>
      <c r="P1323">
        <v>73.900000000000006</v>
      </c>
      <c r="R1323" t="str">
        <f t="shared" si="120"/>
        <v>Unique</v>
      </c>
      <c r="S1323" t="str">
        <f t="shared" si="121"/>
        <v>Valid</v>
      </c>
      <c r="T1323" t="str">
        <f t="shared" si="122"/>
        <v>Valid</v>
      </c>
      <c r="U1323" t="str">
        <f t="shared" si="123"/>
        <v>Valid</v>
      </c>
      <c r="V1323" t="str">
        <f t="shared" si="124"/>
        <v>Valid</v>
      </c>
      <c r="W1323" t="str">
        <f t="shared" si="125"/>
        <v>Valid</v>
      </c>
    </row>
    <row r="1324" spans="1:23">
      <c r="A1324" t="s">
        <v>1355</v>
      </c>
      <c r="B1324" s="2">
        <v>45691</v>
      </c>
      <c r="C1324" t="s">
        <v>723</v>
      </c>
      <c r="D1324" t="s">
        <v>18</v>
      </c>
      <c r="E1324" t="s">
        <v>24</v>
      </c>
      <c r="F1324" t="s">
        <v>20</v>
      </c>
      <c r="G1324" t="s">
        <v>30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P1324">
        <v>90</v>
      </c>
      <c r="R1324" t="str">
        <f t="shared" si="120"/>
        <v>Unique</v>
      </c>
      <c r="S1324" t="str">
        <f t="shared" si="121"/>
        <v>Valid</v>
      </c>
      <c r="T1324" t="str">
        <f t="shared" si="122"/>
        <v>Valid</v>
      </c>
      <c r="U1324" t="str">
        <f t="shared" si="123"/>
        <v>Valid</v>
      </c>
      <c r="V1324" t="str">
        <f t="shared" si="124"/>
        <v>Valid</v>
      </c>
      <c r="W1324" t="str">
        <f t="shared" si="125"/>
        <v>Valid</v>
      </c>
    </row>
    <row r="1325" spans="1:23">
      <c r="A1325" t="s">
        <v>1356</v>
      </c>
      <c r="B1325" s="2">
        <v>45714</v>
      </c>
      <c r="C1325" t="s">
        <v>723</v>
      </c>
      <c r="D1325" t="s">
        <v>32</v>
      </c>
      <c r="E1325" t="s">
        <v>24</v>
      </c>
      <c r="F1325" t="s">
        <v>20</v>
      </c>
      <c r="G1325" t="s">
        <v>21</v>
      </c>
      <c r="H1325">
        <v>1</v>
      </c>
      <c r="I1325">
        <v>0</v>
      </c>
      <c r="J1325">
        <v>0</v>
      </c>
      <c r="K1325">
        <v>0</v>
      </c>
      <c r="L1325">
        <v>0</v>
      </c>
      <c r="M1325">
        <v>1</v>
      </c>
      <c r="N1325">
        <v>0</v>
      </c>
      <c r="P1325">
        <v>68.8</v>
      </c>
      <c r="R1325" t="str">
        <f t="shared" si="120"/>
        <v>Unique</v>
      </c>
      <c r="S1325" t="str">
        <f t="shared" si="121"/>
        <v>Valid</v>
      </c>
      <c r="T1325" t="str">
        <f t="shared" si="122"/>
        <v>Valid</v>
      </c>
      <c r="U1325" t="str">
        <f t="shared" si="123"/>
        <v>Valid</v>
      </c>
      <c r="V1325" t="str">
        <f t="shared" si="124"/>
        <v>Valid</v>
      </c>
      <c r="W1325" t="str">
        <f t="shared" si="125"/>
        <v>Valid</v>
      </c>
    </row>
    <row r="1326" spans="1:23">
      <c r="A1326" t="s">
        <v>1357</v>
      </c>
      <c r="B1326" s="2">
        <v>45683</v>
      </c>
      <c r="C1326" t="s">
        <v>723</v>
      </c>
      <c r="D1326" t="s">
        <v>23</v>
      </c>
      <c r="E1326" t="s">
        <v>24</v>
      </c>
      <c r="F1326" t="s">
        <v>29</v>
      </c>
      <c r="G1326" t="s">
        <v>26</v>
      </c>
      <c r="H1326">
        <v>1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P1326">
        <v>66.599999999999994</v>
      </c>
      <c r="R1326" t="str">
        <f t="shared" si="120"/>
        <v>Unique</v>
      </c>
      <c r="S1326" t="str">
        <f t="shared" si="121"/>
        <v>Valid</v>
      </c>
      <c r="T1326" t="str">
        <f t="shared" si="122"/>
        <v>Valid</v>
      </c>
      <c r="U1326" t="str">
        <f t="shared" si="123"/>
        <v>Valid</v>
      </c>
      <c r="V1326" t="str">
        <f t="shared" si="124"/>
        <v>Valid</v>
      </c>
      <c r="W1326" t="str">
        <f t="shared" si="125"/>
        <v>Valid</v>
      </c>
    </row>
    <row r="1327" spans="1:23">
      <c r="A1327" t="s">
        <v>1358</v>
      </c>
      <c r="B1327" s="2">
        <v>45790</v>
      </c>
      <c r="C1327" t="s">
        <v>723</v>
      </c>
      <c r="D1327" t="s">
        <v>18</v>
      </c>
      <c r="E1327" t="s">
        <v>24</v>
      </c>
      <c r="F1327" t="s">
        <v>25</v>
      </c>
      <c r="G1327" t="s">
        <v>30</v>
      </c>
      <c r="H1327">
        <v>1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P1327">
        <v>49.7</v>
      </c>
      <c r="R1327" t="str">
        <f t="shared" si="120"/>
        <v>Unique</v>
      </c>
      <c r="S1327" t="str">
        <f t="shared" si="121"/>
        <v>Valid</v>
      </c>
      <c r="T1327" t="str">
        <f t="shared" si="122"/>
        <v>Valid</v>
      </c>
      <c r="U1327" t="str">
        <f t="shared" si="123"/>
        <v>Valid</v>
      </c>
      <c r="V1327" t="str">
        <f t="shared" si="124"/>
        <v>Valid</v>
      </c>
      <c r="W1327" t="str">
        <f t="shared" si="125"/>
        <v>Valid</v>
      </c>
    </row>
    <row r="1328" spans="1:23">
      <c r="A1328" t="s">
        <v>1359</v>
      </c>
      <c r="B1328" s="2">
        <v>45690</v>
      </c>
      <c r="C1328" t="s">
        <v>723</v>
      </c>
      <c r="D1328" t="s">
        <v>32</v>
      </c>
      <c r="E1328" t="s">
        <v>24</v>
      </c>
      <c r="F1328" t="s">
        <v>29</v>
      </c>
      <c r="G1328" t="s">
        <v>21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P1328">
        <v>67.900000000000006</v>
      </c>
      <c r="R1328" t="str">
        <f t="shared" si="120"/>
        <v>Unique</v>
      </c>
      <c r="S1328" t="str">
        <f t="shared" si="121"/>
        <v>Valid</v>
      </c>
      <c r="T1328" t="str">
        <f t="shared" si="122"/>
        <v>Valid</v>
      </c>
      <c r="U1328" t="str">
        <f t="shared" si="123"/>
        <v>Valid</v>
      </c>
      <c r="V1328" t="str">
        <f t="shared" si="124"/>
        <v>Valid</v>
      </c>
      <c r="W1328" t="str">
        <f t="shared" si="125"/>
        <v>Valid</v>
      </c>
    </row>
    <row r="1329" spans="1:23">
      <c r="A1329" t="s">
        <v>1360</v>
      </c>
      <c r="B1329" s="2">
        <v>45777</v>
      </c>
      <c r="C1329" t="s">
        <v>723</v>
      </c>
      <c r="D1329" t="s">
        <v>23</v>
      </c>
      <c r="E1329" t="s">
        <v>24</v>
      </c>
      <c r="F1329" t="s">
        <v>1451</v>
      </c>
      <c r="G1329" t="s">
        <v>21</v>
      </c>
      <c r="H1329">
        <v>0</v>
      </c>
      <c r="I1329">
        <v>0</v>
      </c>
      <c r="J1329">
        <v>0</v>
      </c>
      <c r="K1329">
        <v>0</v>
      </c>
      <c r="L1329">
        <v>0</v>
      </c>
      <c r="M1329">
        <v>0</v>
      </c>
      <c r="N1329">
        <v>0</v>
      </c>
      <c r="P1329">
        <v>66.900000000000006</v>
      </c>
      <c r="R1329" t="str">
        <f t="shared" si="120"/>
        <v>Unique</v>
      </c>
      <c r="S1329" t="str">
        <f t="shared" si="121"/>
        <v>Valid</v>
      </c>
      <c r="T1329" t="str">
        <f t="shared" si="122"/>
        <v>Valid</v>
      </c>
      <c r="U1329" t="str">
        <f t="shared" si="123"/>
        <v>Valid</v>
      </c>
      <c r="V1329" t="str">
        <f t="shared" si="124"/>
        <v>Valid</v>
      </c>
      <c r="W1329" t="str">
        <f t="shared" si="125"/>
        <v>Valid</v>
      </c>
    </row>
    <row r="1330" spans="1:23">
      <c r="A1330" t="s">
        <v>1361</v>
      </c>
      <c r="B1330" s="2">
        <v>45745</v>
      </c>
      <c r="C1330" t="s">
        <v>723</v>
      </c>
      <c r="D1330" t="s">
        <v>28</v>
      </c>
      <c r="E1330" t="s">
        <v>24</v>
      </c>
      <c r="F1330" t="s">
        <v>25</v>
      </c>
      <c r="G1330" t="s">
        <v>26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P1330">
        <v>46.1</v>
      </c>
      <c r="R1330" t="str">
        <f t="shared" si="120"/>
        <v>Unique</v>
      </c>
      <c r="S1330" t="str">
        <f t="shared" si="121"/>
        <v>Valid</v>
      </c>
      <c r="T1330" t="str">
        <f t="shared" si="122"/>
        <v>Valid</v>
      </c>
      <c r="U1330" t="str">
        <f t="shared" si="123"/>
        <v>Valid</v>
      </c>
      <c r="V1330" t="str">
        <f t="shared" si="124"/>
        <v>Valid</v>
      </c>
      <c r="W1330" t="str">
        <f t="shared" si="125"/>
        <v>Valid</v>
      </c>
    </row>
    <row r="1331" spans="1:23">
      <c r="A1331" t="s">
        <v>1362</v>
      </c>
      <c r="B1331" s="2">
        <v>45756</v>
      </c>
      <c r="C1331" t="s">
        <v>723</v>
      </c>
      <c r="D1331" t="s">
        <v>23</v>
      </c>
      <c r="E1331" t="s">
        <v>19</v>
      </c>
      <c r="F1331" t="s">
        <v>39</v>
      </c>
      <c r="G1331" t="s">
        <v>30</v>
      </c>
      <c r="H1331">
        <v>1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P1331">
        <v>85.6</v>
      </c>
      <c r="R1331" t="str">
        <f t="shared" si="120"/>
        <v>Unique</v>
      </c>
      <c r="S1331" t="str">
        <f t="shared" si="121"/>
        <v>Valid</v>
      </c>
      <c r="T1331" t="str">
        <f t="shared" si="122"/>
        <v>Valid</v>
      </c>
      <c r="U1331" t="str">
        <f t="shared" si="123"/>
        <v>Valid</v>
      </c>
      <c r="V1331" t="str">
        <f t="shared" si="124"/>
        <v>Valid</v>
      </c>
      <c r="W1331" t="str">
        <f t="shared" si="125"/>
        <v>Valid</v>
      </c>
    </row>
    <row r="1332" spans="1:23">
      <c r="A1332" t="s">
        <v>1363</v>
      </c>
      <c r="B1332" s="2">
        <v>45679</v>
      </c>
      <c r="C1332" t="s">
        <v>723</v>
      </c>
      <c r="D1332" t="s">
        <v>32</v>
      </c>
      <c r="E1332" t="s">
        <v>34</v>
      </c>
      <c r="F1332" t="s">
        <v>25</v>
      </c>
      <c r="G1332" t="s">
        <v>26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P1332">
        <v>39.6</v>
      </c>
      <c r="R1332" t="str">
        <f t="shared" si="120"/>
        <v>Unique</v>
      </c>
      <c r="S1332" t="str">
        <f t="shared" si="121"/>
        <v>Valid</v>
      </c>
      <c r="T1332" t="str">
        <f t="shared" si="122"/>
        <v>Valid</v>
      </c>
      <c r="U1332" t="str">
        <f t="shared" si="123"/>
        <v>Valid</v>
      </c>
      <c r="V1332" t="str">
        <f t="shared" si="124"/>
        <v>Valid</v>
      </c>
      <c r="W1332" t="str">
        <f t="shared" si="125"/>
        <v>Valid</v>
      </c>
    </row>
    <row r="1333" spans="1:23">
      <c r="A1333" t="s">
        <v>1364</v>
      </c>
      <c r="B1333" s="2">
        <v>45684</v>
      </c>
      <c r="C1333" t="s">
        <v>723</v>
      </c>
      <c r="D1333" t="s">
        <v>32</v>
      </c>
      <c r="E1333" t="s">
        <v>24</v>
      </c>
      <c r="F1333" t="s">
        <v>25</v>
      </c>
      <c r="G1333" t="s">
        <v>21</v>
      </c>
      <c r="H1333">
        <v>1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P1333">
        <v>52.5</v>
      </c>
      <c r="R1333" t="str">
        <f t="shared" si="120"/>
        <v>Unique</v>
      </c>
      <c r="S1333" t="str">
        <f t="shared" si="121"/>
        <v>Valid</v>
      </c>
      <c r="T1333" t="str">
        <f t="shared" si="122"/>
        <v>Valid</v>
      </c>
      <c r="U1333" t="str">
        <f t="shared" si="123"/>
        <v>Valid</v>
      </c>
      <c r="V1333" t="str">
        <f t="shared" si="124"/>
        <v>Valid</v>
      </c>
      <c r="W1333" t="str">
        <f t="shared" si="125"/>
        <v>Valid</v>
      </c>
    </row>
    <row r="1334" spans="1:23">
      <c r="A1334" t="s">
        <v>1365</v>
      </c>
      <c r="B1334" s="2">
        <v>45679</v>
      </c>
      <c r="C1334" t="s">
        <v>723</v>
      </c>
      <c r="D1334" t="s">
        <v>28</v>
      </c>
      <c r="E1334" t="s">
        <v>24</v>
      </c>
      <c r="F1334" t="s">
        <v>41</v>
      </c>
      <c r="G1334" t="s">
        <v>30</v>
      </c>
      <c r="H1334">
        <v>1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P1334">
        <v>73.5</v>
      </c>
      <c r="R1334" t="str">
        <f t="shared" si="120"/>
        <v>Unique</v>
      </c>
      <c r="S1334" t="str">
        <f t="shared" si="121"/>
        <v>Valid</v>
      </c>
      <c r="T1334" t="str">
        <f t="shared" si="122"/>
        <v>Valid</v>
      </c>
      <c r="U1334" t="str">
        <f t="shared" si="123"/>
        <v>Valid</v>
      </c>
      <c r="V1334" t="str">
        <f t="shared" si="124"/>
        <v>Valid</v>
      </c>
      <c r="W1334" t="str">
        <f t="shared" si="125"/>
        <v>Valid</v>
      </c>
    </row>
    <row r="1335" spans="1:23">
      <c r="A1335" t="s">
        <v>1366</v>
      </c>
      <c r="B1335" s="2">
        <v>45663</v>
      </c>
      <c r="C1335" t="s">
        <v>723</v>
      </c>
      <c r="D1335" t="s">
        <v>23</v>
      </c>
      <c r="E1335" t="s">
        <v>19</v>
      </c>
      <c r="F1335" t="s">
        <v>29</v>
      </c>
      <c r="G1335" t="s">
        <v>26</v>
      </c>
      <c r="H1335">
        <v>0</v>
      </c>
      <c r="I1335">
        <v>0</v>
      </c>
      <c r="J1335">
        <v>0</v>
      </c>
      <c r="K1335">
        <v>0</v>
      </c>
      <c r="L1335">
        <v>0</v>
      </c>
      <c r="M1335">
        <v>0</v>
      </c>
      <c r="N1335">
        <v>0</v>
      </c>
      <c r="P1335">
        <v>62.5</v>
      </c>
      <c r="R1335" t="str">
        <f t="shared" si="120"/>
        <v>Unique</v>
      </c>
      <c r="S1335" t="str">
        <f t="shared" si="121"/>
        <v>Valid</v>
      </c>
      <c r="T1335" t="str">
        <f t="shared" si="122"/>
        <v>Valid</v>
      </c>
      <c r="U1335" t="str">
        <f t="shared" si="123"/>
        <v>Valid</v>
      </c>
      <c r="V1335" t="str">
        <f t="shared" si="124"/>
        <v>Valid</v>
      </c>
      <c r="W1335" t="str">
        <f t="shared" si="125"/>
        <v>Valid</v>
      </c>
    </row>
    <row r="1336" spans="1:23">
      <c r="A1336" t="s">
        <v>1367</v>
      </c>
      <c r="B1336" s="2">
        <v>45763</v>
      </c>
      <c r="C1336" t="s">
        <v>723</v>
      </c>
      <c r="D1336" t="s">
        <v>32</v>
      </c>
      <c r="E1336" t="s">
        <v>1451</v>
      </c>
      <c r="F1336" t="s">
        <v>25</v>
      </c>
      <c r="G1336" t="s">
        <v>26</v>
      </c>
      <c r="H1336">
        <v>1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P1336">
        <v>76.900000000000006</v>
      </c>
      <c r="R1336" t="str">
        <f t="shared" si="120"/>
        <v>Unique</v>
      </c>
      <c r="S1336" t="str">
        <f t="shared" si="121"/>
        <v>Valid</v>
      </c>
      <c r="T1336" t="str">
        <f t="shared" si="122"/>
        <v>Valid</v>
      </c>
      <c r="U1336" t="str">
        <f t="shared" si="123"/>
        <v>Valid</v>
      </c>
      <c r="V1336" t="str">
        <f t="shared" si="124"/>
        <v>Valid</v>
      </c>
      <c r="W1336" t="str">
        <f t="shared" si="125"/>
        <v>Valid</v>
      </c>
    </row>
    <row r="1337" spans="1:23">
      <c r="A1337" t="s">
        <v>1368</v>
      </c>
      <c r="B1337" s="2">
        <v>45761</v>
      </c>
      <c r="C1337" t="s">
        <v>723</v>
      </c>
      <c r="D1337" t="s">
        <v>32</v>
      </c>
      <c r="E1337" t="s">
        <v>24</v>
      </c>
      <c r="F1337" t="s">
        <v>25</v>
      </c>
      <c r="G1337" t="s">
        <v>26</v>
      </c>
      <c r="H1337">
        <v>1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P1337">
        <v>51.4</v>
      </c>
      <c r="R1337" t="str">
        <f t="shared" si="120"/>
        <v>Unique</v>
      </c>
      <c r="S1337" t="str">
        <f t="shared" si="121"/>
        <v>Valid</v>
      </c>
      <c r="T1337" t="str">
        <f t="shared" si="122"/>
        <v>Valid</v>
      </c>
      <c r="U1337" t="str">
        <f t="shared" si="123"/>
        <v>Valid</v>
      </c>
      <c r="V1337" t="str">
        <f t="shared" si="124"/>
        <v>Valid</v>
      </c>
      <c r="W1337" t="str">
        <f t="shared" si="125"/>
        <v>Valid</v>
      </c>
    </row>
    <row r="1338" spans="1:23">
      <c r="A1338" t="s">
        <v>1369</v>
      </c>
      <c r="B1338" s="2">
        <v>45710</v>
      </c>
      <c r="C1338" t="s">
        <v>723</v>
      </c>
      <c r="D1338" t="s">
        <v>23</v>
      </c>
      <c r="E1338" t="s">
        <v>24</v>
      </c>
      <c r="F1338" t="s">
        <v>29</v>
      </c>
      <c r="G1338" t="s">
        <v>21</v>
      </c>
      <c r="H1338">
        <v>1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P1338">
        <v>59.3</v>
      </c>
      <c r="R1338" t="str">
        <f t="shared" si="120"/>
        <v>Unique</v>
      </c>
      <c r="S1338" t="str">
        <f t="shared" si="121"/>
        <v>Valid</v>
      </c>
      <c r="T1338" t="str">
        <f t="shared" si="122"/>
        <v>Valid</v>
      </c>
      <c r="U1338" t="str">
        <f t="shared" si="123"/>
        <v>Valid</v>
      </c>
      <c r="V1338" t="str">
        <f t="shared" si="124"/>
        <v>Valid</v>
      </c>
      <c r="W1338" t="str">
        <f t="shared" si="125"/>
        <v>Valid</v>
      </c>
    </row>
    <row r="1339" spans="1:23">
      <c r="A1339" t="s">
        <v>1370</v>
      </c>
      <c r="B1339" s="2">
        <v>45725</v>
      </c>
      <c r="C1339" t="s">
        <v>723</v>
      </c>
      <c r="D1339" t="s">
        <v>18</v>
      </c>
      <c r="E1339" t="s">
        <v>24</v>
      </c>
      <c r="F1339" t="s">
        <v>25</v>
      </c>
      <c r="G1339" t="s">
        <v>21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P1339">
        <v>74.900000000000006</v>
      </c>
      <c r="R1339" t="str">
        <f t="shared" si="120"/>
        <v>Unique</v>
      </c>
      <c r="S1339" t="str">
        <f t="shared" si="121"/>
        <v>Valid</v>
      </c>
      <c r="T1339" t="str">
        <f t="shared" si="122"/>
        <v>Valid</v>
      </c>
      <c r="U1339" t="str">
        <f t="shared" si="123"/>
        <v>Valid</v>
      </c>
      <c r="V1339" t="str">
        <f t="shared" si="124"/>
        <v>Valid</v>
      </c>
      <c r="W1339" t="str">
        <f t="shared" si="125"/>
        <v>Valid</v>
      </c>
    </row>
    <row r="1340" spans="1:23">
      <c r="A1340" t="s">
        <v>1371</v>
      </c>
      <c r="B1340" s="2">
        <v>45767</v>
      </c>
      <c r="C1340" t="s">
        <v>723</v>
      </c>
      <c r="D1340" t="s">
        <v>23</v>
      </c>
      <c r="E1340" t="s">
        <v>19</v>
      </c>
      <c r="F1340" t="s">
        <v>25</v>
      </c>
      <c r="G1340" t="s">
        <v>26</v>
      </c>
      <c r="H1340">
        <v>1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P1340">
        <v>67</v>
      </c>
      <c r="R1340" t="str">
        <f t="shared" si="120"/>
        <v>Unique</v>
      </c>
      <c r="S1340" t="str">
        <f t="shared" si="121"/>
        <v>Valid</v>
      </c>
      <c r="T1340" t="str">
        <f t="shared" si="122"/>
        <v>Valid</v>
      </c>
      <c r="U1340" t="str">
        <f t="shared" si="123"/>
        <v>Valid</v>
      </c>
      <c r="V1340" t="str">
        <f t="shared" si="124"/>
        <v>Valid</v>
      </c>
      <c r="W1340" t="str">
        <f t="shared" si="125"/>
        <v>Valid</v>
      </c>
    </row>
    <row r="1341" spans="1:23">
      <c r="A1341" t="s">
        <v>1372</v>
      </c>
      <c r="B1341" s="2">
        <v>45726</v>
      </c>
      <c r="C1341" t="s">
        <v>723</v>
      </c>
      <c r="D1341" t="s">
        <v>32</v>
      </c>
      <c r="E1341" t="s">
        <v>24</v>
      </c>
      <c r="F1341" t="s">
        <v>20</v>
      </c>
      <c r="G1341" t="s">
        <v>26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P1341">
        <v>63.6</v>
      </c>
      <c r="R1341" t="str">
        <f t="shared" si="120"/>
        <v>Unique</v>
      </c>
      <c r="S1341" t="str">
        <f t="shared" si="121"/>
        <v>Valid</v>
      </c>
      <c r="T1341" t="str">
        <f t="shared" si="122"/>
        <v>Valid</v>
      </c>
      <c r="U1341" t="str">
        <f t="shared" si="123"/>
        <v>Valid</v>
      </c>
      <c r="V1341" t="str">
        <f t="shared" si="124"/>
        <v>Valid</v>
      </c>
      <c r="W1341" t="str">
        <f t="shared" si="125"/>
        <v>Valid</v>
      </c>
    </row>
    <row r="1342" spans="1:23">
      <c r="A1342" t="s">
        <v>1373</v>
      </c>
      <c r="B1342" s="2">
        <v>45709</v>
      </c>
      <c r="C1342" t="s">
        <v>723</v>
      </c>
      <c r="D1342" t="s">
        <v>32</v>
      </c>
      <c r="E1342" t="s">
        <v>24</v>
      </c>
      <c r="F1342" t="s">
        <v>20</v>
      </c>
      <c r="G1342" t="s">
        <v>26</v>
      </c>
      <c r="H1342">
        <v>1</v>
      </c>
      <c r="I1342">
        <v>1</v>
      </c>
      <c r="J1342">
        <v>0</v>
      </c>
      <c r="K1342">
        <v>0</v>
      </c>
      <c r="L1342">
        <v>0</v>
      </c>
      <c r="M1342">
        <v>1</v>
      </c>
      <c r="N1342">
        <v>0</v>
      </c>
      <c r="P1342">
        <v>58.4</v>
      </c>
      <c r="R1342" t="str">
        <f t="shared" si="120"/>
        <v>Unique</v>
      </c>
      <c r="S1342" t="str">
        <f t="shared" si="121"/>
        <v>Valid</v>
      </c>
      <c r="T1342" t="str">
        <f t="shared" si="122"/>
        <v>Valid</v>
      </c>
      <c r="U1342" t="str">
        <f t="shared" si="123"/>
        <v>Valid</v>
      </c>
      <c r="V1342" t="str">
        <f t="shared" si="124"/>
        <v>Valid</v>
      </c>
      <c r="W1342" t="str">
        <f t="shared" si="125"/>
        <v>Valid</v>
      </c>
    </row>
    <row r="1343" spans="1:23">
      <c r="A1343" t="s">
        <v>1374</v>
      </c>
      <c r="B1343" s="2">
        <v>45663</v>
      </c>
      <c r="C1343" t="s">
        <v>723</v>
      </c>
      <c r="D1343" t="s">
        <v>18</v>
      </c>
      <c r="E1343" t="s">
        <v>19</v>
      </c>
      <c r="F1343" t="s">
        <v>41</v>
      </c>
      <c r="G1343" t="s">
        <v>26</v>
      </c>
      <c r="H1343">
        <v>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P1343">
        <v>36.799999999999997</v>
      </c>
      <c r="R1343" t="str">
        <f t="shared" si="120"/>
        <v>Unique</v>
      </c>
      <c r="S1343" t="str">
        <f t="shared" si="121"/>
        <v>Valid</v>
      </c>
      <c r="T1343" t="str">
        <f t="shared" si="122"/>
        <v>Valid</v>
      </c>
      <c r="U1343" t="str">
        <f t="shared" si="123"/>
        <v>Valid</v>
      </c>
      <c r="V1343" t="str">
        <f t="shared" si="124"/>
        <v>Valid</v>
      </c>
      <c r="W1343" t="str">
        <f t="shared" si="125"/>
        <v>Valid</v>
      </c>
    </row>
    <row r="1344" spans="1:23">
      <c r="A1344" t="s">
        <v>1375</v>
      </c>
      <c r="B1344" s="2">
        <v>45764</v>
      </c>
      <c r="C1344" t="s">
        <v>723</v>
      </c>
      <c r="D1344" t="s">
        <v>32</v>
      </c>
      <c r="E1344" t="s">
        <v>24</v>
      </c>
      <c r="F1344" t="s">
        <v>25</v>
      </c>
      <c r="G1344" t="s">
        <v>30</v>
      </c>
      <c r="H1344">
        <v>1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P1344">
        <v>71.599999999999994</v>
      </c>
      <c r="R1344" t="str">
        <f t="shared" si="120"/>
        <v>Unique</v>
      </c>
      <c r="S1344" t="str">
        <f t="shared" si="121"/>
        <v>Valid</v>
      </c>
      <c r="T1344" t="str">
        <f t="shared" si="122"/>
        <v>Valid</v>
      </c>
      <c r="U1344" t="str">
        <f t="shared" si="123"/>
        <v>Valid</v>
      </c>
      <c r="V1344" t="str">
        <f t="shared" si="124"/>
        <v>Valid</v>
      </c>
      <c r="W1344" t="str">
        <f t="shared" si="125"/>
        <v>Valid</v>
      </c>
    </row>
    <row r="1345" spans="1:23">
      <c r="A1345" t="s">
        <v>1376</v>
      </c>
      <c r="B1345" s="2">
        <v>45800</v>
      </c>
      <c r="C1345" t="s">
        <v>723</v>
      </c>
      <c r="D1345" t="s">
        <v>32</v>
      </c>
      <c r="E1345" t="s">
        <v>24</v>
      </c>
      <c r="F1345" t="s">
        <v>20</v>
      </c>
      <c r="G1345" t="s">
        <v>21</v>
      </c>
      <c r="H1345">
        <v>1</v>
      </c>
      <c r="I1345">
        <v>1</v>
      </c>
      <c r="J1345">
        <v>0</v>
      </c>
      <c r="K1345">
        <v>0</v>
      </c>
      <c r="L1345">
        <v>0</v>
      </c>
      <c r="M1345">
        <v>1</v>
      </c>
      <c r="N1345">
        <v>0</v>
      </c>
      <c r="P1345">
        <v>79.7</v>
      </c>
      <c r="R1345" t="str">
        <f t="shared" si="120"/>
        <v>Unique</v>
      </c>
      <c r="S1345" t="str">
        <f t="shared" si="121"/>
        <v>Valid</v>
      </c>
      <c r="T1345" t="str">
        <f t="shared" si="122"/>
        <v>Valid</v>
      </c>
      <c r="U1345" t="str">
        <f t="shared" si="123"/>
        <v>Valid</v>
      </c>
      <c r="V1345" t="str">
        <f t="shared" si="124"/>
        <v>Valid</v>
      </c>
      <c r="W1345" t="str">
        <f t="shared" si="125"/>
        <v>Valid</v>
      </c>
    </row>
    <row r="1346" spans="1:23">
      <c r="A1346" t="s">
        <v>1377</v>
      </c>
      <c r="B1346" s="2">
        <v>45730</v>
      </c>
      <c r="C1346" t="s">
        <v>723</v>
      </c>
      <c r="D1346" t="s">
        <v>23</v>
      </c>
      <c r="E1346" t="s">
        <v>19</v>
      </c>
      <c r="F1346" t="s">
        <v>25</v>
      </c>
      <c r="G1346" t="s">
        <v>21</v>
      </c>
      <c r="H1346">
        <v>1</v>
      </c>
      <c r="I1346">
        <v>0</v>
      </c>
      <c r="J1346">
        <v>0</v>
      </c>
      <c r="K1346">
        <v>0</v>
      </c>
      <c r="L1346">
        <v>0</v>
      </c>
      <c r="M1346">
        <v>1</v>
      </c>
      <c r="N1346">
        <v>0</v>
      </c>
      <c r="P1346">
        <v>56.5</v>
      </c>
      <c r="R1346" t="str">
        <f t="shared" si="120"/>
        <v>Unique</v>
      </c>
      <c r="S1346" t="str">
        <f t="shared" si="121"/>
        <v>Valid</v>
      </c>
      <c r="T1346" t="str">
        <f t="shared" si="122"/>
        <v>Valid</v>
      </c>
      <c r="U1346" t="str">
        <f t="shared" si="123"/>
        <v>Valid</v>
      </c>
      <c r="V1346" t="str">
        <f t="shared" si="124"/>
        <v>Valid</v>
      </c>
      <c r="W1346" t="str">
        <f t="shared" si="125"/>
        <v>Valid</v>
      </c>
    </row>
    <row r="1347" spans="1:23">
      <c r="A1347" t="s">
        <v>1378</v>
      </c>
      <c r="B1347" s="2">
        <v>45768</v>
      </c>
      <c r="C1347" t="s">
        <v>723</v>
      </c>
      <c r="D1347" t="s">
        <v>18</v>
      </c>
      <c r="E1347" t="s">
        <v>24</v>
      </c>
      <c r="F1347" t="s">
        <v>41</v>
      </c>
      <c r="G1347" t="s">
        <v>30</v>
      </c>
      <c r="H1347">
        <v>1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P1347">
        <v>44.7</v>
      </c>
      <c r="R1347" t="str">
        <f t="shared" ref="R1347:R1409" si="126">IF(COUNTIF($A:$A,A1347)&gt;1,"Duplicate","Unique")</f>
        <v>Unique</v>
      </c>
      <c r="S1347" t="str">
        <f t="shared" ref="S1347:S1409" si="127">IF(OR(H1347=0,H1347=1),"Valid","Invalid")</f>
        <v>Valid</v>
      </c>
      <c r="T1347" t="str">
        <f t="shared" ref="T1347:T1409" si="128">IF(OR(I1347=0,I1347=1),"Valid","Invalid")</f>
        <v>Valid</v>
      </c>
      <c r="U1347" t="str">
        <f t="shared" ref="U1347:U1409" si="129">IF(OR(J1347=0,J1347=1),"Valid","Invalid")</f>
        <v>Valid</v>
      </c>
      <c r="V1347" t="str">
        <f t="shared" ref="V1347:V1409" si="130">IF(OR(K1347=0,K1347=1),"Valid","Invalid")</f>
        <v>Valid</v>
      </c>
      <c r="W1347" t="str">
        <f t="shared" ref="W1347:W1409" si="131">IF(OR(N1347=0,N1347=1),"Valid","Invalid")</f>
        <v>Valid</v>
      </c>
    </row>
    <row r="1348" spans="1:23">
      <c r="A1348" t="s">
        <v>1379</v>
      </c>
      <c r="B1348" s="2">
        <v>45660</v>
      </c>
      <c r="C1348" t="s">
        <v>723</v>
      </c>
      <c r="D1348" t="s">
        <v>32</v>
      </c>
      <c r="E1348" t="s">
        <v>24</v>
      </c>
      <c r="F1348" t="s">
        <v>41</v>
      </c>
      <c r="G1348" t="s">
        <v>26</v>
      </c>
      <c r="H1348">
        <v>1</v>
      </c>
      <c r="I1348">
        <v>1</v>
      </c>
      <c r="J1348">
        <v>1</v>
      </c>
      <c r="K1348">
        <v>0</v>
      </c>
      <c r="L1348">
        <v>0</v>
      </c>
      <c r="M1348">
        <v>1</v>
      </c>
      <c r="N1348">
        <v>0</v>
      </c>
      <c r="P1348">
        <v>66</v>
      </c>
      <c r="R1348" t="str">
        <f t="shared" si="126"/>
        <v>Unique</v>
      </c>
      <c r="S1348" t="str">
        <f t="shared" si="127"/>
        <v>Valid</v>
      </c>
      <c r="T1348" t="str">
        <f t="shared" si="128"/>
        <v>Valid</v>
      </c>
      <c r="U1348" t="str">
        <f t="shared" si="129"/>
        <v>Valid</v>
      </c>
      <c r="V1348" t="str">
        <f t="shared" si="130"/>
        <v>Valid</v>
      </c>
      <c r="W1348" t="str">
        <f t="shared" si="131"/>
        <v>Valid</v>
      </c>
    </row>
    <row r="1349" spans="1:23">
      <c r="A1349" t="s">
        <v>1380</v>
      </c>
      <c r="B1349" s="2">
        <v>45786</v>
      </c>
      <c r="C1349" t="s">
        <v>723</v>
      </c>
      <c r="D1349" t="s">
        <v>18</v>
      </c>
      <c r="E1349" t="s">
        <v>19</v>
      </c>
      <c r="F1349" t="s">
        <v>25</v>
      </c>
      <c r="G1349" t="s">
        <v>21</v>
      </c>
      <c r="H1349">
        <v>1</v>
      </c>
      <c r="I1349">
        <v>0</v>
      </c>
      <c r="J1349">
        <v>0</v>
      </c>
      <c r="K1349">
        <v>0</v>
      </c>
      <c r="L1349">
        <v>0</v>
      </c>
      <c r="M1349">
        <v>0</v>
      </c>
      <c r="N1349">
        <v>0</v>
      </c>
      <c r="P1349">
        <v>73</v>
      </c>
      <c r="R1349" t="str">
        <f t="shared" si="126"/>
        <v>Unique</v>
      </c>
      <c r="S1349" t="str">
        <f t="shared" si="127"/>
        <v>Valid</v>
      </c>
      <c r="T1349" t="str">
        <f t="shared" si="128"/>
        <v>Valid</v>
      </c>
      <c r="U1349" t="str">
        <f t="shared" si="129"/>
        <v>Valid</v>
      </c>
      <c r="V1349" t="str">
        <f t="shared" si="130"/>
        <v>Valid</v>
      </c>
      <c r="W1349" t="str">
        <f t="shared" si="131"/>
        <v>Valid</v>
      </c>
    </row>
    <row r="1350" spans="1:23">
      <c r="A1350" t="s">
        <v>1381</v>
      </c>
      <c r="B1350" s="2">
        <v>45799</v>
      </c>
      <c r="C1350" t="s">
        <v>723</v>
      </c>
      <c r="D1350" t="s">
        <v>32</v>
      </c>
      <c r="E1350" t="s">
        <v>24</v>
      </c>
      <c r="F1350" t="s">
        <v>25</v>
      </c>
      <c r="G1350" t="s">
        <v>21</v>
      </c>
      <c r="H1350">
        <v>1</v>
      </c>
      <c r="I1350">
        <v>1</v>
      </c>
      <c r="J1350">
        <v>1</v>
      </c>
      <c r="K1350">
        <v>0</v>
      </c>
      <c r="L1350">
        <v>0</v>
      </c>
      <c r="M1350">
        <v>1</v>
      </c>
      <c r="N1350">
        <v>0</v>
      </c>
      <c r="P1350">
        <v>72.5</v>
      </c>
      <c r="R1350" t="str">
        <f t="shared" si="126"/>
        <v>Unique</v>
      </c>
      <c r="S1350" t="str">
        <f t="shared" si="127"/>
        <v>Valid</v>
      </c>
      <c r="T1350" t="str">
        <f t="shared" si="128"/>
        <v>Valid</v>
      </c>
      <c r="U1350" t="str">
        <f t="shared" si="129"/>
        <v>Valid</v>
      </c>
      <c r="V1350" t="str">
        <f t="shared" si="130"/>
        <v>Valid</v>
      </c>
      <c r="W1350" t="str">
        <f t="shared" si="131"/>
        <v>Valid</v>
      </c>
    </row>
    <row r="1351" spans="1:23">
      <c r="A1351" t="s">
        <v>1382</v>
      </c>
      <c r="B1351" s="2">
        <v>45784</v>
      </c>
      <c r="C1351" t="s">
        <v>723</v>
      </c>
      <c r="D1351" t="s">
        <v>32</v>
      </c>
      <c r="E1351" t="s">
        <v>19</v>
      </c>
      <c r="F1351" t="s">
        <v>29</v>
      </c>
      <c r="G1351" t="s">
        <v>26</v>
      </c>
      <c r="H1351">
        <v>1</v>
      </c>
      <c r="I1351">
        <v>1</v>
      </c>
      <c r="J1351">
        <v>1</v>
      </c>
      <c r="K1351">
        <v>1</v>
      </c>
      <c r="L1351">
        <v>323.60000000000002</v>
      </c>
      <c r="M1351">
        <v>0</v>
      </c>
      <c r="N1351">
        <v>0</v>
      </c>
      <c r="O1351">
        <v>6</v>
      </c>
      <c r="P1351">
        <v>100</v>
      </c>
      <c r="R1351" t="str">
        <f t="shared" si="126"/>
        <v>Unique</v>
      </c>
      <c r="S1351" t="str">
        <f t="shared" si="127"/>
        <v>Valid</v>
      </c>
      <c r="T1351" t="str">
        <f t="shared" si="128"/>
        <v>Valid</v>
      </c>
      <c r="U1351" t="str">
        <f t="shared" si="129"/>
        <v>Valid</v>
      </c>
      <c r="V1351" t="str">
        <f t="shared" si="130"/>
        <v>Valid</v>
      </c>
      <c r="W1351" t="str">
        <f t="shared" si="131"/>
        <v>Valid</v>
      </c>
    </row>
    <row r="1352" spans="1:23">
      <c r="A1352" t="s">
        <v>1383</v>
      </c>
      <c r="B1352" s="2">
        <v>45696</v>
      </c>
      <c r="C1352" t="s">
        <v>723</v>
      </c>
      <c r="D1352" t="s">
        <v>28</v>
      </c>
      <c r="E1352" t="s">
        <v>24</v>
      </c>
      <c r="F1352" t="s">
        <v>41</v>
      </c>
      <c r="G1352" t="s">
        <v>26</v>
      </c>
      <c r="H1352">
        <v>0</v>
      </c>
      <c r="I1352">
        <v>0</v>
      </c>
      <c r="J1352">
        <v>0</v>
      </c>
      <c r="K1352">
        <v>0</v>
      </c>
      <c r="L1352">
        <v>0</v>
      </c>
      <c r="M1352">
        <v>1</v>
      </c>
      <c r="N1352">
        <v>0</v>
      </c>
      <c r="P1352">
        <v>90.5</v>
      </c>
      <c r="R1352" t="str">
        <f t="shared" si="126"/>
        <v>Unique</v>
      </c>
      <c r="S1352" t="str">
        <f t="shared" si="127"/>
        <v>Valid</v>
      </c>
      <c r="T1352" t="str">
        <f t="shared" si="128"/>
        <v>Valid</v>
      </c>
      <c r="U1352" t="str">
        <f t="shared" si="129"/>
        <v>Valid</v>
      </c>
      <c r="V1352" t="str">
        <f t="shared" si="130"/>
        <v>Valid</v>
      </c>
      <c r="W1352" t="str">
        <f t="shared" si="131"/>
        <v>Valid</v>
      </c>
    </row>
    <row r="1353" spans="1:23">
      <c r="A1353" t="s">
        <v>1384</v>
      </c>
      <c r="B1353" s="2">
        <v>45750</v>
      </c>
      <c r="C1353" t="s">
        <v>723</v>
      </c>
      <c r="D1353" t="s">
        <v>18</v>
      </c>
      <c r="E1353" t="s">
        <v>34</v>
      </c>
      <c r="F1353" t="s">
        <v>41</v>
      </c>
      <c r="G1353" t="s">
        <v>21</v>
      </c>
      <c r="H1353">
        <v>1</v>
      </c>
      <c r="I1353">
        <v>0</v>
      </c>
      <c r="J1353">
        <v>0</v>
      </c>
      <c r="K1353">
        <v>0</v>
      </c>
      <c r="L1353">
        <v>0</v>
      </c>
      <c r="M1353">
        <v>0</v>
      </c>
      <c r="N1353">
        <v>0</v>
      </c>
      <c r="P1353">
        <v>70.2</v>
      </c>
      <c r="R1353" t="str">
        <f t="shared" si="126"/>
        <v>Unique</v>
      </c>
      <c r="S1353" t="str">
        <f t="shared" si="127"/>
        <v>Valid</v>
      </c>
      <c r="T1353" t="str">
        <f t="shared" si="128"/>
        <v>Valid</v>
      </c>
      <c r="U1353" t="str">
        <f t="shared" si="129"/>
        <v>Valid</v>
      </c>
      <c r="V1353" t="str">
        <f t="shared" si="130"/>
        <v>Valid</v>
      </c>
      <c r="W1353" t="str">
        <f t="shared" si="131"/>
        <v>Valid</v>
      </c>
    </row>
    <row r="1354" spans="1:23">
      <c r="A1354" t="s">
        <v>1385</v>
      </c>
      <c r="B1354" s="2">
        <v>45764</v>
      </c>
      <c r="C1354" t="s">
        <v>723</v>
      </c>
      <c r="D1354" t="s">
        <v>28</v>
      </c>
      <c r="E1354" t="s">
        <v>19</v>
      </c>
      <c r="F1354" t="s">
        <v>29</v>
      </c>
      <c r="G1354" t="s">
        <v>26</v>
      </c>
      <c r="H1354">
        <v>1</v>
      </c>
      <c r="I1354">
        <v>0</v>
      </c>
      <c r="J1354">
        <v>0</v>
      </c>
      <c r="K1354">
        <v>0</v>
      </c>
      <c r="L1354">
        <v>0</v>
      </c>
      <c r="M1354">
        <v>1</v>
      </c>
      <c r="N1354">
        <v>0</v>
      </c>
      <c r="P1354">
        <v>67.099999999999994</v>
      </c>
      <c r="R1354" t="str">
        <f t="shared" si="126"/>
        <v>Unique</v>
      </c>
      <c r="S1354" t="str">
        <f t="shared" si="127"/>
        <v>Valid</v>
      </c>
      <c r="T1354" t="str">
        <f t="shared" si="128"/>
        <v>Valid</v>
      </c>
      <c r="U1354" t="str">
        <f t="shared" si="129"/>
        <v>Valid</v>
      </c>
      <c r="V1354" t="str">
        <f t="shared" si="130"/>
        <v>Valid</v>
      </c>
      <c r="W1354" t="str">
        <f t="shared" si="131"/>
        <v>Valid</v>
      </c>
    </row>
    <row r="1355" spans="1:23">
      <c r="A1355" t="s">
        <v>1386</v>
      </c>
      <c r="B1355" s="2">
        <v>45781</v>
      </c>
      <c r="C1355" t="s">
        <v>723</v>
      </c>
      <c r="D1355" t="s">
        <v>28</v>
      </c>
      <c r="E1355" t="s">
        <v>24</v>
      </c>
      <c r="F1355" t="s">
        <v>25</v>
      </c>
      <c r="G1355" t="s">
        <v>26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P1355">
        <v>54.5</v>
      </c>
      <c r="R1355" t="str">
        <f t="shared" si="126"/>
        <v>Unique</v>
      </c>
      <c r="S1355" t="str">
        <f t="shared" si="127"/>
        <v>Valid</v>
      </c>
      <c r="T1355" t="str">
        <f t="shared" si="128"/>
        <v>Valid</v>
      </c>
      <c r="U1355" t="str">
        <f t="shared" si="129"/>
        <v>Valid</v>
      </c>
      <c r="V1355" t="str">
        <f t="shared" si="130"/>
        <v>Valid</v>
      </c>
      <c r="W1355" t="str">
        <f t="shared" si="131"/>
        <v>Valid</v>
      </c>
    </row>
    <row r="1356" spans="1:23">
      <c r="A1356" t="s">
        <v>1387</v>
      </c>
      <c r="B1356" s="2">
        <v>45788</v>
      </c>
      <c r="C1356" t="s">
        <v>723</v>
      </c>
      <c r="D1356" t="s">
        <v>23</v>
      </c>
      <c r="E1356" t="s">
        <v>19</v>
      </c>
      <c r="F1356" t="s">
        <v>25</v>
      </c>
      <c r="G1356" t="s">
        <v>26</v>
      </c>
      <c r="H1356">
        <v>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P1356">
        <v>63.4</v>
      </c>
      <c r="R1356" t="str">
        <f t="shared" si="126"/>
        <v>Unique</v>
      </c>
      <c r="S1356" t="str">
        <f t="shared" si="127"/>
        <v>Valid</v>
      </c>
      <c r="T1356" t="str">
        <f t="shared" si="128"/>
        <v>Valid</v>
      </c>
      <c r="U1356" t="str">
        <f t="shared" si="129"/>
        <v>Valid</v>
      </c>
      <c r="V1356" t="str">
        <f t="shared" si="130"/>
        <v>Valid</v>
      </c>
      <c r="W1356" t="str">
        <f t="shared" si="131"/>
        <v>Valid</v>
      </c>
    </row>
    <row r="1357" spans="1:23">
      <c r="A1357" t="s">
        <v>1388</v>
      </c>
      <c r="B1357" s="2">
        <v>45717</v>
      </c>
      <c r="C1357" t="s">
        <v>723</v>
      </c>
      <c r="D1357" t="s">
        <v>18</v>
      </c>
      <c r="E1357" t="s">
        <v>19</v>
      </c>
      <c r="F1357" t="s">
        <v>1451</v>
      </c>
      <c r="G1357" t="s">
        <v>26</v>
      </c>
      <c r="H1357">
        <v>1</v>
      </c>
      <c r="I1357">
        <v>1</v>
      </c>
      <c r="J1357">
        <v>1</v>
      </c>
      <c r="K1357">
        <v>0</v>
      </c>
      <c r="L1357">
        <v>0</v>
      </c>
      <c r="M1357">
        <v>0</v>
      </c>
      <c r="N1357">
        <v>0</v>
      </c>
      <c r="P1357">
        <v>84.3</v>
      </c>
      <c r="R1357" t="str">
        <f t="shared" si="126"/>
        <v>Unique</v>
      </c>
      <c r="S1357" t="str">
        <f t="shared" si="127"/>
        <v>Valid</v>
      </c>
      <c r="T1357" t="str">
        <f t="shared" si="128"/>
        <v>Valid</v>
      </c>
      <c r="U1357" t="str">
        <f t="shared" si="129"/>
        <v>Valid</v>
      </c>
      <c r="V1357" t="str">
        <f t="shared" si="130"/>
        <v>Valid</v>
      </c>
      <c r="W1357" t="str">
        <f t="shared" si="131"/>
        <v>Valid</v>
      </c>
    </row>
    <row r="1358" spans="1:23">
      <c r="A1358" t="s">
        <v>1389</v>
      </c>
      <c r="B1358" s="2">
        <v>45708</v>
      </c>
      <c r="C1358" t="s">
        <v>723</v>
      </c>
      <c r="D1358" t="s">
        <v>23</v>
      </c>
      <c r="E1358" t="s">
        <v>19</v>
      </c>
      <c r="F1358" t="s">
        <v>25</v>
      </c>
      <c r="G1358" t="s">
        <v>26</v>
      </c>
      <c r="H1358">
        <v>1</v>
      </c>
      <c r="I1358">
        <v>0</v>
      </c>
      <c r="J1358">
        <v>0</v>
      </c>
      <c r="K1358">
        <v>0</v>
      </c>
      <c r="L1358">
        <v>0</v>
      </c>
      <c r="M1358">
        <v>1</v>
      </c>
      <c r="N1358">
        <v>0</v>
      </c>
      <c r="P1358">
        <v>55</v>
      </c>
      <c r="R1358" t="str">
        <f t="shared" si="126"/>
        <v>Unique</v>
      </c>
      <c r="S1358" t="str">
        <f t="shared" si="127"/>
        <v>Valid</v>
      </c>
      <c r="T1358" t="str">
        <f t="shared" si="128"/>
        <v>Valid</v>
      </c>
      <c r="U1358" t="str">
        <f t="shared" si="129"/>
        <v>Valid</v>
      </c>
      <c r="V1358" t="str">
        <f t="shared" si="130"/>
        <v>Valid</v>
      </c>
      <c r="W1358" t="str">
        <f t="shared" si="131"/>
        <v>Valid</v>
      </c>
    </row>
    <row r="1359" spans="1:23">
      <c r="A1359" t="s">
        <v>1390</v>
      </c>
      <c r="B1359" s="2">
        <v>45786</v>
      </c>
      <c r="C1359" t="s">
        <v>723</v>
      </c>
      <c r="D1359" t="s">
        <v>23</v>
      </c>
      <c r="E1359" t="s">
        <v>24</v>
      </c>
      <c r="F1359" t="s">
        <v>41</v>
      </c>
      <c r="G1359" t="s">
        <v>26</v>
      </c>
      <c r="H1359">
        <v>1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P1359">
        <v>63.6</v>
      </c>
      <c r="R1359" t="str">
        <f t="shared" si="126"/>
        <v>Unique</v>
      </c>
      <c r="S1359" t="str">
        <f t="shared" si="127"/>
        <v>Valid</v>
      </c>
      <c r="T1359" t="str">
        <f t="shared" si="128"/>
        <v>Valid</v>
      </c>
      <c r="U1359" t="str">
        <f t="shared" si="129"/>
        <v>Valid</v>
      </c>
      <c r="V1359" t="str">
        <f t="shared" si="130"/>
        <v>Valid</v>
      </c>
      <c r="W1359" t="str">
        <f t="shared" si="131"/>
        <v>Valid</v>
      </c>
    </row>
    <row r="1360" spans="1:23">
      <c r="A1360" t="s">
        <v>1391</v>
      </c>
      <c r="B1360" s="2">
        <v>45777</v>
      </c>
      <c r="C1360" t="s">
        <v>723</v>
      </c>
      <c r="D1360" t="s">
        <v>23</v>
      </c>
      <c r="E1360" t="s">
        <v>24</v>
      </c>
      <c r="F1360" t="s">
        <v>25</v>
      </c>
      <c r="G1360" t="s">
        <v>26</v>
      </c>
      <c r="H1360">
        <v>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P1360">
        <v>55.5</v>
      </c>
      <c r="R1360" t="str">
        <f t="shared" si="126"/>
        <v>Unique</v>
      </c>
      <c r="S1360" t="str">
        <f t="shared" si="127"/>
        <v>Valid</v>
      </c>
      <c r="T1360" t="str">
        <f t="shared" si="128"/>
        <v>Valid</v>
      </c>
      <c r="U1360" t="str">
        <f t="shared" si="129"/>
        <v>Valid</v>
      </c>
      <c r="V1360" t="str">
        <f t="shared" si="130"/>
        <v>Valid</v>
      </c>
      <c r="W1360" t="str">
        <f t="shared" si="131"/>
        <v>Valid</v>
      </c>
    </row>
    <row r="1361" spans="1:23">
      <c r="A1361" t="s">
        <v>1392</v>
      </c>
      <c r="B1361" s="2">
        <v>45664</v>
      </c>
      <c r="C1361" t="s">
        <v>723</v>
      </c>
      <c r="D1361" t="s">
        <v>32</v>
      </c>
      <c r="E1361" t="s">
        <v>24</v>
      </c>
      <c r="F1361" t="s">
        <v>41</v>
      </c>
      <c r="G1361" t="s">
        <v>21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P1361">
        <v>50.5</v>
      </c>
      <c r="R1361" t="str">
        <f t="shared" si="126"/>
        <v>Unique</v>
      </c>
      <c r="S1361" t="str">
        <f t="shared" si="127"/>
        <v>Valid</v>
      </c>
      <c r="T1361" t="str">
        <f t="shared" si="128"/>
        <v>Valid</v>
      </c>
      <c r="U1361" t="str">
        <f t="shared" si="129"/>
        <v>Valid</v>
      </c>
      <c r="V1361" t="str">
        <f t="shared" si="130"/>
        <v>Valid</v>
      </c>
      <c r="W1361" t="str">
        <f t="shared" si="131"/>
        <v>Valid</v>
      </c>
    </row>
    <row r="1362" spans="1:23">
      <c r="A1362" t="s">
        <v>1393</v>
      </c>
      <c r="B1362" s="2">
        <v>45777</v>
      </c>
      <c r="C1362" t="s">
        <v>723</v>
      </c>
      <c r="D1362" t="s">
        <v>18</v>
      </c>
      <c r="E1362" t="s">
        <v>24</v>
      </c>
      <c r="F1362" t="s">
        <v>41</v>
      </c>
      <c r="G1362" t="s">
        <v>21</v>
      </c>
      <c r="H1362">
        <v>1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P1362">
        <v>45.3</v>
      </c>
      <c r="R1362" t="str">
        <f t="shared" si="126"/>
        <v>Unique</v>
      </c>
      <c r="S1362" t="str">
        <f t="shared" si="127"/>
        <v>Valid</v>
      </c>
      <c r="T1362" t="str">
        <f t="shared" si="128"/>
        <v>Valid</v>
      </c>
      <c r="U1362" t="str">
        <f t="shared" si="129"/>
        <v>Valid</v>
      </c>
      <c r="V1362" t="str">
        <f t="shared" si="130"/>
        <v>Valid</v>
      </c>
      <c r="W1362" t="str">
        <f t="shared" si="131"/>
        <v>Valid</v>
      </c>
    </row>
    <row r="1363" spans="1:23">
      <c r="A1363" t="s">
        <v>1394</v>
      </c>
      <c r="B1363" s="2">
        <v>45800</v>
      </c>
      <c r="C1363" t="s">
        <v>723</v>
      </c>
      <c r="D1363" t="s">
        <v>28</v>
      </c>
      <c r="E1363" t="s">
        <v>24</v>
      </c>
      <c r="F1363" t="s">
        <v>25</v>
      </c>
      <c r="G1363" t="s">
        <v>21</v>
      </c>
      <c r="H1363">
        <v>1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P1363">
        <v>33.6</v>
      </c>
      <c r="R1363" t="str">
        <f t="shared" si="126"/>
        <v>Duplicate</v>
      </c>
      <c r="S1363" t="str">
        <f t="shared" si="127"/>
        <v>Valid</v>
      </c>
      <c r="T1363" t="str">
        <f t="shared" si="128"/>
        <v>Valid</v>
      </c>
      <c r="U1363" t="str">
        <f t="shared" si="129"/>
        <v>Valid</v>
      </c>
      <c r="V1363" t="str">
        <f t="shared" si="130"/>
        <v>Valid</v>
      </c>
      <c r="W1363" t="str">
        <f t="shared" si="131"/>
        <v>Valid</v>
      </c>
    </row>
    <row r="1364" spans="1:23">
      <c r="A1364" t="s">
        <v>1395</v>
      </c>
      <c r="B1364" s="2">
        <v>45728</v>
      </c>
      <c r="C1364" t="s">
        <v>723</v>
      </c>
      <c r="D1364" t="s">
        <v>32</v>
      </c>
      <c r="E1364" t="s">
        <v>24</v>
      </c>
      <c r="F1364" t="s">
        <v>29</v>
      </c>
      <c r="G1364" t="s">
        <v>30</v>
      </c>
      <c r="H1364">
        <v>1</v>
      </c>
      <c r="I1364">
        <v>1</v>
      </c>
      <c r="J1364">
        <v>1</v>
      </c>
      <c r="K1364">
        <v>0</v>
      </c>
      <c r="L1364">
        <v>0</v>
      </c>
      <c r="M1364">
        <v>0</v>
      </c>
      <c r="N1364">
        <v>0</v>
      </c>
      <c r="P1364">
        <v>88.2</v>
      </c>
      <c r="R1364" t="str">
        <f t="shared" si="126"/>
        <v>Unique</v>
      </c>
      <c r="S1364" t="str">
        <f t="shared" si="127"/>
        <v>Valid</v>
      </c>
      <c r="T1364" t="str">
        <f t="shared" si="128"/>
        <v>Valid</v>
      </c>
      <c r="U1364" t="str">
        <f t="shared" si="129"/>
        <v>Valid</v>
      </c>
      <c r="V1364" t="str">
        <f t="shared" si="130"/>
        <v>Valid</v>
      </c>
      <c r="W1364" t="str">
        <f t="shared" si="131"/>
        <v>Valid</v>
      </c>
    </row>
    <row r="1365" spans="1:23">
      <c r="A1365" t="s">
        <v>1396</v>
      </c>
      <c r="B1365" s="2">
        <v>45705</v>
      </c>
      <c r="C1365" t="s">
        <v>723</v>
      </c>
      <c r="D1365" t="s">
        <v>18</v>
      </c>
      <c r="E1365" t="s">
        <v>24</v>
      </c>
      <c r="F1365" t="s">
        <v>25</v>
      </c>
      <c r="G1365" t="s">
        <v>30</v>
      </c>
      <c r="H1365">
        <v>1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P1365">
        <v>51.8</v>
      </c>
      <c r="R1365" t="str">
        <f t="shared" si="126"/>
        <v>Unique</v>
      </c>
      <c r="S1365" t="str">
        <f t="shared" si="127"/>
        <v>Valid</v>
      </c>
      <c r="T1365" t="str">
        <f t="shared" si="128"/>
        <v>Valid</v>
      </c>
      <c r="U1365" t="str">
        <f t="shared" si="129"/>
        <v>Valid</v>
      </c>
      <c r="V1365" t="str">
        <f t="shared" si="130"/>
        <v>Valid</v>
      </c>
      <c r="W1365" t="str">
        <f t="shared" si="131"/>
        <v>Valid</v>
      </c>
    </row>
    <row r="1366" spans="1:23">
      <c r="A1366" t="s">
        <v>1397</v>
      </c>
      <c r="B1366" s="2">
        <v>45804</v>
      </c>
      <c r="C1366" t="s">
        <v>723</v>
      </c>
      <c r="D1366" t="s">
        <v>18</v>
      </c>
      <c r="E1366" t="s">
        <v>19</v>
      </c>
      <c r="F1366" t="s">
        <v>25</v>
      </c>
      <c r="G1366" t="s">
        <v>21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P1366">
        <v>87.9</v>
      </c>
      <c r="R1366" t="str">
        <f t="shared" si="126"/>
        <v>Unique</v>
      </c>
      <c r="S1366" t="str">
        <f t="shared" si="127"/>
        <v>Valid</v>
      </c>
      <c r="T1366" t="str">
        <f t="shared" si="128"/>
        <v>Valid</v>
      </c>
      <c r="U1366" t="str">
        <f t="shared" si="129"/>
        <v>Valid</v>
      </c>
      <c r="V1366" t="str">
        <f t="shared" si="130"/>
        <v>Valid</v>
      </c>
      <c r="W1366" t="str">
        <f t="shared" si="131"/>
        <v>Valid</v>
      </c>
    </row>
    <row r="1367" spans="1:23">
      <c r="A1367" t="s">
        <v>1398</v>
      </c>
      <c r="B1367" s="2">
        <v>45787</v>
      </c>
      <c r="C1367" t="s">
        <v>723</v>
      </c>
      <c r="D1367" t="s">
        <v>32</v>
      </c>
      <c r="E1367" t="s">
        <v>24</v>
      </c>
      <c r="F1367" t="s">
        <v>41</v>
      </c>
      <c r="G1367" t="s">
        <v>30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2</v>
      </c>
      <c r="N1367">
        <v>0</v>
      </c>
      <c r="P1367">
        <v>70.5</v>
      </c>
      <c r="R1367" t="str">
        <f t="shared" si="126"/>
        <v>Unique</v>
      </c>
      <c r="S1367" t="str">
        <f t="shared" si="127"/>
        <v>Valid</v>
      </c>
      <c r="T1367" t="str">
        <f t="shared" si="128"/>
        <v>Valid</v>
      </c>
      <c r="U1367" t="str">
        <f t="shared" si="129"/>
        <v>Valid</v>
      </c>
      <c r="V1367" t="str">
        <f t="shared" si="130"/>
        <v>Valid</v>
      </c>
      <c r="W1367" t="str">
        <f t="shared" si="131"/>
        <v>Valid</v>
      </c>
    </row>
    <row r="1368" spans="1:23">
      <c r="A1368" t="s">
        <v>1399</v>
      </c>
      <c r="B1368" s="2">
        <v>45677</v>
      </c>
      <c r="C1368" t="s">
        <v>723</v>
      </c>
      <c r="D1368" t="s">
        <v>18</v>
      </c>
      <c r="E1368" t="s">
        <v>24</v>
      </c>
      <c r="F1368" t="s">
        <v>25</v>
      </c>
      <c r="G1368" t="s">
        <v>21</v>
      </c>
      <c r="H1368">
        <v>1</v>
      </c>
      <c r="I1368">
        <v>1</v>
      </c>
      <c r="J1368">
        <v>0</v>
      </c>
      <c r="K1368">
        <v>0</v>
      </c>
      <c r="L1368">
        <v>0</v>
      </c>
      <c r="M1368">
        <v>2</v>
      </c>
      <c r="N1368">
        <v>0</v>
      </c>
      <c r="P1368">
        <v>58.5</v>
      </c>
      <c r="R1368" t="str">
        <f t="shared" si="126"/>
        <v>Unique</v>
      </c>
      <c r="S1368" t="str">
        <f t="shared" si="127"/>
        <v>Valid</v>
      </c>
      <c r="T1368" t="str">
        <f t="shared" si="128"/>
        <v>Valid</v>
      </c>
      <c r="U1368" t="str">
        <f t="shared" si="129"/>
        <v>Valid</v>
      </c>
      <c r="V1368" t="str">
        <f t="shared" si="130"/>
        <v>Valid</v>
      </c>
      <c r="W1368" t="str">
        <f t="shared" si="131"/>
        <v>Valid</v>
      </c>
    </row>
    <row r="1369" spans="1:23">
      <c r="A1369" t="s">
        <v>1400</v>
      </c>
      <c r="B1369" s="2">
        <v>45676</v>
      </c>
      <c r="C1369" t="s">
        <v>723</v>
      </c>
      <c r="D1369" t="s">
        <v>28</v>
      </c>
      <c r="E1369" t="s">
        <v>24</v>
      </c>
      <c r="F1369" t="s">
        <v>39</v>
      </c>
      <c r="G1369" t="s">
        <v>26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P1369">
        <v>65.599999999999994</v>
      </c>
      <c r="R1369" t="str">
        <f t="shared" si="126"/>
        <v>Unique</v>
      </c>
      <c r="S1369" t="str">
        <f t="shared" si="127"/>
        <v>Valid</v>
      </c>
      <c r="T1369" t="str">
        <f t="shared" si="128"/>
        <v>Valid</v>
      </c>
      <c r="U1369" t="str">
        <f t="shared" si="129"/>
        <v>Valid</v>
      </c>
      <c r="V1369" t="str">
        <f t="shared" si="130"/>
        <v>Valid</v>
      </c>
      <c r="W1369" t="str">
        <f t="shared" si="131"/>
        <v>Valid</v>
      </c>
    </row>
    <row r="1370" spans="1:23">
      <c r="A1370" t="s">
        <v>1401</v>
      </c>
      <c r="B1370" s="2">
        <v>45723</v>
      </c>
      <c r="C1370" t="s">
        <v>723</v>
      </c>
      <c r="D1370" t="s">
        <v>23</v>
      </c>
      <c r="E1370" t="s">
        <v>19</v>
      </c>
      <c r="F1370" t="s">
        <v>29</v>
      </c>
      <c r="G1370" t="s">
        <v>21</v>
      </c>
      <c r="H1370">
        <v>1</v>
      </c>
      <c r="I1370">
        <v>1</v>
      </c>
      <c r="J1370">
        <v>0</v>
      </c>
      <c r="K1370">
        <v>0</v>
      </c>
      <c r="L1370">
        <v>0</v>
      </c>
      <c r="M1370">
        <v>0</v>
      </c>
      <c r="N1370">
        <v>0</v>
      </c>
      <c r="P1370">
        <v>62.7</v>
      </c>
      <c r="R1370" t="str">
        <f t="shared" si="126"/>
        <v>Unique</v>
      </c>
      <c r="S1370" t="str">
        <f t="shared" si="127"/>
        <v>Valid</v>
      </c>
      <c r="T1370" t="str">
        <f t="shared" si="128"/>
        <v>Valid</v>
      </c>
      <c r="U1370" t="str">
        <f t="shared" si="129"/>
        <v>Valid</v>
      </c>
      <c r="V1370" t="str">
        <f t="shared" si="130"/>
        <v>Valid</v>
      </c>
      <c r="W1370" t="str">
        <f t="shared" si="131"/>
        <v>Valid</v>
      </c>
    </row>
    <row r="1371" spans="1:23">
      <c r="A1371" t="s">
        <v>1402</v>
      </c>
      <c r="B1371" s="2">
        <v>45690</v>
      </c>
      <c r="C1371" t="s">
        <v>723</v>
      </c>
      <c r="D1371" t="s">
        <v>28</v>
      </c>
      <c r="E1371" t="s">
        <v>24</v>
      </c>
      <c r="F1371" t="s">
        <v>25</v>
      </c>
      <c r="G1371" t="s">
        <v>26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1</v>
      </c>
      <c r="N1371">
        <v>0</v>
      </c>
      <c r="P1371">
        <v>50.9</v>
      </c>
      <c r="R1371" t="str">
        <f t="shared" si="126"/>
        <v>Unique</v>
      </c>
      <c r="S1371" t="str">
        <f t="shared" si="127"/>
        <v>Valid</v>
      </c>
      <c r="T1371" t="str">
        <f t="shared" si="128"/>
        <v>Valid</v>
      </c>
      <c r="U1371" t="str">
        <f t="shared" si="129"/>
        <v>Valid</v>
      </c>
      <c r="V1371" t="str">
        <f t="shared" si="130"/>
        <v>Valid</v>
      </c>
      <c r="W1371" t="str">
        <f t="shared" si="131"/>
        <v>Valid</v>
      </c>
    </row>
    <row r="1372" spans="1:23">
      <c r="A1372" t="s">
        <v>1403</v>
      </c>
      <c r="B1372" s="2">
        <v>45723</v>
      </c>
      <c r="C1372" t="s">
        <v>723</v>
      </c>
      <c r="D1372" t="s">
        <v>18</v>
      </c>
      <c r="E1372" t="s">
        <v>24</v>
      </c>
      <c r="F1372" t="s">
        <v>25</v>
      </c>
      <c r="G1372" t="s">
        <v>26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1</v>
      </c>
      <c r="N1372">
        <v>0</v>
      </c>
      <c r="P1372">
        <v>60.6</v>
      </c>
      <c r="R1372" t="str">
        <f t="shared" si="126"/>
        <v>Unique</v>
      </c>
      <c r="S1372" t="str">
        <f t="shared" si="127"/>
        <v>Valid</v>
      </c>
      <c r="T1372" t="str">
        <f t="shared" si="128"/>
        <v>Valid</v>
      </c>
      <c r="U1372" t="str">
        <f t="shared" si="129"/>
        <v>Valid</v>
      </c>
      <c r="V1372" t="str">
        <f t="shared" si="130"/>
        <v>Valid</v>
      </c>
      <c r="W1372" t="str">
        <f t="shared" si="131"/>
        <v>Valid</v>
      </c>
    </row>
    <row r="1373" spans="1:23">
      <c r="A1373" t="s">
        <v>1404</v>
      </c>
      <c r="B1373" s="2">
        <v>45746</v>
      </c>
      <c r="C1373" t="s">
        <v>723</v>
      </c>
      <c r="D1373" t="s">
        <v>28</v>
      </c>
      <c r="E1373" t="s">
        <v>19</v>
      </c>
      <c r="F1373" t="s">
        <v>25</v>
      </c>
      <c r="G1373" t="s">
        <v>26</v>
      </c>
      <c r="H1373">
        <v>1</v>
      </c>
      <c r="I1373">
        <v>1</v>
      </c>
      <c r="J1373">
        <v>1</v>
      </c>
      <c r="K1373">
        <v>0</v>
      </c>
      <c r="L1373">
        <v>0</v>
      </c>
      <c r="M1373">
        <v>0</v>
      </c>
      <c r="N1373">
        <v>0</v>
      </c>
      <c r="P1373">
        <v>76.599999999999994</v>
      </c>
      <c r="R1373" t="str">
        <f t="shared" si="126"/>
        <v>Unique</v>
      </c>
      <c r="S1373" t="str">
        <f t="shared" si="127"/>
        <v>Valid</v>
      </c>
      <c r="T1373" t="str">
        <f t="shared" si="128"/>
        <v>Valid</v>
      </c>
      <c r="U1373" t="str">
        <f t="shared" si="129"/>
        <v>Valid</v>
      </c>
      <c r="V1373" t="str">
        <f t="shared" si="130"/>
        <v>Valid</v>
      </c>
      <c r="W1373" t="str">
        <f t="shared" si="131"/>
        <v>Valid</v>
      </c>
    </row>
    <row r="1374" spans="1:23">
      <c r="A1374" t="s">
        <v>1405</v>
      </c>
      <c r="B1374" s="2">
        <v>45782</v>
      </c>
      <c r="C1374" t="s">
        <v>723</v>
      </c>
      <c r="D1374" t="s">
        <v>28</v>
      </c>
      <c r="E1374" t="s">
        <v>19</v>
      </c>
      <c r="F1374" t="s">
        <v>29</v>
      </c>
      <c r="G1374" t="s">
        <v>26</v>
      </c>
      <c r="H1374">
        <v>1</v>
      </c>
      <c r="I1374">
        <v>1</v>
      </c>
      <c r="J1374">
        <v>1</v>
      </c>
      <c r="K1374">
        <v>0</v>
      </c>
      <c r="L1374">
        <v>0</v>
      </c>
      <c r="M1374">
        <v>0</v>
      </c>
      <c r="N1374">
        <v>0</v>
      </c>
      <c r="P1374">
        <v>54.4</v>
      </c>
      <c r="R1374" t="str">
        <f t="shared" si="126"/>
        <v>Unique</v>
      </c>
      <c r="S1374" t="str">
        <f t="shared" si="127"/>
        <v>Valid</v>
      </c>
      <c r="T1374" t="str">
        <f t="shared" si="128"/>
        <v>Valid</v>
      </c>
      <c r="U1374" t="str">
        <f t="shared" si="129"/>
        <v>Valid</v>
      </c>
      <c r="V1374" t="str">
        <f t="shared" si="130"/>
        <v>Valid</v>
      </c>
      <c r="W1374" t="str">
        <f t="shared" si="131"/>
        <v>Valid</v>
      </c>
    </row>
    <row r="1375" spans="1:23">
      <c r="A1375" t="s">
        <v>1406</v>
      </c>
      <c r="B1375" s="2">
        <v>45758</v>
      </c>
      <c r="C1375" t="s">
        <v>723</v>
      </c>
      <c r="D1375" t="s">
        <v>32</v>
      </c>
      <c r="E1375" t="s">
        <v>24</v>
      </c>
      <c r="F1375" t="s">
        <v>41</v>
      </c>
      <c r="G1375" t="s">
        <v>26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P1375">
        <v>31.2</v>
      </c>
      <c r="R1375" t="str">
        <f t="shared" si="126"/>
        <v>Unique</v>
      </c>
      <c r="S1375" t="str">
        <f t="shared" si="127"/>
        <v>Valid</v>
      </c>
      <c r="T1375" t="str">
        <f t="shared" si="128"/>
        <v>Valid</v>
      </c>
      <c r="U1375" t="str">
        <f t="shared" si="129"/>
        <v>Valid</v>
      </c>
      <c r="V1375" t="str">
        <f t="shared" si="130"/>
        <v>Valid</v>
      </c>
      <c r="W1375" t="str">
        <f t="shared" si="131"/>
        <v>Valid</v>
      </c>
    </row>
    <row r="1376" spans="1:23">
      <c r="A1376" t="s">
        <v>1407</v>
      </c>
      <c r="B1376" s="2">
        <v>45741</v>
      </c>
      <c r="C1376" t="s">
        <v>723</v>
      </c>
      <c r="D1376" t="s">
        <v>23</v>
      </c>
      <c r="E1376" t="s">
        <v>19</v>
      </c>
      <c r="F1376" t="s">
        <v>20</v>
      </c>
      <c r="G1376" t="s">
        <v>30</v>
      </c>
      <c r="H1376">
        <v>1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P1376">
        <v>72.400000000000006</v>
      </c>
      <c r="R1376" t="str">
        <f t="shared" si="126"/>
        <v>Unique</v>
      </c>
      <c r="S1376" t="str">
        <f t="shared" si="127"/>
        <v>Valid</v>
      </c>
      <c r="T1376" t="str">
        <f t="shared" si="128"/>
        <v>Valid</v>
      </c>
      <c r="U1376" t="str">
        <f t="shared" si="129"/>
        <v>Valid</v>
      </c>
      <c r="V1376" t="str">
        <f t="shared" si="130"/>
        <v>Valid</v>
      </c>
      <c r="W1376" t="str">
        <f t="shared" si="131"/>
        <v>Valid</v>
      </c>
    </row>
    <row r="1377" spans="1:23">
      <c r="A1377" t="s">
        <v>1408</v>
      </c>
      <c r="B1377" s="2">
        <v>45740</v>
      </c>
      <c r="C1377" t="s">
        <v>723</v>
      </c>
      <c r="D1377" t="s">
        <v>18</v>
      </c>
      <c r="E1377" t="s">
        <v>24</v>
      </c>
      <c r="F1377" t="s">
        <v>25</v>
      </c>
      <c r="G1377" t="s">
        <v>30</v>
      </c>
      <c r="H1377">
        <v>1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P1377">
        <v>74.5</v>
      </c>
      <c r="R1377" t="str">
        <f t="shared" si="126"/>
        <v>Unique</v>
      </c>
      <c r="S1377" t="str">
        <f t="shared" si="127"/>
        <v>Valid</v>
      </c>
      <c r="T1377" t="str">
        <f t="shared" si="128"/>
        <v>Valid</v>
      </c>
      <c r="U1377" t="str">
        <f t="shared" si="129"/>
        <v>Valid</v>
      </c>
      <c r="V1377" t="str">
        <f t="shared" si="130"/>
        <v>Valid</v>
      </c>
      <c r="W1377" t="str">
        <f t="shared" si="131"/>
        <v>Valid</v>
      </c>
    </row>
    <row r="1378" spans="1:23">
      <c r="A1378" t="s">
        <v>1409</v>
      </c>
      <c r="B1378" s="2">
        <v>45774</v>
      </c>
      <c r="C1378" t="s">
        <v>723</v>
      </c>
      <c r="D1378" t="s">
        <v>28</v>
      </c>
      <c r="E1378" t="s">
        <v>24</v>
      </c>
      <c r="F1378" t="s">
        <v>25</v>
      </c>
      <c r="G1378" t="s">
        <v>21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P1378">
        <v>52.6</v>
      </c>
      <c r="R1378" t="str">
        <f t="shared" si="126"/>
        <v>Unique</v>
      </c>
      <c r="S1378" t="str">
        <f t="shared" si="127"/>
        <v>Valid</v>
      </c>
      <c r="T1378" t="str">
        <f t="shared" si="128"/>
        <v>Valid</v>
      </c>
      <c r="U1378" t="str">
        <f t="shared" si="129"/>
        <v>Valid</v>
      </c>
      <c r="V1378" t="str">
        <f t="shared" si="130"/>
        <v>Valid</v>
      </c>
      <c r="W1378" t="str">
        <f t="shared" si="131"/>
        <v>Valid</v>
      </c>
    </row>
    <row r="1379" spans="1:23">
      <c r="A1379" t="s">
        <v>1410</v>
      </c>
      <c r="B1379" s="2">
        <v>45682</v>
      </c>
      <c r="C1379" t="s">
        <v>723</v>
      </c>
      <c r="D1379" t="s">
        <v>18</v>
      </c>
      <c r="E1379" t="s">
        <v>19</v>
      </c>
      <c r="F1379" t="s">
        <v>29</v>
      </c>
      <c r="G1379" t="s">
        <v>26</v>
      </c>
      <c r="H1379">
        <v>1</v>
      </c>
      <c r="I1379">
        <v>0</v>
      </c>
      <c r="J1379">
        <v>0</v>
      </c>
      <c r="K1379">
        <v>0</v>
      </c>
      <c r="L1379">
        <v>0</v>
      </c>
      <c r="M1379">
        <v>0</v>
      </c>
      <c r="N1379">
        <v>0</v>
      </c>
      <c r="P1379">
        <v>75.400000000000006</v>
      </c>
      <c r="R1379" t="str">
        <f t="shared" si="126"/>
        <v>Unique</v>
      </c>
      <c r="S1379" t="str">
        <f t="shared" si="127"/>
        <v>Valid</v>
      </c>
      <c r="T1379" t="str">
        <f t="shared" si="128"/>
        <v>Valid</v>
      </c>
      <c r="U1379" t="str">
        <f t="shared" si="129"/>
        <v>Valid</v>
      </c>
      <c r="V1379" t="str">
        <f t="shared" si="130"/>
        <v>Valid</v>
      </c>
      <c r="W1379" t="str">
        <f t="shared" si="131"/>
        <v>Valid</v>
      </c>
    </row>
    <row r="1380" spans="1:23">
      <c r="A1380" t="s">
        <v>1411</v>
      </c>
      <c r="B1380" s="2">
        <v>45705</v>
      </c>
      <c r="C1380" t="s">
        <v>723</v>
      </c>
      <c r="D1380" t="s">
        <v>18</v>
      </c>
      <c r="E1380" t="s">
        <v>34</v>
      </c>
      <c r="F1380" t="s">
        <v>41</v>
      </c>
      <c r="G1380" t="s">
        <v>21</v>
      </c>
      <c r="H1380">
        <v>1</v>
      </c>
      <c r="I1380">
        <v>1</v>
      </c>
      <c r="J1380">
        <v>1</v>
      </c>
      <c r="K1380">
        <v>1</v>
      </c>
      <c r="L1380">
        <v>751.33</v>
      </c>
      <c r="M1380">
        <v>0</v>
      </c>
      <c r="N1380">
        <v>0</v>
      </c>
      <c r="O1380">
        <v>9</v>
      </c>
      <c r="P1380">
        <v>34</v>
      </c>
      <c r="R1380" t="str">
        <f t="shared" si="126"/>
        <v>Unique</v>
      </c>
      <c r="S1380" t="str">
        <f t="shared" si="127"/>
        <v>Valid</v>
      </c>
      <c r="T1380" t="str">
        <f t="shared" si="128"/>
        <v>Valid</v>
      </c>
      <c r="U1380" t="str">
        <f t="shared" si="129"/>
        <v>Valid</v>
      </c>
      <c r="V1380" t="str">
        <f t="shared" si="130"/>
        <v>Valid</v>
      </c>
      <c r="W1380" t="str">
        <f t="shared" si="131"/>
        <v>Valid</v>
      </c>
    </row>
    <row r="1381" spans="1:23">
      <c r="A1381" t="s">
        <v>1412</v>
      </c>
      <c r="B1381" s="2">
        <v>45760</v>
      </c>
      <c r="C1381" t="s">
        <v>723</v>
      </c>
      <c r="D1381" t="s">
        <v>32</v>
      </c>
      <c r="E1381" t="s">
        <v>19</v>
      </c>
      <c r="F1381" t="s">
        <v>25</v>
      </c>
      <c r="G1381" t="s">
        <v>26</v>
      </c>
      <c r="H1381">
        <v>1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P1381">
        <v>67.099999999999994</v>
      </c>
      <c r="R1381" t="str">
        <f t="shared" si="126"/>
        <v>Unique</v>
      </c>
      <c r="S1381" t="str">
        <f t="shared" si="127"/>
        <v>Valid</v>
      </c>
      <c r="T1381" t="str">
        <f t="shared" si="128"/>
        <v>Valid</v>
      </c>
      <c r="U1381" t="str">
        <f t="shared" si="129"/>
        <v>Valid</v>
      </c>
      <c r="V1381" t="str">
        <f t="shared" si="130"/>
        <v>Valid</v>
      </c>
      <c r="W1381" t="str">
        <f t="shared" si="131"/>
        <v>Valid</v>
      </c>
    </row>
    <row r="1382" spans="1:23">
      <c r="A1382" t="s">
        <v>1413</v>
      </c>
      <c r="B1382" s="2">
        <v>45780</v>
      </c>
      <c r="C1382" t="s">
        <v>723</v>
      </c>
      <c r="D1382" t="s">
        <v>23</v>
      </c>
      <c r="E1382" t="s">
        <v>19</v>
      </c>
      <c r="F1382" t="s">
        <v>29</v>
      </c>
      <c r="G1382" t="s">
        <v>30</v>
      </c>
      <c r="H1382">
        <v>1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P1382">
        <v>37.299999999999997</v>
      </c>
      <c r="R1382" t="str">
        <f t="shared" si="126"/>
        <v>Unique</v>
      </c>
      <c r="S1382" t="str">
        <f t="shared" si="127"/>
        <v>Valid</v>
      </c>
      <c r="T1382" t="str">
        <f t="shared" si="128"/>
        <v>Valid</v>
      </c>
      <c r="U1382" t="str">
        <f t="shared" si="129"/>
        <v>Valid</v>
      </c>
      <c r="V1382" t="str">
        <f t="shared" si="130"/>
        <v>Valid</v>
      </c>
      <c r="W1382" t="str">
        <f t="shared" si="131"/>
        <v>Valid</v>
      </c>
    </row>
    <row r="1383" spans="1:23">
      <c r="A1383" t="s">
        <v>1414</v>
      </c>
      <c r="B1383" s="2">
        <v>45776</v>
      </c>
      <c r="C1383" t="s">
        <v>723</v>
      </c>
      <c r="D1383" t="s">
        <v>23</v>
      </c>
      <c r="E1383" t="s">
        <v>24</v>
      </c>
      <c r="F1383" t="s">
        <v>20</v>
      </c>
      <c r="G1383" t="s">
        <v>26</v>
      </c>
      <c r="H1383">
        <v>1</v>
      </c>
      <c r="I1383">
        <v>0</v>
      </c>
      <c r="J1383">
        <v>0</v>
      </c>
      <c r="K1383">
        <v>0</v>
      </c>
      <c r="L1383">
        <v>0</v>
      </c>
      <c r="M1383">
        <v>0</v>
      </c>
      <c r="N1383">
        <v>0</v>
      </c>
      <c r="P1383">
        <v>54.7</v>
      </c>
      <c r="R1383" t="str">
        <f t="shared" si="126"/>
        <v>Unique</v>
      </c>
      <c r="S1383" t="str">
        <f t="shared" si="127"/>
        <v>Valid</v>
      </c>
      <c r="T1383" t="str">
        <f t="shared" si="128"/>
        <v>Valid</v>
      </c>
      <c r="U1383" t="str">
        <f t="shared" si="129"/>
        <v>Valid</v>
      </c>
      <c r="V1383" t="str">
        <f t="shared" si="130"/>
        <v>Valid</v>
      </c>
      <c r="W1383" t="str">
        <f t="shared" si="131"/>
        <v>Valid</v>
      </c>
    </row>
    <row r="1384" spans="1:23">
      <c r="A1384" t="s">
        <v>1415</v>
      </c>
      <c r="B1384" s="2">
        <v>45780</v>
      </c>
      <c r="C1384" t="s">
        <v>723</v>
      </c>
      <c r="D1384" t="s">
        <v>28</v>
      </c>
      <c r="E1384" t="s">
        <v>19</v>
      </c>
      <c r="F1384" t="s">
        <v>29</v>
      </c>
      <c r="G1384" t="s">
        <v>26</v>
      </c>
      <c r="H1384">
        <v>1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P1384">
        <v>51.8</v>
      </c>
      <c r="R1384" t="str">
        <f t="shared" si="126"/>
        <v>Unique</v>
      </c>
      <c r="S1384" t="str">
        <f t="shared" si="127"/>
        <v>Valid</v>
      </c>
      <c r="T1384" t="str">
        <f t="shared" si="128"/>
        <v>Valid</v>
      </c>
      <c r="U1384" t="str">
        <f t="shared" si="129"/>
        <v>Valid</v>
      </c>
      <c r="V1384" t="str">
        <f t="shared" si="130"/>
        <v>Valid</v>
      </c>
      <c r="W1384" t="str">
        <f t="shared" si="131"/>
        <v>Valid</v>
      </c>
    </row>
    <row r="1385" spans="1:23">
      <c r="A1385" t="s">
        <v>1416</v>
      </c>
      <c r="B1385" s="2">
        <v>45775</v>
      </c>
      <c r="C1385" t="s">
        <v>723</v>
      </c>
      <c r="D1385" t="s">
        <v>23</v>
      </c>
      <c r="E1385" t="s">
        <v>24</v>
      </c>
      <c r="F1385" t="s">
        <v>29</v>
      </c>
      <c r="G1385" t="s">
        <v>26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P1385">
        <v>49.2</v>
      </c>
      <c r="R1385" t="str">
        <f t="shared" si="126"/>
        <v>Unique</v>
      </c>
      <c r="S1385" t="str">
        <f t="shared" si="127"/>
        <v>Valid</v>
      </c>
      <c r="T1385" t="str">
        <f t="shared" si="128"/>
        <v>Valid</v>
      </c>
      <c r="U1385" t="str">
        <f t="shared" si="129"/>
        <v>Valid</v>
      </c>
      <c r="V1385" t="str">
        <f t="shared" si="130"/>
        <v>Valid</v>
      </c>
      <c r="W1385" t="str">
        <f t="shared" si="131"/>
        <v>Valid</v>
      </c>
    </row>
    <row r="1386" spans="1:23">
      <c r="A1386" t="s">
        <v>1417</v>
      </c>
      <c r="B1386" s="2">
        <v>45678</v>
      </c>
      <c r="C1386" t="s">
        <v>723</v>
      </c>
      <c r="D1386" t="s">
        <v>23</v>
      </c>
      <c r="E1386" t="s">
        <v>24</v>
      </c>
      <c r="F1386" t="s">
        <v>25</v>
      </c>
      <c r="G1386" t="s">
        <v>26</v>
      </c>
      <c r="H1386">
        <v>1</v>
      </c>
      <c r="I1386">
        <v>0</v>
      </c>
      <c r="J1386">
        <v>0</v>
      </c>
      <c r="K1386">
        <v>0</v>
      </c>
      <c r="L1386">
        <v>0</v>
      </c>
      <c r="M1386">
        <v>2</v>
      </c>
      <c r="N1386">
        <v>0</v>
      </c>
      <c r="P1386">
        <v>58.8</v>
      </c>
      <c r="R1386" t="str">
        <f t="shared" si="126"/>
        <v>Unique</v>
      </c>
      <c r="S1386" t="str">
        <f t="shared" si="127"/>
        <v>Valid</v>
      </c>
      <c r="T1386" t="str">
        <f t="shared" si="128"/>
        <v>Valid</v>
      </c>
      <c r="U1386" t="str">
        <f t="shared" si="129"/>
        <v>Valid</v>
      </c>
      <c r="V1386" t="str">
        <f t="shared" si="130"/>
        <v>Valid</v>
      </c>
      <c r="W1386" t="str">
        <f t="shared" si="131"/>
        <v>Valid</v>
      </c>
    </row>
    <row r="1387" spans="1:23">
      <c r="A1387" t="s">
        <v>1418</v>
      </c>
      <c r="B1387" s="2">
        <v>45678</v>
      </c>
      <c r="C1387" t="s">
        <v>723</v>
      </c>
      <c r="D1387" t="s">
        <v>18</v>
      </c>
      <c r="E1387" t="s">
        <v>34</v>
      </c>
      <c r="F1387" t="s">
        <v>29</v>
      </c>
      <c r="G1387" t="s">
        <v>21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1</v>
      </c>
      <c r="N1387">
        <v>0</v>
      </c>
      <c r="P1387">
        <v>59.1</v>
      </c>
      <c r="R1387" t="str">
        <f t="shared" si="126"/>
        <v>Unique</v>
      </c>
      <c r="S1387" t="str">
        <f t="shared" si="127"/>
        <v>Valid</v>
      </c>
      <c r="T1387" t="str">
        <f t="shared" si="128"/>
        <v>Valid</v>
      </c>
      <c r="U1387" t="str">
        <f t="shared" si="129"/>
        <v>Valid</v>
      </c>
      <c r="V1387" t="str">
        <f t="shared" si="130"/>
        <v>Valid</v>
      </c>
      <c r="W1387" t="str">
        <f t="shared" si="131"/>
        <v>Valid</v>
      </c>
    </row>
    <row r="1388" spans="1:23">
      <c r="A1388" t="s">
        <v>1419</v>
      </c>
      <c r="B1388" s="2">
        <v>45798</v>
      </c>
      <c r="C1388" t="s">
        <v>723</v>
      </c>
      <c r="D1388" t="s">
        <v>23</v>
      </c>
      <c r="E1388" t="s">
        <v>19</v>
      </c>
      <c r="F1388" t="s">
        <v>29</v>
      </c>
      <c r="G1388" t="s">
        <v>26</v>
      </c>
      <c r="H1388">
        <v>1</v>
      </c>
      <c r="I1388">
        <v>0</v>
      </c>
      <c r="J1388">
        <v>0</v>
      </c>
      <c r="K1388">
        <v>0</v>
      </c>
      <c r="L1388">
        <v>0</v>
      </c>
      <c r="M1388">
        <v>2</v>
      </c>
      <c r="N1388">
        <v>0</v>
      </c>
      <c r="P1388">
        <v>49.6</v>
      </c>
      <c r="R1388" t="str">
        <f t="shared" si="126"/>
        <v>Unique</v>
      </c>
      <c r="S1388" t="str">
        <f t="shared" si="127"/>
        <v>Valid</v>
      </c>
      <c r="T1388" t="str">
        <f t="shared" si="128"/>
        <v>Valid</v>
      </c>
      <c r="U1388" t="str">
        <f t="shared" si="129"/>
        <v>Valid</v>
      </c>
      <c r="V1388" t="str">
        <f t="shared" si="130"/>
        <v>Valid</v>
      </c>
      <c r="W1388" t="str">
        <f t="shared" si="131"/>
        <v>Valid</v>
      </c>
    </row>
    <row r="1389" spans="1:23">
      <c r="A1389" t="s">
        <v>1420</v>
      </c>
      <c r="B1389" s="2">
        <v>45662</v>
      </c>
      <c r="C1389" t="s">
        <v>723</v>
      </c>
      <c r="D1389" t="s">
        <v>18</v>
      </c>
      <c r="E1389" t="s">
        <v>24</v>
      </c>
      <c r="F1389" t="s">
        <v>39</v>
      </c>
      <c r="G1389" t="s">
        <v>26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P1389">
        <v>58.2</v>
      </c>
      <c r="R1389" t="str">
        <f t="shared" si="126"/>
        <v>Unique</v>
      </c>
      <c r="S1389" t="str">
        <f t="shared" si="127"/>
        <v>Valid</v>
      </c>
      <c r="T1389" t="str">
        <f t="shared" si="128"/>
        <v>Valid</v>
      </c>
      <c r="U1389" t="str">
        <f t="shared" si="129"/>
        <v>Valid</v>
      </c>
      <c r="V1389" t="str">
        <f t="shared" si="130"/>
        <v>Valid</v>
      </c>
      <c r="W1389" t="str">
        <f t="shared" si="131"/>
        <v>Valid</v>
      </c>
    </row>
    <row r="1390" spans="1:23">
      <c r="A1390" t="s">
        <v>1421</v>
      </c>
      <c r="B1390" s="2">
        <v>45722</v>
      </c>
      <c r="C1390" t="s">
        <v>723</v>
      </c>
      <c r="D1390" t="s">
        <v>32</v>
      </c>
      <c r="E1390" t="s">
        <v>19</v>
      </c>
      <c r="F1390" t="s">
        <v>25</v>
      </c>
      <c r="G1390" t="s">
        <v>26</v>
      </c>
      <c r="H1390">
        <v>1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P1390">
        <v>66.8</v>
      </c>
      <c r="R1390" t="str">
        <f t="shared" si="126"/>
        <v>Unique</v>
      </c>
      <c r="S1390" t="str">
        <f t="shared" si="127"/>
        <v>Valid</v>
      </c>
      <c r="T1390" t="str">
        <f t="shared" si="128"/>
        <v>Valid</v>
      </c>
      <c r="U1390" t="str">
        <f t="shared" si="129"/>
        <v>Valid</v>
      </c>
      <c r="V1390" t="str">
        <f t="shared" si="130"/>
        <v>Valid</v>
      </c>
      <c r="W1390" t="str">
        <f t="shared" si="131"/>
        <v>Valid</v>
      </c>
    </row>
    <row r="1391" spans="1:23">
      <c r="A1391" t="s">
        <v>1422</v>
      </c>
      <c r="B1391" s="2">
        <v>45765</v>
      </c>
      <c r="C1391" t="s">
        <v>723</v>
      </c>
      <c r="D1391" t="s">
        <v>18</v>
      </c>
      <c r="E1391" t="s">
        <v>24</v>
      </c>
      <c r="F1391" t="s">
        <v>29</v>
      </c>
      <c r="G1391" t="s">
        <v>26</v>
      </c>
      <c r="H1391">
        <v>1</v>
      </c>
      <c r="I1391">
        <v>0</v>
      </c>
      <c r="J1391">
        <v>0</v>
      </c>
      <c r="K1391">
        <v>0</v>
      </c>
      <c r="L1391">
        <v>0</v>
      </c>
      <c r="M1391">
        <v>3</v>
      </c>
      <c r="N1391">
        <v>0</v>
      </c>
      <c r="P1391">
        <v>58.3</v>
      </c>
      <c r="R1391" t="str">
        <f t="shared" si="126"/>
        <v>Unique</v>
      </c>
      <c r="S1391" t="str">
        <f t="shared" si="127"/>
        <v>Valid</v>
      </c>
      <c r="T1391" t="str">
        <f t="shared" si="128"/>
        <v>Valid</v>
      </c>
      <c r="U1391" t="str">
        <f t="shared" si="129"/>
        <v>Valid</v>
      </c>
      <c r="V1391" t="str">
        <f t="shared" si="130"/>
        <v>Valid</v>
      </c>
      <c r="W1391" t="str">
        <f t="shared" si="131"/>
        <v>Valid</v>
      </c>
    </row>
    <row r="1392" spans="1:23">
      <c r="A1392" t="s">
        <v>1423</v>
      </c>
      <c r="B1392" s="2">
        <v>45762</v>
      </c>
      <c r="C1392" t="s">
        <v>723</v>
      </c>
      <c r="D1392" t="s">
        <v>23</v>
      </c>
      <c r="E1392" t="s">
        <v>24</v>
      </c>
      <c r="F1392" t="s">
        <v>25</v>
      </c>
      <c r="G1392" t="s">
        <v>21</v>
      </c>
      <c r="H1392">
        <v>1</v>
      </c>
      <c r="I1392">
        <v>1</v>
      </c>
      <c r="J1392">
        <v>1</v>
      </c>
      <c r="K1392">
        <v>0</v>
      </c>
      <c r="L1392">
        <v>0</v>
      </c>
      <c r="M1392">
        <v>0</v>
      </c>
      <c r="N1392">
        <v>0</v>
      </c>
      <c r="P1392">
        <v>38.5</v>
      </c>
      <c r="R1392" t="str">
        <f t="shared" si="126"/>
        <v>Unique</v>
      </c>
      <c r="S1392" t="str">
        <f t="shared" si="127"/>
        <v>Valid</v>
      </c>
      <c r="T1392" t="str">
        <f t="shared" si="128"/>
        <v>Valid</v>
      </c>
      <c r="U1392" t="str">
        <f t="shared" si="129"/>
        <v>Valid</v>
      </c>
      <c r="V1392" t="str">
        <f t="shared" si="130"/>
        <v>Valid</v>
      </c>
      <c r="W1392" t="str">
        <f t="shared" si="131"/>
        <v>Valid</v>
      </c>
    </row>
    <row r="1393" spans="1:23">
      <c r="A1393" t="s">
        <v>1424</v>
      </c>
      <c r="B1393" s="2">
        <v>45698</v>
      </c>
      <c r="C1393" t="s">
        <v>723</v>
      </c>
      <c r="D1393" t="s">
        <v>28</v>
      </c>
      <c r="E1393" t="s">
        <v>24</v>
      </c>
      <c r="F1393" t="s">
        <v>29</v>
      </c>
      <c r="G1393" t="s">
        <v>26</v>
      </c>
      <c r="H1393">
        <v>1</v>
      </c>
      <c r="I1393">
        <v>0</v>
      </c>
      <c r="J1393">
        <v>0</v>
      </c>
      <c r="K1393">
        <v>0</v>
      </c>
      <c r="L1393">
        <v>0</v>
      </c>
      <c r="M1393">
        <v>0</v>
      </c>
      <c r="N1393">
        <v>0</v>
      </c>
      <c r="P1393">
        <v>76.900000000000006</v>
      </c>
      <c r="R1393" t="str">
        <f t="shared" si="126"/>
        <v>Unique</v>
      </c>
      <c r="S1393" t="str">
        <f t="shared" si="127"/>
        <v>Valid</v>
      </c>
      <c r="T1393" t="str">
        <f t="shared" si="128"/>
        <v>Valid</v>
      </c>
      <c r="U1393" t="str">
        <f t="shared" si="129"/>
        <v>Valid</v>
      </c>
      <c r="V1393" t="str">
        <f t="shared" si="130"/>
        <v>Valid</v>
      </c>
      <c r="W1393" t="str">
        <f t="shared" si="131"/>
        <v>Valid</v>
      </c>
    </row>
    <row r="1394" spans="1:23">
      <c r="A1394" t="s">
        <v>1425</v>
      </c>
      <c r="B1394" s="2">
        <v>45785</v>
      </c>
      <c r="C1394" t="s">
        <v>723</v>
      </c>
      <c r="D1394" t="s">
        <v>28</v>
      </c>
      <c r="E1394" t="s">
        <v>24</v>
      </c>
      <c r="F1394" t="s">
        <v>25</v>
      </c>
      <c r="G1394" t="s">
        <v>26</v>
      </c>
      <c r="H1394">
        <v>1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P1394">
        <v>54</v>
      </c>
      <c r="R1394" t="str">
        <f t="shared" si="126"/>
        <v>Unique</v>
      </c>
      <c r="S1394" t="str">
        <f t="shared" si="127"/>
        <v>Valid</v>
      </c>
      <c r="T1394" t="str">
        <f t="shared" si="128"/>
        <v>Valid</v>
      </c>
      <c r="U1394" t="str">
        <f t="shared" si="129"/>
        <v>Valid</v>
      </c>
      <c r="V1394" t="str">
        <f t="shared" si="130"/>
        <v>Valid</v>
      </c>
      <c r="W1394" t="str">
        <f t="shared" si="131"/>
        <v>Valid</v>
      </c>
    </row>
    <row r="1395" spans="1:23">
      <c r="A1395" t="s">
        <v>1426</v>
      </c>
      <c r="B1395" s="2">
        <v>45805</v>
      </c>
      <c r="C1395" t="s">
        <v>723</v>
      </c>
      <c r="D1395" t="s">
        <v>28</v>
      </c>
      <c r="E1395" t="s">
        <v>34</v>
      </c>
      <c r="F1395" t="s">
        <v>25</v>
      </c>
      <c r="G1395" t="s">
        <v>26</v>
      </c>
      <c r="H1395">
        <v>1</v>
      </c>
      <c r="I1395">
        <v>0</v>
      </c>
      <c r="J1395">
        <v>0</v>
      </c>
      <c r="K1395">
        <v>0</v>
      </c>
      <c r="L1395">
        <v>0</v>
      </c>
      <c r="M1395">
        <v>0</v>
      </c>
      <c r="N1395">
        <v>0</v>
      </c>
      <c r="P1395">
        <v>70.599999999999994</v>
      </c>
      <c r="R1395" t="str">
        <f t="shared" si="126"/>
        <v>Unique</v>
      </c>
      <c r="S1395" t="str">
        <f t="shared" si="127"/>
        <v>Valid</v>
      </c>
      <c r="T1395" t="str">
        <f t="shared" si="128"/>
        <v>Valid</v>
      </c>
      <c r="U1395" t="str">
        <f t="shared" si="129"/>
        <v>Valid</v>
      </c>
      <c r="V1395" t="str">
        <f t="shared" si="130"/>
        <v>Valid</v>
      </c>
      <c r="W1395" t="str">
        <f t="shared" si="131"/>
        <v>Valid</v>
      </c>
    </row>
    <row r="1396" spans="1:23">
      <c r="A1396" t="s">
        <v>1427</v>
      </c>
      <c r="B1396" s="2">
        <v>45772</v>
      </c>
      <c r="C1396" t="s">
        <v>723</v>
      </c>
      <c r="D1396" t="s">
        <v>18</v>
      </c>
      <c r="E1396" t="s">
        <v>34</v>
      </c>
      <c r="F1396" t="s">
        <v>39</v>
      </c>
      <c r="G1396" t="s">
        <v>30</v>
      </c>
      <c r="H1396">
        <v>1</v>
      </c>
      <c r="I1396">
        <v>1</v>
      </c>
      <c r="J1396">
        <v>1</v>
      </c>
      <c r="K1396">
        <v>0</v>
      </c>
      <c r="L1396">
        <v>0</v>
      </c>
      <c r="M1396">
        <v>1</v>
      </c>
      <c r="N1396">
        <v>0</v>
      </c>
      <c r="P1396">
        <v>69.400000000000006</v>
      </c>
      <c r="R1396" t="str">
        <f t="shared" si="126"/>
        <v>Unique</v>
      </c>
      <c r="S1396" t="str">
        <f t="shared" si="127"/>
        <v>Valid</v>
      </c>
      <c r="T1396" t="str">
        <f t="shared" si="128"/>
        <v>Valid</v>
      </c>
      <c r="U1396" t="str">
        <f t="shared" si="129"/>
        <v>Valid</v>
      </c>
      <c r="V1396" t="str">
        <f t="shared" si="130"/>
        <v>Valid</v>
      </c>
      <c r="W1396" t="str">
        <f t="shared" si="131"/>
        <v>Valid</v>
      </c>
    </row>
    <row r="1397" spans="1:23">
      <c r="A1397" t="s">
        <v>1428</v>
      </c>
      <c r="B1397" s="2">
        <v>45699</v>
      </c>
      <c r="C1397" t="s">
        <v>723</v>
      </c>
      <c r="D1397" t="s">
        <v>32</v>
      </c>
      <c r="E1397" t="s">
        <v>24</v>
      </c>
      <c r="F1397" t="s">
        <v>1451</v>
      </c>
      <c r="G1397" t="s">
        <v>30</v>
      </c>
      <c r="H1397">
        <v>1</v>
      </c>
      <c r="I1397">
        <v>1</v>
      </c>
      <c r="J1397">
        <v>1</v>
      </c>
      <c r="K1397">
        <v>1</v>
      </c>
      <c r="L1397">
        <v>1009.9</v>
      </c>
      <c r="M1397">
        <v>0</v>
      </c>
      <c r="N1397">
        <v>0</v>
      </c>
      <c r="O1397">
        <v>6</v>
      </c>
      <c r="P1397">
        <v>89.7</v>
      </c>
      <c r="R1397" t="str">
        <f t="shared" si="126"/>
        <v>Unique</v>
      </c>
      <c r="S1397" t="str">
        <f t="shared" si="127"/>
        <v>Valid</v>
      </c>
      <c r="T1397" t="str">
        <f t="shared" si="128"/>
        <v>Valid</v>
      </c>
      <c r="U1397" t="str">
        <f t="shared" si="129"/>
        <v>Valid</v>
      </c>
      <c r="V1397" t="str">
        <f t="shared" si="130"/>
        <v>Valid</v>
      </c>
      <c r="W1397" t="str">
        <f t="shared" si="131"/>
        <v>Valid</v>
      </c>
    </row>
    <row r="1398" spans="1:23">
      <c r="A1398" t="s">
        <v>1429</v>
      </c>
      <c r="B1398" s="2">
        <v>45761</v>
      </c>
      <c r="C1398" t="s">
        <v>723</v>
      </c>
      <c r="D1398" t="s">
        <v>23</v>
      </c>
      <c r="E1398" t="s">
        <v>24</v>
      </c>
      <c r="F1398" t="s">
        <v>25</v>
      </c>
      <c r="G1398" t="s">
        <v>26</v>
      </c>
      <c r="H1398">
        <v>1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P1398">
        <v>62.4</v>
      </c>
      <c r="R1398" t="str">
        <f t="shared" si="126"/>
        <v>Unique</v>
      </c>
      <c r="S1398" t="str">
        <f t="shared" si="127"/>
        <v>Valid</v>
      </c>
      <c r="T1398" t="str">
        <f t="shared" si="128"/>
        <v>Valid</v>
      </c>
      <c r="U1398" t="str">
        <f t="shared" si="129"/>
        <v>Valid</v>
      </c>
      <c r="V1398" t="str">
        <f t="shared" si="130"/>
        <v>Valid</v>
      </c>
      <c r="W1398" t="str">
        <f t="shared" si="131"/>
        <v>Valid</v>
      </c>
    </row>
    <row r="1399" spans="1:23">
      <c r="A1399" t="s">
        <v>1430</v>
      </c>
      <c r="B1399" s="2">
        <v>45692</v>
      </c>
      <c r="C1399" t="s">
        <v>723</v>
      </c>
      <c r="D1399" t="s">
        <v>23</v>
      </c>
      <c r="E1399" t="s">
        <v>34</v>
      </c>
      <c r="F1399" t="s">
        <v>25</v>
      </c>
      <c r="G1399" t="s">
        <v>30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v>0</v>
      </c>
      <c r="N1399">
        <v>0</v>
      </c>
      <c r="P1399">
        <v>67.3</v>
      </c>
      <c r="R1399" t="str">
        <f t="shared" si="126"/>
        <v>Unique</v>
      </c>
      <c r="S1399" t="str">
        <f t="shared" si="127"/>
        <v>Valid</v>
      </c>
      <c r="T1399" t="str">
        <f t="shared" si="128"/>
        <v>Valid</v>
      </c>
      <c r="U1399" t="str">
        <f t="shared" si="129"/>
        <v>Valid</v>
      </c>
      <c r="V1399" t="str">
        <f t="shared" si="130"/>
        <v>Valid</v>
      </c>
      <c r="W1399" t="str">
        <f t="shared" si="131"/>
        <v>Valid</v>
      </c>
    </row>
    <row r="1400" spans="1:23">
      <c r="A1400" t="s">
        <v>1431</v>
      </c>
      <c r="B1400" s="2">
        <v>45738</v>
      </c>
      <c r="C1400" t="s">
        <v>723</v>
      </c>
      <c r="D1400" t="s">
        <v>28</v>
      </c>
      <c r="E1400" t="s">
        <v>24</v>
      </c>
      <c r="F1400" t="s">
        <v>39</v>
      </c>
      <c r="G1400" t="s">
        <v>26</v>
      </c>
      <c r="H1400">
        <v>1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P1400">
        <v>54.9</v>
      </c>
      <c r="R1400" t="str">
        <f t="shared" si="126"/>
        <v>Unique</v>
      </c>
      <c r="S1400" t="str">
        <f t="shared" si="127"/>
        <v>Valid</v>
      </c>
      <c r="T1400" t="str">
        <f t="shared" si="128"/>
        <v>Valid</v>
      </c>
      <c r="U1400" t="str">
        <f t="shared" si="129"/>
        <v>Valid</v>
      </c>
      <c r="V1400" t="str">
        <f t="shared" si="130"/>
        <v>Valid</v>
      </c>
      <c r="W1400" t="str">
        <f t="shared" si="131"/>
        <v>Valid</v>
      </c>
    </row>
    <row r="1401" spans="1:23">
      <c r="A1401" t="s">
        <v>1432</v>
      </c>
      <c r="B1401" s="2">
        <v>45765</v>
      </c>
      <c r="C1401" t="s">
        <v>723</v>
      </c>
      <c r="D1401" t="s">
        <v>28</v>
      </c>
      <c r="E1401" t="s">
        <v>19</v>
      </c>
      <c r="F1401" t="s">
        <v>41</v>
      </c>
      <c r="G1401" t="s">
        <v>26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P1401">
        <v>55.7</v>
      </c>
      <c r="R1401" t="str">
        <f t="shared" si="126"/>
        <v>Unique</v>
      </c>
      <c r="S1401" t="str">
        <f t="shared" si="127"/>
        <v>Valid</v>
      </c>
      <c r="T1401" t="str">
        <f t="shared" si="128"/>
        <v>Valid</v>
      </c>
      <c r="U1401" t="str">
        <f t="shared" si="129"/>
        <v>Valid</v>
      </c>
      <c r="V1401" t="str">
        <f t="shared" si="130"/>
        <v>Valid</v>
      </c>
      <c r="W1401" t="str">
        <f t="shared" si="131"/>
        <v>Valid</v>
      </c>
    </row>
    <row r="1402" spans="1:23">
      <c r="A1402" t="s">
        <v>949</v>
      </c>
      <c r="B1402" s="2">
        <v>45711</v>
      </c>
      <c r="C1402" t="s">
        <v>723</v>
      </c>
      <c r="D1402" t="s">
        <v>23</v>
      </c>
      <c r="E1402" t="s">
        <v>19</v>
      </c>
      <c r="F1402" t="s">
        <v>41</v>
      </c>
      <c r="G1402" t="s">
        <v>21</v>
      </c>
      <c r="H1402">
        <v>1</v>
      </c>
      <c r="I1402">
        <v>1</v>
      </c>
      <c r="J1402">
        <v>1</v>
      </c>
      <c r="K1402">
        <v>0</v>
      </c>
      <c r="L1402">
        <v>0</v>
      </c>
      <c r="M1402">
        <v>0</v>
      </c>
      <c r="N1402">
        <v>0</v>
      </c>
      <c r="P1402">
        <v>70.599999999999994</v>
      </c>
      <c r="R1402" t="str">
        <f t="shared" si="126"/>
        <v>Duplicate</v>
      </c>
      <c r="S1402" t="str">
        <f t="shared" si="127"/>
        <v>Valid</v>
      </c>
      <c r="T1402" t="str">
        <f t="shared" si="128"/>
        <v>Valid</v>
      </c>
      <c r="U1402" t="str">
        <f t="shared" si="129"/>
        <v>Valid</v>
      </c>
      <c r="V1402" t="str">
        <f t="shared" si="130"/>
        <v>Valid</v>
      </c>
      <c r="W1402" t="str">
        <f t="shared" si="131"/>
        <v>Valid</v>
      </c>
    </row>
    <row r="1403" spans="1:23">
      <c r="A1403" t="s">
        <v>464</v>
      </c>
      <c r="B1403" s="2">
        <v>45691</v>
      </c>
      <c r="C1403" t="s">
        <v>17</v>
      </c>
      <c r="D1403" t="s">
        <v>18</v>
      </c>
      <c r="E1403" t="s">
        <v>34</v>
      </c>
      <c r="F1403" t="s">
        <v>20</v>
      </c>
      <c r="G1403" t="s">
        <v>21</v>
      </c>
      <c r="H1403">
        <v>1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P1403">
        <v>60.9</v>
      </c>
      <c r="R1403" t="str">
        <f t="shared" si="126"/>
        <v>Duplicate</v>
      </c>
      <c r="S1403" t="str">
        <f t="shared" si="127"/>
        <v>Valid</v>
      </c>
      <c r="T1403" t="str">
        <f t="shared" si="128"/>
        <v>Valid</v>
      </c>
      <c r="U1403" t="str">
        <f t="shared" si="129"/>
        <v>Valid</v>
      </c>
      <c r="V1403" t="str">
        <f t="shared" si="130"/>
        <v>Valid</v>
      </c>
      <c r="W1403" t="str">
        <f t="shared" si="131"/>
        <v>Valid</v>
      </c>
    </row>
    <row r="1404" spans="1:23">
      <c r="A1404" t="s">
        <v>1394</v>
      </c>
      <c r="B1404" s="2">
        <v>45800</v>
      </c>
      <c r="C1404" t="s">
        <v>723</v>
      </c>
      <c r="D1404" t="s">
        <v>28</v>
      </c>
      <c r="E1404" t="s">
        <v>24</v>
      </c>
      <c r="F1404" t="s">
        <v>25</v>
      </c>
      <c r="G1404" t="s">
        <v>21</v>
      </c>
      <c r="H1404">
        <v>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P1404">
        <v>33.6</v>
      </c>
      <c r="R1404" t="str">
        <f t="shared" si="126"/>
        <v>Duplicate</v>
      </c>
      <c r="S1404" t="str">
        <f t="shared" si="127"/>
        <v>Valid</v>
      </c>
      <c r="T1404" t="str">
        <f t="shared" si="128"/>
        <v>Valid</v>
      </c>
      <c r="U1404" t="str">
        <f t="shared" si="129"/>
        <v>Valid</v>
      </c>
      <c r="V1404" t="str">
        <f t="shared" si="130"/>
        <v>Valid</v>
      </c>
      <c r="W1404" t="str">
        <f t="shared" si="131"/>
        <v>Valid</v>
      </c>
    </row>
    <row r="1405" spans="1:23">
      <c r="A1405" t="s">
        <v>127</v>
      </c>
      <c r="B1405" s="2">
        <v>45693</v>
      </c>
      <c r="C1405" t="s">
        <v>17</v>
      </c>
      <c r="D1405" t="s">
        <v>28</v>
      </c>
      <c r="E1405" t="s">
        <v>24</v>
      </c>
      <c r="F1405" t="s">
        <v>41</v>
      </c>
      <c r="G1405" t="s">
        <v>26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P1405">
        <v>68</v>
      </c>
      <c r="R1405" t="str">
        <f t="shared" si="126"/>
        <v>Duplicate</v>
      </c>
      <c r="S1405" t="str">
        <f t="shared" si="127"/>
        <v>Valid</v>
      </c>
      <c r="T1405" t="str">
        <f t="shared" si="128"/>
        <v>Valid</v>
      </c>
      <c r="U1405" t="str">
        <f t="shared" si="129"/>
        <v>Valid</v>
      </c>
      <c r="V1405" t="str">
        <f t="shared" si="130"/>
        <v>Valid</v>
      </c>
      <c r="W1405" t="str">
        <f t="shared" si="131"/>
        <v>Valid</v>
      </c>
    </row>
    <row r="1406" spans="1:23">
      <c r="A1406" t="s">
        <v>1242</v>
      </c>
      <c r="B1406" s="2">
        <v>45712</v>
      </c>
      <c r="C1406" t="s">
        <v>723</v>
      </c>
      <c r="D1406" t="s">
        <v>23</v>
      </c>
      <c r="E1406" t="s">
        <v>24</v>
      </c>
      <c r="F1406" t="s">
        <v>25</v>
      </c>
      <c r="G1406" t="s">
        <v>21</v>
      </c>
      <c r="H1406">
        <v>1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P1406">
        <v>62</v>
      </c>
      <c r="R1406" t="str">
        <f t="shared" si="126"/>
        <v>Duplicate</v>
      </c>
      <c r="S1406" t="str">
        <f t="shared" si="127"/>
        <v>Valid</v>
      </c>
      <c r="T1406" t="str">
        <f t="shared" si="128"/>
        <v>Valid</v>
      </c>
      <c r="U1406" t="str">
        <f t="shared" si="129"/>
        <v>Valid</v>
      </c>
      <c r="V1406" t="str">
        <f t="shared" si="130"/>
        <v>Valid</v>
      </c>
      <c r="W1406" t="str">
        <f t="shared" si="131"/>
        <v>Valid</v>
      </c>
    </row>
    <row r="1407" spans="1:23">
      <c r="A1407" t="s">
        <v>1264</v>
      </c>
      <c r="B1407" s="2">
        <v>45746</v>
      </c>
      <c r="C1407" t="s">
        <v>723</v>
      </c>
      <c r="D1407" t="s">
        <v>28</v>
      </c>
      <c r="E1407" t="s">
        <v>24</v>
      </c>
      <c r="F1407" t="s">
        <v>25</v>
      </c>
      <c r="G1407" t="s">
        <v>26</v>
      </c>
      <c r="H1407">
        <v>1</v>
      </c>
      <c r="I1407">
        <v>1</v>
      </c>
      <c r="J1407">
        <v>1</v>
      </c>
      <c r="K1407">
        <v>0</v>
      </c>
      <c r="L1407">
        <v>0</v>
      </c>
      <c r="M1407">
        <v>1</v>
      </c>
      <c r="N1407">
        <v>0</v>
      </c>
      <c r="P1407">
        <v>72.5</v>
      </c>
      <c r="R1407" t="str">
        <f t="shared" si="126"/>
        <v>Duplicate</v>
      </c>
      <c r="S1407" t="str">
        <f t="shared" si="127"/>
        <v>Valid</v>
      </c>
      <c r="T1407" t="str">
        <f t="shared" si="128"/>
        <v>Valid</v>
      </c>
      <c r="U1407" t="str">
        <f t="shared" si="129"/>
        <v>Valid</v>
      </c>
      <c r="V1407" t="str">
        <f t="shared" si="130"/>
        <v>Valid</v>
      </c>
      <c r="W1407" t="str">
        <f t="shared" si="131"/>
        <v>Valid</v>
      </c>
    </row>
    <row r="1408" spans="1:23">
      <c r="A1408" t="s">
        <v>1091</v>
      </c>
      <c r="B1408" s="2">
        <v>45793</v>
      </c>
      <c r="C1408" t="s">
        <v>723</v>
      </c>
      <c r="D1408" t="s">
        <v>32</v>
      </c>
      <c r="E1408" t="s">
        <v>24</v>
      </c>
      <c r="F1408" t="s">
        <v>25</v>
      </c>
      <c r="G1408" t="s">
        <v>26</v>
      </c>
      <c r="H1408">
        <v>1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P1408">
        <v>70.3</v>
      </c>
      <c r="R1408" t="str">
        <f t="shared" si="126"/>
        <v>Duplicate</v>
      </c>
      <c r="S1408" t="str">
        <f t="shared" si="127"/>
        <v>Valid</v>
      </c>
      <c r="T1408" t="str">
        <f t="shared" si="128"/>
        <v>Valid</v>
      </c>
      <c r="U1408" t="str">
        <f t="shared" si="129"/>
        <v>Valid</v>
      </c>
      <c r="V1408" t="str">
        <f t="shared" si="130"/>
        <v>Valid</v>
      </c>
      <c r="W1408" t="str">
        <f t="shared" si="131"/>
        <v>Valid</v>
      </c>
    </row>
    <row r="1409" spans="1:23">
      <c r="A1409" t="s">
        <v>572</v>
      </c>
      <c r="B1409" s="2">
        <v>45799</v>
      </c>
      <c r="C1409" t="s">
        <v>17</v>
      </c>
      <c r="D1409" t="s">
        <v>18</v>
      </c>
      <c r="E1409" t="s">
        <v>24</v>
      </c>
      <c r="F1409" t="s">
        <v>29</v>
      </c>
      <c r="G1409" t="s">
        <v>21</v>
      </c>
      <c r="H1409">
        <v>1</v>
      </c>
      <c r="I1409">
        <v>1</v>
      </c>
      <c r="J1409">
        <v>0</v>
      </c>
      <c r="K1409">
        <v>0</v>
      </c>
      <c r="L1409">
        <v>0</v>
      </c>
      <c r="M1409">
        <v>0</v>
      </c>
      <c r="N1409">
        <v>0</v>
      </c>
      <c r="P1409">
        <v>39.9</v>
      </c>
      <c r="R1409" t="str">
        <f t="shared" si="126"/>
        <v>Duplicate</v>
      </c>
      <c r="S1409" t="str">
        <f t="shared" si="127"/>
        <v>Valid</v>
      </c>
      <c r="T1409" t="str">
        <f t="shared" si="128"/>
        <v>Valid</v>
      </c>
      <c r="U1409" t="str">
        <f t="shared" si="129"/>
        <v>Valid</v>
      </c>
      <c r="V1409" t="str">
        <f t="shared" si="130"/>
        <v>Valid</v>
      </c>
      <c r="W1409" t="str">
        <f t="shared" si="131"/>
        <v>Valid</v>
      </c>
    </row>
  </sheetData>
  <mergeCells count="1">
    <mergeCell ref="S1:W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1433</v>
      </c>
      <c r="B1" s="1" t="s">
        <v>1434</v>
      </c>
    </row>
    <row r="2" spans="1:2" ht="55.2">
      <c r="A2" s="3" t="s">
        <v>1435</v>
      </c>
      <c r="B2" s="3" t="s">
        <v>1436</v>
      </c>
    </row>
    <row r="3" spans="1:2">
      <c r="A3" s="3" t="s">
        <v>17</v>
      </c>
      <c r="B3" s="3" t="s">
        <v>1437</v>
      </c>
    </row>
    <row r="4" spans="1:2">
      <c r="A4" s="3" t="s">
        <v>723</v>
      </c>
      <c r="B4" s="3" t="s">
        <v>1438</v>
      </c>
    </row>
    <row r="5" spans="1:2" ht="41.4">
      <c r="A5" s="3" t="s">
        <v>1439</v>
      </c>
      <c r="B5" s="3" t="s">
        <v>1440</v>
      </c>
    </row>
    <row r="6" spans="1:2" ht="27.6">
      <c r="A6" s="3" t="s">
        <v>7</v>
      </c>
      <c r="B6" s="3" t="s">
        <v>1441</v>
      </c>
    </row>
    <row r="7" spans="1:2" ht="27.6">
      <c r="A7" s="3" t="s">
        <v>8</v>
      </c>
      <c r="B7" s="3" t="s">
        <v>1442</v>
      </c>
    </row>
    <row r="8" spans="1:2" ht="27.6">
      <c r="A8" s="3" t="s">
        <v>9</v>
      </c>
      <c r="B8" s="3" t="s">
        <v>1443</v>
      </c>
    </row>
    <row r="9" spans="1:2" ht="27.6">
      <c r="A9" s="3" t="s">
        <v>10</v>
      </c>
      <c r="B9" s="3" t="s">
        <v>1444</v>
      </c>
    </row>
    <row r="10" spans="1:2" ht="27.6">
      <c r="A10" s="3" t="s">
        <v>11</v>
      </c>
      <c r="B10" s="3" t="s">
        <v>1445</v>
      </c>
    </row>
    <row r="11" spans="1:2" ht="27.6">
      <c r="A11" s="3" t="s">
        <v>12</v>
      </c>
      <c r="B11" s="3" t="s">
        <v>1446</v>
      </c>
    </row>
    <row r="12" spans="1:2" ht="27.6">
      <c r="A12" s="3" t="s">
        <v>13</v>
      </c>
      <c r="B12" s="3" t="s">
        <v>1447</v>
      </c>
    </row>
    <row r="13" spans="1:2" ht="27.6">
      <c r="A13" s="3" t="s">
        <v>15</v>
      </c>
      <c r="B13" s="3" t="s">
        <v>1448</v>
      </c>
    </row>
    <row r="14" spans="1:2" ht="55.2">
      <c r="A14" s="3" t="s">
        <v>1449</v>
      </c>
      <c r="B14" s="3" t="s">
        <v>1450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control_treatment</vt:lpstr>
      <vt:lpstr>region_SD</vt:lpstr>
      <vt:lpstr>device_type_SD</vt:lpstr>
      <vt:lpstr>traffic_source_SD</vt:lpstr>
      <vt:lpstr>plan_type_SD</vt:lpstr>
      <vt:lpstr>Pivot_Region</vt:lpstr>
      <vt:lpstr>Pivot_Device_type</vt:lpstr>
      <vt:lpstr>Pivot_Traffic_source</vt:lpstr>
      <vt:lpstr>Hypothesis_test</vt:lpstr>
      <vt:lpstr>experiment_data</vt:lpstr>
      <vt:lpstr>business_context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Amardas</dc:creator>
  <cp:lastModifiedBy>Amardas</cp:lastModifiedBy>
  <dcterms:created xsi:type="dcterms:W3CDTF">2026-06-27T12:30:07Z</dcterms:created>
  <dcterms:modified xsi:type="dcterms:W3CDTF">2026-06-28T07:38:20Z</dcterms:modified>
</cp:coreProperties>
</file>